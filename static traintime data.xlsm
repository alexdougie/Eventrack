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0215" windowHeight="7680" activeTab="3"/>
  </bookViews>
  <sheets>
    <sheet name="SFA" sheetId="1" r:id="rId1"/>
    <sheet name="SRA" sheetId="2" r:id="rId2"/>
    <sheet name="HMN" sheetId="3" r:id="rId3"/>
    <sheet name="WEH" sheetId="4" r:id="rId4"/>
  </sheets>
  <definedNames>
    <definedName name="_xlnm._FilterDatabase" localSheetId="2" hidden="1">HMN!$B$1:$N$167</definedName>
    <definedName name="_xlnm._FilterDatabase" localSheetId="0" hidden="1">SFA!$B$1:$M$346</definedName>
    <definedName name="_xlnm._FilterDatabase" localSheetId="1" hidden="1">SRA!$B$1:$V$1073</definedName>
    <definedName name="_xlnm._FilterDatabase" localSheetId="3" hidden="1">WEH!$B$1:$M$316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2" i="4"/>
  <c r="I293" i="4" l="1"/>
  <c r="J293" i="4"/>
  <c r="K293" i="4"/>
  <c r="I294" i="4"/>
  <c r="J294" i="4"/>
  <c r="K294" i="4"/>
  <c r="I295" i="4"/>
  <c r="J295" i="4"/>
  <c r="K295" i="4"/>
  <c r="I296" i="4"/>
  <c r="J296" i="4"/>
  <c r="K296" i="4"/>
  <c r="I297" i="4"/>
  <c r="J297" i="4"/>
  <c r="K297" i="4"/>
  <c r="I298" i="4"/>
  <c r="J298" i="4"/>
  <c r="K298" i="4"/>
  <c r="I299" i="4"/>
  <c r="J299" i="4"/>
  <c r="K299" i="4"/>
  <c r="I300" i="4"/>
  <c r="J300" i="4"/>
  <c r="K300" i="4"/>
  <c r="I301" i="4"/>
  <c r="J301" i="4"/>
  <c r="K301" i="4"/>
  <c r="I302" i="4"/>
  <c r="J302" i="4"/>
  <c r="K302" i="4"/>
  <c r="I303" i="4"/>
  <c r="J303" i="4"/>
  <c r="K303" i="4"/>
  <c r="I304" i="4"/>
  <c r="J304" i="4"/>
  <c r="K304" i="4"/>
  <c r="I305" i="4"/>
  <c r="J305" i="4"/>
  <c r="K305" i="4"/>
  <c r="I306" i="4"/>
  <c r="J306" i="4"/>
  <c r="K306" i="4"/>
  <c r="I307" i="4"/>
  <c r="J307" i="4"/>
  <c r="K307" i="4"/>
  <c r="I308" i="4"/>
  <c r="J308" i="4"/>
  <c r="K308" i="4"/>
  <c r="I309" i="4"/>
  <c r="J309" i="4"/>
  <c r="K309" i="4"/>
  <c r="I310" i="4"/>
  <c r="J310" i="4"/>
  <c r="K310" i="4"/>
  <c r="I311" i="4"/>
  <c r="J311" i="4"/>
  <c r="K311" i="4"/>
  <c r="I312" i="4"/>
  <c r="J312" i="4"/>
  <c r="K312" i="4"/>
  <c r="I313" i="4"/>
  <c r="J313" i="4"/>
  <c r="K313" i="4"/>
  <c r="I314" i="4"/>
  <c r="J314" i="4"/>
  <c r="K314" i="4"/>
  <c r="I315" i="4"/>
  <c r="J315" i="4"/>
  <c r="K315" i="4"/>
  <c r="I316" i="4"/>
  <c r="J316" i="4"/>
  <c r="K316" i="4"/>
  <c r="I270" i="4"/>
  <c r="J270" i="4"/>
  <c r="K270" i="4"/>
  <c r="I271" i="4"/>
  <c r="J271" i="4"/>
  <c r="K271" i="4"/>
  <c r="I272" i="4"/>
  <c r="J272" i="4"/>
  <c r="K272" i="4"/>
  <c r="I273" i="4"/>
  <c r="J273" i="4"/>
  <c r="K273" i="4"/>
  <c r="I274" i="4"/>
  <c r="J274" i="4"/>
  <c r="K274" i="4"/>
  <c r="I275" i="4"/>
  <c r="J275" i="4"/>
  <c r="K275" i="4"/>
  <c r="I276" i="4"/>
  <c r="J276" i="4"/>
  <c r="K276" i="4"/>
  <c r="I277" i="4"/>
  <c r="J277" i="4"/>
  <c r="K277" i="4"/>
  <c r="I278" i="4"/>
  <c r="J278" i="4"/>
  <c r="K278" i="4"/>
  <c r="I279" i="4"/>
  <c r="J279" i="4"/>
  <c r="K279" i="4"/>
  <c r="I280" i="4"/>
  <c r="J280" i="4"/>
  <c r="K280" i="4"/>
  <c r="I281" i="4"/>
  <c r="J281" i="4"/>
  <c r="K281" i="4"/>
  <c r="I282" i="4"/>
  <c r="J282" i="4"/>
  <c r="K282" i="4"/>
  <c r="I283" i="4"/>
  <c r="J283" i="4"/>
  <c r="K283" i="4"/>
  <c r="I284" i="4"/>
  <c r="J284" i="4"/>
  <c r="K284" i="4"/>
  <c r="I285" i="4"/>
  <c r="J285" i="4"/>
  <c r="K285" i="4"/>
  <c r="I286" i="4"/>
  <c r="J286" i="4"/>
  <c r="K286" i="4"/>
  <c r="I287" i="4"/>
  <c r="J287" i="4"/>
  <c r="K287" i="4"/>
  <c r="I288" i="4"/>
  <c r="J288" i="4"/>
  <c r="K288" i="4"/>
  <c r="I289" i="4"/>
  <c r="J289" i="4"/>
  <c r="K289" i="4"/>
  <c r="I290" i="4"/>
  <c r="J290" i="4"/>
  <c r="K290" i="4"/>
  <c r="I291" i="4"/>
  <c r="J291" i="4"/>
  <c r="K291" i="4"/>
  <c r="I292" i="4"/>
  <c r="J292" i="4"/>
  <c r="K292" i="4"/>
  <c r="I269" i="4"/>
  <c r="J269" i="4"/>
  <c r="K269" i="4"/>
  <c r="I246" i="4"/>
  <c r="J246" i="4"/>
  <c r="K246" i="4"/>
  <c r="I247" i="4"/>
  <c r="J247" i="4"/>
  <c r="K247" i="4"/>
  <c r="I248" i="4"/>
  <c r="J248" i="4"/>
  <c r="K248" i="4"/>
  <c r="I249" i="4"/>
  <c r="J249" i="4"/>
  <c r="K249" i="4"/>
  <c r="I250" i="4"/>
  <c r="J250" i="4"/>
  <c r="K250" i="4"/>
  <c r="I251" i="4"/>
  <c r="J251" i="4"/>
  <c r="K251" i="4"/>
  <c r="I252" i="4"/>
  <c r="J252" i="4"/>
  <c r="K252" i="4"/>
  <c r="I253" i="4"/>
  <c r="J253" i="4"/>
  <c r="K253" i="4"/>
  <c r="I254" i="4"/>
  <c r="J254" i="4"/>
  <c r="K254" i="4"/>
  <c r="I255" i="4"/>
  <c r="J255" i="4"/>
  <c r="K255" i="4"/>
  <c r="I256" i="4"/>
  <c r="J256" i="4"/>
  <c r="K256" i="4"/>
  <c r="I257" i="4"/>
  <c r="J257" i="4"/>
  <c r="K257" i="4"/>
  <c r="I258" i="4"/>
  <c r="J258" i="4"/>
  <c r="K258" i="4"/>
  <c r="I259" i="4"/>
  <c r="J259" i="4"/>
  <c r="K259" i="4"/>
  <c r="I260" i="4"/>
  <c r="J260" i="4"/>
  <c r="K260" i="4"/>
  <c r="I261" i="4"/>
  <c r="J261" i="4"/>
  <c r="K261" i="4"/>
  <c r="I262" i="4"/>
  <c r="J262" i="4"/>
  <c r="K262" i="4"/>
  <c r="I263" i="4"/>
  <c r="J263" i="4"/>
  <c r="K263" i="4"/>
  <c r="I264" i="4"/>
  <c r="J264" i="4"/>
  <c r="K264" i="4"/>
  <c r="I265" i="4"/>
  <c r="J265" i="4"/>
  <c r="K265" i="4"/>
  <c r="I266" i="4"/>
  <c r="J266" i="4"/>
  <c r="K266" i="4"/>
  <c r="I267" i="4"/>
  <c r="J267" i="4"/>
  <c r="K267" i="4"/>
  <c r="I268" i="4"/>
  <c r="J268" i="4"/>
  <c r="K268" i="4"/>
  <c r="I220" i="4"/>
  <c r="J220" i="4"/>
  <c r="K220" i="4"/>
  <c r="I221" i="4"/>
  <c r="J221" i="4"/>
  <c r="K221" i="4"/>
  <c r="I222" i="4"/>
  <c r="J222" i="4"/>
  <c r="K222" i="4"/>
  <c r="I223" i="4"/>
  <c r="J223" i="4"/>
  <c r="K223" i="4"/>
  <c r="I224" i="4"/>
  <c r="J224" i="4"/>
  <c r="K224" i="4"/>
  <c r="I225" i="4"/>
  <c r="J225" i="4"/>
  <c r="K225" i="4"/>
  <c r="I226" i="4"/>
  <c r="J226" i="4"/>
  <c r="K226" i="4"/>
  <c r="I227" i="4"/>
  <c r="J227" i="4"/>
  <c r="K227" i="4"/>
  <c r="I228" i="4"/>
  <c r="J228" i="4"/>
  <c r="K228" i="4"/>
  <c r="I229" i="4"/>
  <c r="J229" i="4"/>
  <c r="K229" i="4"/>
  <c r="I230" i="4"/>
  <c r="J230" i="4"/>
  <c r="K230" i="4"/>
  <c r="I231" i="4"/>
  <c r="J231" i="4"/>
  <c r="K231" i="4"/>
  <c r="I232" i="4"/>
  <c r="J232" i="4"/>
  <c r="K232" i="4"/>
  <c r="I233" i="4"/>
  <c r="J233" i="4"/>
  <c r="K233" i="4"/>
  <c r="I234" i="4"/>
  <c r="J234" i="4"/>
  <c r="K234" i="4"/>
  <c r="I235" i="4"/>
  <c r="J235" i="4"/>
  <c r="K235" i="4"/>
  <c r="I236" i="4"/>
  <c r="J236" i="4"/>
  <c r="K236" i="4"/>
  <c r="I237" i="4"/>
  <c r="J237" i="4"/>
  <c r="K237" i="4"/>
  <c r="I238" i="4"/>
  <c r="J238" i="4"/>
  <c r="K238" i="4"/>
  <c r="I239" i="4"/>
  <c r="J239" i="4"/>
  <c r="K239" i="4"/>
  <c r="I240" i="4"/>
  <c r="J240" i="4"/>
  <c r="K240" i="4"/>
  <c r="I241" i="4"/>
  <c r="J241" i="4"/>
  <c r="K241" i="4"/>
  <c r="I242" i="4"/>
  <c r="J242" i="4"/>
  <c r="K242" i="4"/>
  <c r="I243" i="4"/>
  <c r="J243" i="4"/>
  <c r="K243" i="4"/>
  <c r="I244" i="4"/>
  <c r="J244" i="4"/>
  <c r="K244" i="4"/>
  <c r="I245" i="4"/>
  <c r="J245" i="4"/>
  <c r="K245" i="4"/>
  <c r="I194" i="4"/>
  <c r="J194" i="4"/>
  <c r="K194" i="4"/>
  <c r="I195" i="4"/>
  <c r="J195" i="4"/>
  <c r="K195" i="4"/>
  <c r="I196" i="4"/>
  <c r="J196" i="4"/>
  <c r="K196" i="4"/>
  <c r="I197" i="4"/>
  <c r="J197" i="4"/>
  <c r="K197" i="4"/>
  <c r="I198" i="4"/>
  <c r="J198" i="4"/>
  <c r="K198" i="4"/>
  <c r="I199" i="4"/>
  <c r="J199" i="4"/>
  <c r="K199" i="4"/>
  <c r="I200" i="4"/>
  <c r="J200" i="4"/>
  <c r="K200" i="4"/>
  <c r="I201" i="4"/>
  <c r="J201" i="4"/>
  <c r="K201" i="4"/>
  <c r="I202" i="4"/>
  <c r="J202" i="4"/>
  <c r="K202" i="4"/>
  <c r="I203" i="4"/>
  <c r="J203" i="4"/>
  <c r="K203" i="4"/>
  <c r="I204" i="4"/>
  <c r="J204" i="4"/>
  <c r="K204" i="4"/>
  <c r="I205" i="4"/>
  <c r="J205" i="4"/>
  <c r="K205" i="4"/>
  <c r="I206" i="4"/>
  <c r="J206" i="4"/>
  <c r="K206" i="4"/>
  <c r="I207" i="4"/>
  <c r="J207" i="4"/>
  <c r="K207" i="4"/>
  <c r="I208" i="4"/>
  <c r="J208" i="4"/>
  <c r="K208" i="4"/>
  <c r="I209" i="4"/>
  <c r="J209" i="4"/>
  <c r="K209" i="4"/>
  <c r="I210" i="4"/>
  <c r="J210" i="4"/>
  <c r="K210" i="4"/>
  <c r="I211" i="4"/>
  <c r="J211" i="4"/>
  <c r="K211" i="4"/>
  <c r="I212" i="4"/>
  <c r="J212" i="4"/>
  <c r="K212" i="4"/>
  <c r="I213" i="4"/>
  <c r="J213" i="4"/>
  <c r="K213" i="4"/>
  <c r="I214" i="4"/>
  <c r="J214" i="4"/>
  <c r="K214" i="4"/>
  <c r="I215" i="4"/>
  <c r="J215" i="4"/>
  <c r="K215" i="4"/>
  <c r="I216" i="4"/>
  <c r="J216" i="4"/>
  <c r="K216" i="4"/>
  <c r="I217" i="4"/>
  <c r="J217" i="4"/>
  <c r="K217" i="4"/>
  <c r="I218" i="4"/>
  <c r="J218" i="4"/>
  <c r="K218" i="4"/>
  <c r="I219" i="4"/>
  <c r="J219" i="4"/>
  <c r="K219" i="4"/>
  <c r="I168" i="4"/>
  <c r="J168" i="4"/>
  <c r="K168" i="4"/>
  <c r="I169" i="4"/>
  <c r="J169" i="4"/>
  <c r="K169" i="4"/>
  <c r="I170" i="4"/>
  <c r="J170" i="4"/>
  <c r="K170" i="4"/>
  <c r="I171" i="4"/>
  <c r="J171" i="4"/>
  <c r="K171" i="4"/>
  <c r="I172" i="4"/>
  <c r="J172" i="4"/>
  <c r="K172" i="4"/>
  <c r="I173" i="4"/>
  <c r="J173" i="4"/>
  <c r="K173" i="4"/>
  <c r="I174" i="4"/>
  <c r="J174" i="4"/>
  <c r="K174" i="4"/>
  <c r="I175" i="4"/>
  <c r="J175" i="4"/>
  <c r="K175" i="4"/>
  <c r="I176" i="4"/>
  <c r="J176" i="4"/>
  <c r="K176" i="4"/>
  <c r="I177" i="4"/>
  <c r="J177" i="4"/>
  <c r="K177" i="4"/>
  <c r="I178" i="4"/>
  <c r="J178" i="4"/>
  <c r="K178" i="4"/>
  <c r="I179" i="4"/>
  <c r="J179" i="4"/>
  <c r="K179" i="4"/>
  <c r="I180" i="4"/>
  <c r="J180" i="4"/>
  <c r="K180" i="4"/>
  <c r="I181" i="4"/>
  <c r="J181" i="4"/>
  <c r="K181" i="4"/>
  <c r="I182" i="4"/>
  <c r="J182" i="4"/>
  <c r="K182" i="4"/>
  <c r="I183" i="4"/>
  <c r="J183" i="4"/>
  <c r="K183" i="4"/>
  <c r="I184" i="4"/>
  <c r="J184" i="4"/>
  <c r="K184" i="4"/>
  <c r="I185" i="4"/>
  <c r="J185" i="4"/>
  <c r="K185" i="4"/>
  <c r="I186" i="4"/>
  <c r="J186" i="4"/>
  <c r="K186" i="4"/>
  <c r="I187" i="4"/>
  <c r="J187" i="4"/>
  <c r="K187" i="4"/>
  <c r="I188" i="4"/>
  <c r="J188" i="4"/>
  <c r="K188" i="4"/>
  <c r="I189" i="4"/>
  <c r="J189" i="4"/>
  <c r="K189" i="4"/>
  <c r="I190" i="4"/>
  <c r="J190" i="4"/>
  <c r="K190" i="4"/>
  <c r="I191" i="4"/>
  <c r="J191" i="4"/>
  <c r="K191" i="4"/>
  <c r="I192" i="4"/>
  <c r="J192" i="4"/>
  <c r="K192" i="4"/>
  <c r="I193" i="4"/>
  <c r="J193" i="4"/>
  <c r="K193" i="4"/>
  <c r="I144" i="4"/>
  <c r="J144" i="4"/>
  <c r="K144" i="4"/>
  <c r="I145" i="4"/>
  <c r="J145" i="4"/>
  <c r="K145" i="4"/>
  <c r="I146" i="4"/>
  <c r="J146" i="4"/>
  <c r="K146" i="4"/>
  <c r="I147" i="4"/>
  <c r="J147" i="4"/>
  <c r="K147" i="4"/>
  <c r="I148" i="4"/>
  <c r="J148" i="4"/>
  <c r="K148" i="4"/>
  <c r="I149" i="4"/>
  <c r="J149" i="4"/>
  <c r="K149" i="4"/>
  <c r="I150" i="4"/>
  <c r="J150" i="4"/>
  <c r="K150" i="4"/>
  <c r="I151" i="4"/>
  <c r="J151" i="4"/>
  <c r="K151" i="4"/>
  <c r="I152" i="4"/>
  <c r="J152" i="4"/>
  <c r="K152" i="4"/>
  <c r="I153" i="4"/>
  <c r="J153" i="4"/>
  <c r="K153" i="4"/>
  <c r="I154" i="4"/>
  <c r="J154" i="4"/>
  <c r="K154" i="4"/>
  <c r="I155" i="4"/>
  <c r="J155" i="4"/>
  <c r="K155" i="4"/>
  <c r="I156" i="4"/>
  <c r="J156" i="4"/>
  <c r="K156" i="4"/>
  <c r="I157" i="4"/>
  <c r="J157" i="4"/>
  <c r="K157" i="4"/>
  <c r="I158" i="4"/>
  <c r="J158" i="4"/>
  <c r="K158" i="4"/>
  <c r="I159" i="4"/>
  <c r="J159" i="4"/>
  <c r="K159" i="4"/>
  <c r="I160" i="4"/>
  <c r="J160" i="4"/>
  <c r="K160" i="4"/>
  <c r="I161" i="4"/>
  <c r="J161" i="4"/>
  <c r="K161" i="4"/>
  <c r="I162" i="4"/>
  <c r="J162" i="4"/>
  <c r="K162" i="4"/>
  <c r="I163" i="4"/>
  <c r="J163" i="4"/>
  <c r="K163" i="4"/>
  <c r="I164" i="4"/>
  <c r="J164" i="4"/>
  <c r="K164" i="4"/>
  <c r="I165" i="4"/>
  <c r="J165" i="4"/>
  <c r="K165" i="4"/>
  <c r="I166" i="4"/>
  <c r="J166" i="4"/>
  <c r="K166" i="4"/>
  <c r="I167" i="4"/>
  <c r="J167" i="4"/>
  <c r="K167" i="4"/>
  <c r="I120" i="4"/>
  <c r="J120" i="4"/>
  <c r="K120" i="4"/>
  <c r="I121" i="4"/>
  <c r="J121" i="4"/>
  <c r="K121" i="4"/>
  <c r="I122" i="4"/>
  <c r="J122" i="4"/>
  <c r="K122" i="4"/>
  <c r="I123" i="4"/>
  <c r="J123" i="4"/>
  <c r="K123" i="4"/>
  <c r="I124" i="4"/>
  <c r="J124" i="4"/>
  <c r="K124" i="4"/>
  <c r="I125" i="4"/>
  <c r="J125" i="4"/>
  <c r="K125" i="4"/>
  <c r="I126" i="4"/>
  <c r="J126" i="4"/>
  <c r="K126" i="4"/>
  <c r="I127" i="4"/>
  <c r="J127" i="4"/>
  <c r="K127" i="4"/>
  <c r="I128" i="4"/>
  <c r="J128" i="4"/>
  <c r="K128" i="4"/>
  <c r="I129" i="4"/>
  <c r="J129" i="4"/>
  <c r="K129" i="4"/>
  <c r="I130" i="4"/>
  <c r="J130" i="4"/>
  <c r="K130" i="4"/>
  <c r="I131" i="4"/>
  <c r="J131" i="4"/>
  <c r="K131" i="4"/>
  <c r="I132" i="4"/>
  <c r="J132" i="4"/>
  <c r="K132" i="4"/>
  <c r="I133" i="4"/>
  <c r="J133" i="4"/>
  <c r="K133" i="4"/>
  <c r="I134" i="4"/>
  <c r="J134" i="4"/>
  <c r="K134" i="4"/>
  <c r="I135" i="4"/>
  <c r="J135" i="4"/>
  <c r="K135" i="4"/>
  <c r="I136" i="4"/>
  <c r="J136" i="4"/>
  <c r="K136" i="4"/>
  <c r="I137" i="4"/>
  <c r="J137" i="4"/>
  <c r="K137" i="4"/>
  <c r="I138" i="4"/>
  <c r="J138" i="4"/>
  <c r="K138" i="4"/>
  <c r="I139" i="4"/>
  <c r="J139" i="4"/>
  <c r="K139" i="4"/>
  <c r="I140" i="4"/>
  <c r="J140" i="4"/>
  <c r="K140" i="4"/>
  <c r="I141" i="4"/>
  <c r="J141" i="4"/>
  <c r="K141" i="4"/>
  <c r="I142" i="4"/>
  <c r="J142" i="4"/>
  <c r="K142" i="4"/>
  <c r="I143" i="4"/>
  <c r="J143" i="4"/>
  <c r="K143" i="4"/>
  <c r="I96" i="4"/>
  <c r="J96" i="4"/>
  <c r="K96" i="4"/>
  <c r="I97" i="4"/>
  <c r="J97" i="4"/>
  <c r="K97" i="4"/>
  <c r="I98" i="4"/>
  <c r="J98" i="4"/>
  <c r="K98" i="4"/>
  <c r="I99" i="4"/>
  <c r="J99" i="4"/>
  <c r="K99" i="4"/>
  <c r="I100" i="4"/>
  <c r="J100" i="4"/>
  <c r="K100" i="4"/>
  <c r="I101" i="4"/>
  <c r="J101" i="4"/>
  <c r="K101" i="4"/>
  <c r="I102" i="4"/>
  <c r="J102" i="4"/>
  <c r="K102" i="4"/>
  <c r="I103" i="4"/>
  <c r="J103" i="4"/>
  <c r="K103" i="4"/>
  <c r="I104" i="4"/>
  <c r="J104" i="4"/>
  <c r="K104" i="4"/>
  <c r="I105" i="4"/>
  <c r="J105" i="4"/>
  <c r="K105" i="4"/>
  <c r="I106" i="4"/>
  <c r="J106" i="4"/>
  <c r="K106" i="4"/>
  <c r="I107" i="4"/>
  <c r="J107" i="4"/>
  <c r="K107" i="4"/>
  <c r="I108" i="4"/>
  <c r="J108" i="4"/>
  <c r="K108" i="4"/>
  <c r="I109" i="4"/>
  <c r="J109" i="4"/>
  <c r="K109" i="4"/>
  <c r="I110" i="4"/>
  <c r="J110" i="4"/>
  <c r="K110" i="4"/>
  <c r="I111" i="4"/>
  <c r="J111" i="4"/>
  <c r="K111" i="4"/>
  <c r="I112" i="4"/>
  <c r="J112" i="4"/>
  <c r="K112" i="4"/>
  <c r="I113" i="4"/>
  <c r="J113" i="4"/>
  <c r="K113" i="4"/>
  <c r="I114" i="4"/>
  <c r="J114" i="4"/>
  <c r="K114" i="4"/>
  <c r="I115" i="4"/>
  <c r="J115" i="4"/>
  <c r="K115" i="4"/>
  <c r="I116" i="4"/>
  <c r="J116" i="4"/>
  <c r="K116" i="4"/>
  <c r="I117" i="4"/>
  <c r="J117" i="4"/>
  <c r="K117" i="4"/>
  <c r="I118" i="4"/>
  <c r="J118" i="4"/>
  <c r="K118" i="4"/>
  <c r="I119" i="4"/>
  <c r="J119" i="4"/>
  <c r="K119" i="4"/>
  <c r="I72" i="4"/>
  <c r="J72" i="4"/>
  <c r="K72" i="4"/>
  <c r="I73" i="4"/>
  <c r="J73" i="4"/>
  <c r="K73" i="4"/>
  <c r="I74" i="4"/>
  <c r="J74" i="4"/>
  <c r="K74" i="4"/>
  <c r="I75" i="4"/>
  <c r="J75" i="4"/>
  <c r="K75" i="4"/>
  <c r="I76" i="4"/>
  <c r="J76" i="4"/>
  <c r="K76" i="4"/>
  <c r="I77" i="4"/>
  <c r="J77" i="4"/>
  <c r="K77" i="4"/>
  <c r="I78" i="4"/>
  <c r="J78" i="4"/>
  <c r="K78" i="4"/>
  <c r="I79" i="4"/>
  <c r="J79" i="4"/>
  <c r="K79" i="4"/>
  <c r="I80" i="4"/>
  <c r="J80" i="4"/>
  <c r="K80" i="4"/>
  <c r="I81" i="4"/>
  <c r="J81" i="4"/>
  <c r="K81" i="4"/>
  <c r="I82" i="4"/>
  <c r="J82" i="4"/>
  <c r="K82" i="4"/>
  <c r="I83" i="4"/>
  <c r="J83" i="4"/>
  <c r="K83" i="4"/>
  <c r="I84" i="4"/>
  <c r="J84" i="4"/>
  <c r="K84" i="4"/>
  <c r="I85" i="4"/>
  <c r="J85" i="4"/>
  <c r="K85" i="4"/>
  <c r="I86" i="4"/>
  <c r="J86" i="4"/>
  <c r="K86" i="4"/>
  <c r="I87" i="4"/>
  <c r="J87" i="4"/>
  <c r="K87" i="4"/>
  <c r="I88" i="4"/>
  <c r="J88" i="4"/>
  <c r="K88" i="4"/>
  <c r="I89" i="4"/>
  <c r="J89" i="4"/>
  <c r="K89" i="4"/>
  <c r="I90" i="4"/>
  <c r="J90" i="4"/>
  <c r="K90" i="4"/>
  <c r="I91" i="4"/>
  <c r="J91" i="4"/>
  <c r="K91" i="4"/>
  <c r="I92" i="4"/>
  <c r="J92" i="4"/>
  <c r="K92" i="4"/>
  <c r="I93" i="4"/>
  <c r="J93" i="4"/>
  <c r="K93" i="4"/>
  <c r="I94" i="4"/>
  <c r="J94" i="4"/>
  <c r="K94" i="4"/>
  <c r="I95" i="4"/>
  <c r="J95" i="4"/>
  <c r="K95" i="4"/>
  <c r="I43" i="4"/>
  <c r="J43" i="4"/>
  <c r="K43" i="4"/>
  <c r="I44" i="4"/>
  <c r="J44" i="4"/>
  <c r="K44" i="4"/>
  <c r="I45" i="4"/>
  <c r="J45" i="4"/>
  <c r="K45" i="4"/>
  <c r="I46" i="4"/>
  <c r="J46" i="4"/>
  <c r="K46" i="4"/>
  <c r="I47" i="4"/>
  <c r="J47" i="4"/>
  <c r="K47" i="4"/>
  <c r="I48" i="4"/>
  <c r="J48" i="4"/>
  <c r="K48" i="4"/>
  <c r="I49" i="4"/>
  <c r="J49" i="4"/>
  <c r="K49" i="4"/>
  <c r="I50" i="4"/>
  <c r="J50" i="4"/>
  <c r="K50" i="4"/>
  <c r="I51" i="4"/>
  <c r="J51" i="4"/>
  <c r="K51" i="4"/>
  <c r="I52" i="4"/>
  <c r="J52" i="4"/>
  <c r="K52" i="4"/>
  <c r="I53" i="4"/>
  <c r="J53" i="4"/>
  <c r="K53" i="4"/>
  <c r="I54" i="4"/>
  <c r="J54" i="4"/>
  <c r="K54" i="4"/>
  <c r="I55" i="4"/>
  <c r="J55" i="4"/>
  <c r="K55" i="4"/>
  <c r="I56" i="4"/>
  <c r="J56" i="4"/>
  <c r="K56" i="4"/>
  <c r="I57" i="4"/>
  <c r="J57" i="4"/>
  <c r="K57" i="4"/>
  <c r="I58" i="4"/>
  <c r="J58" i="4"/>
  <c r="K58" i="4"/>
  <c r="I59" i="4"/>
  <c r="J59" i="4"/>
  <c r="K59" i="4"/>
  <c r="I60" i="4"/>
  <c r="J60" i="4"/>
  <c r="K60" i="4"/>
  <c r="I61" i="4"/>
  <c r="J61" i="4"/>
  <c r="K61" i="4"/>
  <c r="I62" i="4"/>
  <c r="J62" i="4"/>
  <c r="K62" i="4"/>
  <c r="I63" i="4"/>
  <c r="J63" i="4"/>
  <c r="K63" i="4"/>
  <c r="I64" i="4"/>
  <c r="J64" i="4"/>
  <c r="K64" i="4"/>
  <c r="I65" i="4"/>
  <c r="J65" i="4"/>
  <c r="K65" i="4"/>
  <c r="I66" i="4"/>
  <c r="J66" i="4"/>
  <c r="K66" i="4"/>
  <c r="I67" i="4"/>
  <c r="J67" i="4"/>
  <c r="K67" i="4"/>
  <c r="I68" i="4"/>
  <c r="J68" i="4"/>
  <c r="K68" i="4"/>
  <c r="I69" i="4"/>
  <c r="J69" i="4"/>
  <c r="K69" i="4"/>
  <c r="I70" i="4"/>
  <c r="J70" i="4"/>
  <c r="K70" i="4"/>
  <c r="I71" i="4"/>
  <c r="J71" i="4"/>
  <c r="K71" i="4"/>
  <c r="I21" i="4"/>
  <c r="J21" i="4"/>
  <c r="K21" i="4"/>
  <c r="I22" i="4"/>
  <c r="J22" i="4"/>
  <c r="K22" i="4"/>
  <c r="I23" i="4"/>
  <c r="J23" i="4"/>
  <c r="K23" i="4"/>
  <c r="I24" i="4"/>
  <c r="J24" i="4"/>
  <c r="K24" i="4"/>
  <c r="I25" i="4"/>
  <c r="J25" i="4"/>
  <c r="K25" i="4"/>
  <c r="I26" i="4"/>
  <c r="J26" i="4"/>
  <c r="K26" i="4"/>
  <c r="I27" i="4"/>
  <c r="J27" i="4"/>
  <c r="K27" i="4"/>
  <c r="I28" i="4"/>
  <c r="J28" i="4"/>
  <c r="K28" i="4"/>
  <c r="I29" i="4"/>
  <c r="J29" i="4"/>
  <c r="K29" i="4"/>
  <c r="I30" i="4"/>
  <c r="J30" i="4"/>
  <c r="K30" i="4"/>
  <c r="I31" i="4"/>
  <c r="J31" i="4"/>
  <c r="K31" i="4"/>
  <c r="I32" i="4"/>
  <c r="J32" i="4"/>
  <c r="K32" i="4"/>
  <c r="I33" i="4"/>
  <c r="J33" i="4"/>
  <c r="K33" i="4"/>
  <c r="I34" i="4"/>
  <c r="J34" i="4"/>
  <c r="K34" i="4"/>
  <c r="I35" i="4"/>
  <c r="J35" i="4"/>
  <c r="K35" i="4"/>
  <c r="I36" i="4"/>
  <c r="J36" i="4"/>
  <c r="K36" i="4"/>
  <c r="I37" i="4"/>
  <c r="J37" i="4"/>
  <c r="K37" i="4"/>
  <c r="I38" i="4"/>
  <c r="J38" i="4"/>
  <c r="K38" i="4"/>
  <c r="I39" i="4"/>
  <c r="J39" i="4"/>
  <c r="K39" i="4"/>
  <c r="I40" i="4"/>
  <c r="J40" i="4"/>
  <c r="K40" i="4"/>
  <c r="I41" i="4"/>
  <c r="J41" i="4"/>
  <c r="K41" i="4"/>
  <c r="I42" i="4"/>
  <c r="J42" i="4"/>
  <c r="K42" i="4"/>
  <c r="I16" i="4"/>
  <c r="J16" i="4"/>
  <c r="K16" i="4"/>
  <c r="I17" i="4"/>
  <c r="J17" i="4"/>
  <c r="K17" i="4"/>
  <c r="I18" i="4"/>
  <c r="J18" i="4"/>
  <c r="K18" i="4"/>
  <c r="I19" i="4"/>
  <c r="J19" i="4"/>
  <c r="K19" i="4"/>
  <c r="I20" i="4"/>
  <c r="J20" i="4"/>
  <c r="K20" i="4"/>
  <c r="I2" i="4"/>
  <c r="J2" i="4"/>
  <c r="K2" i="4"/>
  <c r="L2" i="4"/>
  <c r="I3" i="4"/>
  <c r="J3" i="4"/>
  <c r="K3" i="4"/>
  <c r="L3" i="4"/>
  <c r="I4" i="4"/>
  <c r="J4" i="4"/>
  <c r="K4" i="4"/>
  <c r="L4" i="4"/>
  <c r="I5" i="4"/>
  <c r="J5" i="4"/>
  <c r="K5" i="4"/>
  <c r="L5" i="4"/>
  <c r="I6" i="4"/>
  <c r="J6" i="4"/>
  <c r="K6" i="4"/>
  <c r="L6" i="4"/>
  <c r="I7" i="4"/>
  <c r="J7" i="4"/>
  <c r="K7" i="4"/>
  <c r="L7" i="4"/>
  <c r="I8" i="4"/>
  <c r="J8" i="4"/>
  <c r="K8" i="4"/>
  <c r="L8" i="4"/>
  <c r="I9" i="4"/>
  <c r="J9" i="4"/>
  <c r="K9" i="4"/>
  <c r="L9" i="4"/>
  <c r="I10" i="4"/>
  <c r="J10" i="4"/>
  <c r="K10" i="4"/>
  <c r="L10" i="4"/>
  <c r="I11" i="4"/>
  <c r="J11" i="4"/>
  <c r="K11" i="4"/>
  <c r="L11" i="4"/>
  <c r="I12" i="4"/>
  <c r="J12" i="4"/>
  <c r="K12" i="4"/>
  <c r="L12" i="4"/>
  <c r="I13" i="4"/>
  <c r="J13" i="4"/>
  <c r="K13" i="4"/>
  <c r="L13" i="4"/>
  <c r="I14" i="4"/>
  <c r="J14" i="4"/>
  <c r="K14" i="4"/>
  <c r="L14" i="4"/>
  <c r="I15" i="4"/>
  <c r="J15" i="4"/>
  <c r="K15" i="4"/>
  <c r="L15" i="4"/>
  <c r="I156" i="3" l="1"/>
  <c r="J156" i="3"/>
  <c r="K156" i="3"/>
  <c r="L156" i="3"/>
  <c r="M156" i="3" s="1"/>
  <c r="I157" i="3"/>
  <c r="J157" i="3"/>
  <c r="K157" i="3"/>
  <c r="L157" i="3"/>
  <c r="M157" i="3" s="1"/>
  <c r="I158" i="3"/>
  <c r="J158" i="3"/>
  <c r="K158" i="3"/>
  <c r="L158" i="3"/>
  <c r="M158" i="3" s="1"/>
  <c r="I159" i="3"/>
  <c r="J159" i="3"/>
  <c r="K159" i="3"/>
  <c r="L159" i="3"/>
  <c r="M159" i="3" s="1"/>
  <c r="I160" i="3"/>
  <c r="J160" i="3"/>
  <c r="K160" i="3"/>
  <c r="L160" i="3"/>
  <c r="M160" i="3" s="1"/>
  <c r="I161" i="3"/>
  <c r="J161" i="3"/>
  <c r="K161" i="3"/>
  <c r="L161" i="3"/>
  <c r="M161" i="3" s="1"/>
  <c r="I162" i="3"/>
  <c r="J162" i="3"/>
  <c r="K162" i="3"/>
  <c r="L162" i="3"/>
  <c r="M162" i="3" s="1"/>
  <c r="I163" i="3"/>
  <c r="J163" i="3"/>
  <c r="K163" i="3"/>
  <c r="L163" i="3"/>
  <c r="M163" i="3" s="1"/>
  <c r="I164" i="3"/>
  <c r="J164" i="3"/>
  <c r="K164" i="3"/>
  <c r="L164" i="3"/>
  <c r="M164" i="3" s="1"/>
  <c r="I165" i="3"/>
  <c r="J165" i="3"/>
  <c r="K165" i="3"/>
  <c r="L165" i="3"/>
  <c r="M165" i="3" s="1"/>
  <c r="I166" i="3"/>
  <c r="J166" i="3"/>
  <c r="K166" i="3"/>
  <c r="L166" i="3"/>
  <c r="M166" i="3" s="1"/>
  <c r="I167" i="3"/>
  <c r="J167" i="3"/>
  <c r="K167" i="3"/>
  <c r="L167" i="3"/>
  <c r="M167" i="3"/>
  <c r="I144" i="3"/>
  <c r="J144" i="3"/>
  <c r="K144" i="3"/>
  <c r="L144" i="3"/>
  <c r="M144" i="3" s="1"/>
  <c r="I145" i="3"/>
  <c r="J145" i="3"/>
  <c r="K145" i="3"/>
  <c r="L145" i="3"/>
  <c r="M145" i="3" s="1"/>
  <c r="I146" i="3"/>
  <c r="J146" i="3"/>
  <c r="K146" i="3"/>
  <c r="L146" i="3"/>
  <c r="M146" i="3" s="1"/>
  <c r="I147" i="3"/>
  <c r="J147" i="3"/>
  <c r="K147" i="3"/>
  <c r="L147" i="3"/>
  <c r="M147" i="3" s="1"/>
  <c r="I148" i="3"/>
  <c r="J148" i="3"/>
  <c r="K148" i="3"/>
  <c r="L148" i="3"/>
  <c r="M148" i="3" s="1"/>
  <c r="I149" i="3"/>
  <c r="J149" i="3"/>
  <c r="K149" i="3"/>
  <c r="L149" i="3"/>
  <c r="M149" i="3" s="1"/>
  <c r="I150" i="3"/>
  <c r="J150" i="3"/>
  <c r="K150" i="3"/>
  <c r="L150" i="3"/>
  <c r="M150" i="3" s="1"/>
  <c r="I151" i="3"/>
  <c r="J151" i="3"/>
  <c r="K151" i="3"/>
  <c r="L151" i="3"/>
  <c r="M151" i="3" s="1"/>
  <c r="I152" i="3"/>
  <c r="J152" i="3"/>
  <c r="K152" i="3"/>
  <c r="L152" i="3"/>
  <c r="M152" i="3" s="1"/>
  <c r="I153" i="3"/>
  <c r="J153" i="3"/>
  <c r="K153" i="3"/>
  <c r="L153" i="3"/>
  <c r="M153" i="3" s="1"/>
  <c r="I154" i="3"/>
  <c r="J154" i="3"/>
  <c r="K154" i="3"/>
  <c r="L154" i="3"/>
  <c r="M154" i="3" s="1"/>
  <c r="I155" i="3"/>
  <c r="J155" i="3"/>
  <c r="K155" i="3"/>
  <c r="L155" i="3"/>
  <c r="M155" i="3" s="1"/>
  <c r="I132" i="3"/>
  <c r="J132" i="3"/>
  <c r="K132" i="3"/>
  <c r="L132" i="3"/>
  <c r="M132" i="3" s="1"/>
  <c r="I133" i="3"/>
  <c r="J133" i="3"/>
  <c r="K133" i="3"/>
  <c r="L133" i="3"/>
  <c r="M133" i="3" s="1"/>
  <c r="I134" i="3"/>
  <c r="J134" i="3"/>
  <c r="K134" i="3"/>
  <c r="L134" i="3"/>
  <c r="M134" i="3" s="1"/>
  <c r="I135" i="3"/>
  <c r="J135" i="3"/>
  <c r="K135" i="3"/>
  <c r="L135" i="3"/>
  <c r="M135" i="3" s="1"/>
  <c r="I136" i="3"/>
  <c r="J136" i="3"/>
  <c r="K136" i="3"/>
  <c r="L136" i="3"/>
  <c r="M136" i="3" s="1"/>
  <c r="I137" i="3"/>
  <c r="J137" i="3"/>
  <c r="K137" i="3"/>
  <c r="L137" i="3"/>
  <c r="M137" i="3" s="1"/>
  <c r="I138" i="3"/>
  <c r="J138" i="3"/>
  <c r="K138" i="3"/>
  <c r="L138" i="3"/>
  <c r="M138" i="3" s="1"/>
  <c r="I139" i="3"/>
  <c r="J139" i="3"/>
  <c r="K139" i="3"/>
  <c r="L139" i="3"/>
  <c r="M139" i="3" s="1"/>
  <c r="I140" i="3"/>
  <c r="J140" i="3"/>
  <c r="K140" i="3"/>
  <c r="L140" i="3"/>
  <c r="M140" i="3"/>
  <c r="I141" i="3"/>
  <c r="J141" i="3"/>
  <c r="K141" i="3"/>
  <c r="L141" i="3"/>
  <c r="M141" i="3" s="1"/>
  <c r="I142" i="3"/>
  <c r="J142" i="3"/>
  <c r="K142" i="3"/>
  <c r="L142" i="3"/>
  <c r="M142" i="3" s="1"/>
  <c r="I143" i="3"/>
  <c r="J143" i="3"/>
  <c r="K143" i="3"/>
  <c r="L143" i="3"/>
  <c r="M143" i="3" s="1"/>
  <c r="I117" i="3"/>
  <c r="J117" i="3"/>
  <c r="K117" i="3"/>
  <c r="L117" i="3"/>
  <c r="M117" i="3" s="1"/>
  <c r="I118" i="3"/>
  <c r="J118" i="3"/>
  <c r="K118" i="3"/>
  <c r="L118" i="3"/>
  <c r="M118" i="3" s="1"/>
  <c r="I119" i="3"/>
  <c r="J119" i="3"/>
  <c r="K119" i="3"/>
  <c r="L119" i="3"/>
  <c r="M119" i="3" s="1"/>
  <c r="I120" i="3"/>
  <c r="J120" i="3"/>
  <c r="K120" i="3"/>
  <c r="L120" i="3"/>
  <c r="M120" i="3" s="1"/>
  <c r="I121" i="3"/>
  <c r="J121" i="3"/>
  <c r="K121" i="3"/>
  <c r="L121" i="3"/>
  <c r="M121" i="3" s="1"/>
  <c r="I122" i="3"/>
  <c r="J122" i="3"/>
  <c r="K122" i="3"/>
  <c r="L122" i="3"/>
  <c r="M122" i="3" s="1"/>
  <c r="I123" i="3"/>
  <c r="J123" i="3"/>
  <c r="K123" i="3"/>
  <c r="L123" i="3"/>
  <c r="M123" i="3" s="1"/>
  <c r="I124" i="3"/>
  <c r="J124" i="3"/>
  <c r="K124" i="3"/>
  <c r="L124" i="3"/>
  <c r="M124" i="3"/>
  <c r="I125" i="3"/>
  <c r="J125" i="3"/>
  <c r="K125" i="3"/>
  <c r="L125" i="3"/>
  <c r="M125" i="3" s="1"/>
  <c r="I126" i="3"/>
  <c r="J126" i="3"/>
  <c r="K126" i="3"/>
  <c r="L126" i="3"/>
  <c r="M126" i="3" s="1"/>
  <c r="I127" i="3"/>
  <c r="J127" i="3"/>
  <c r="K127" i="3"/>
  <c r="L127" i="3"/>
  <c r="M127" i="3" s="1"/>
  <c r="I128" i="3"/>
  <c r="J128" i="3"/>
  <c r="K128" i="3"/>
  <c r="L128" i="3"/>
  <c r="M128" i="3" s="1"/>
  <c r="I129" i="3"/>
  <c r="J129" i="3"/>
  <c r="K129" i="3"/>
  <c r="L129" i="3"/>
  <c r="M129" i="3" s="1"/>
  <c r="I130" i="3"/>
  <c r="J130" i="3"/>
  <c r="K130" i="3"/>
  <c r="L130" i="3"/>
  <c r="M130" i="3" s="1"/>
  <c r="I131" i="3"/>
  <c r="J131" i="3"/>
  <c r="K131" i="3"/>
  <c r="L131" i="3"/>
  <c r="M131" i="3" s="1"/>
  <c r="I102" i="3"/>
  <c r="J102" i="3"/>
  <c r="K102" i="3"/>
  <c r="L102" i="3"/>
  <c r="M102" i="3" s="1"/>
  <c r="I103" i="3"/>
  <c r="J103" i="3"/>
  <c r="K103" i="3"/>
  <c r="L103" i="3"/>
  <c r="M103" i="3" s="1"/>
  <c r="I104" i="3"/>
  <c r="J104" i="3"/>
  <c r="K104" i="3"/>
  <c r="L104" i="3"/>
  <c r="M104" i="3" s="1"/>
  <c r="I105" i="3"/>
  <c r="J105" i="3"/>
  <c r="K105" i="3"/>
  <c r="L105" i="3"/>
  <c r="M105" i="3" s="1"/>
  <c r="I106" i="3"/>
  <c r="J106" i="3"/>
  <c r="K106" i="3"/>
  <c r="L106" i="3"/>
  <c r="M106" i="3" s="1"/>
  <c r="I107" i="3"/>
  <c r="J107" i="3"/>
  <c r="K107" i="3"/>
  <c r="L107" i="3"/>
  <c r="M107" i="3" s="1"/>
  <c r="I108" i="3"/>
  <c r="J108" i="3"/>
  <c r="K108" i="3"/>
  <c r="L108" i="3"/>
  <c r="M108" i="3" s="1"/>
  <c r="I109" i="3"/>
  <c r="J109" i="3"/>
  <c r="K109" i="3"/>
  <c r="L109" i="3"/>
  <c r="M109" i="3" s="1"/>
  <c r="I110" i="3"/>
  <c r="J110" i="3"/>
  <c r="K110" i="3"/>
  <c r="L110" i="3"/>
  <c r="M110" i="3" s="1"/>
  <c r="I111" i="3"/>
  <c r="J111" i="3"/>
  <c r="K111" i="3"/>
  <c r="L111" i="3"/>
  <c r="M111" i="3" s="1"/>
  <c r="I112" i="3"/>
  <c r="J112" i="3"/>
  <c r="K112" i="3"/>
  <c r="L112" i="3"/>
  <c r="M112" i="3" s="1"/>
  <c r="I113" i="3"/>
  <c r="J113" i="3"/>
  <c r="K113" i="3"/>
  <c r="L113" i="3"/>
  <c r="M113" i="3" s="1"/>
  <c r="I114" i="3"/>
  <c r="J114" i="3"/>
  <c r="K114" i="3"/>
  <c r="L114" i="3"/>
  <c r="M114" i="3" s="1"/>
  <c r="I115" i="3"/>
  <c r="J115" i="3"/>
  <c r="K115" i="3"/>
  <c r="L115" i="3"/>
  <c r="M115" i="3" s="1"/>
  <c r="I116" i="3"/>
  <c r="J116" i="3"/>
  <c r="K116" i="3"/>
  <c r="L116" i="3"/>
  <c r="M116" i="3" s="1"/>
  <c r="I89" i="3"/>
  <c r="J89" i="3"/>
  <c r="K89" i="3"/>
  <c r="L89" i="3"/>
  <c r="M89" i="3" s="1"/>
  <c r="I90" i="3"/>
  <c r="J90" i="3"/>
  <c r="K90" i="3"/>
  <c r="L90" i="3"/>
  <c r="M90" i="3" s="1"/>
  <c r="I91" i="3"/>
  <c r="J91" i="3"/>
  <c r="K91" i="3"/>
  <c r="L91" i="3"/>
  <c r="M91" i="3" s="1"/>
  <c r="I92" i="3"/>
  <c r="J92" i="3"/>
  <c r="K92" i="3"/>
  <c r="L92" i="3"/>
  <c r="M92" i="3" s="1"/>
  <c r="I93" i="3"/>
  <c r="J93" i="3"/>
  <c r="K93" i="3"/>
  <c r="L93" i="3"/>
  <c r="M93" i="3" s="1"/>
  <c r="I94" i="3"/>
  <c r="J94" i="3"/>
  <c r="K94" i="3"/>
  <c r="L94" i="3"/>
  <c r="M94" i="3" s="1"/>
  <c r="I95" i="3"/>
  <c r="J95" i="3"/>
  <c r="K95" i="3"/>
  <c r="L95" i="3"/>
  <c r="M95" i="3" s="1"/>
  <c r="I96" i="3"/>
  <c r="J96" i="3"/>
  <c r="K96" i="3"/>
  <c r="L96" i="3"/>
  <c r="M96" i="3" s="1"/>
  <c r="I97" i="3"/>
  <c r="J97" i="3"/>
  <c r="K97" i="3"/>
  <c r="L97" i="3"/>
  <c r="M97" i="3" s="1"/>
  <c r="I98" i="3"/>
  <c r="J98" i="3"/>
  <c r="K98" i="3"/>
  <c r="L98" i="3"/>
  <c r="M98" i="3" s="1"/>
  <c r="I99" i="3"/>
  <c r="J99" i="3"/>
  <c r="K99" i="3"/>
  <c r="L99" i="3"/>
  <c r="M99" i="3" s="1"/>
  <c r="I100" i="3"/>
  <c r="J100" i="3"/>
  <c r="K100" i="3"/>
  <c r="L100" i="3"/>
  <c r="M100" i="3" s="1"/>
  <c r="I101" i="3"/>
  <c r="J101" i="3"/>
  <c r="K101" i="3"/>
  <c r="L101" i="3"/>
  <c r="M101" i="3" s="1"/>
  <c r="I77" i="3"/>
  <c r="J77" i="3"/>
  <c r="K77" i="3"/>
  <c r="L77" i="3"/>
  <c r="M77" i="3" s="1"/>
  <c r="I78" i="3"/>
  <c r="J78" i="3"/>
  <c r="K78" i="3"/>
  <c r="L78" i="3"/>
  <c r="M78" i="3" s="1"/>
  <c r="I79" i="3"/>
  <c r="J79" i="3"/>
  <c r="K79" i="3"/>
  <c r="L79" i="3"/>
  <c r="M79" i="3" s="1"/>
  <c r="I80" i="3"/>
  <c r="J80" i="3"/>
  <c r="K80" i="3"/>
  <c r="L80" i="3"/>
  <c r="M80" i="3" s="1"/>
  <c r="I81" i="3"/>
  <c r="J81" i="3"/>
  <c r="K81" i="3"/>
  <c r="L81" i="3"/>
  <c r="M81" i="3" s="1"/>
  <c r="I82" i="3"/>
  <c r="J82" i="3"/>
  <c r="K82" i="3"/>
  <c r="L82" i="3"/>
  <c r="M82" i="3" s="1"/>
  <c r="I83" i="3"/>
  <c r="J83" i="3"/>
  <c r="K83" i="3"/>
  <c r="L83" i="3"/>
  <c r="M83" i="3" s="1"/>
  <c r="I84" i="3"/>
  <c r="J84" i="3"/>
  <c r="K84" i="3"/>
  <c r="L84" i="3"/>
  <c r="M84" i="3" s="1"/>
  <c r="I85" i="3"/>
  <c r="J85" i="3"/>
  <c r="K85" i="3"/>
  <c r="L85" i="3"/>
  <c r="M85" i="3" s="1"/>
  <c r="I86" i="3"/>
  <c r="J86" i="3"/>
  <c r="K86" i="3"/>
  <c r="L86" i="3"/>
  <c r="M86" i="3" s="1"/>
  <c r="I87" i="3"/>
  <c r="J87" i="3"/>
  <c r="K87" i="3"/>
  <c r="L87" i="3"/>
  <c r="M87" i="3" s="1"/>
  <c r="I88" i="3"/>
  <c r="J88" i="3"/>
  <c r="K88" i="3"/>
  <c r="L88" i="3"/>
  <c r="M88" i="3"/>
  <c r="I64" i="3"/>
  <c r="J64" i="3"/>
  <c r="K64" i="3"/>
  <c r="L64" i="3"/>
  <c r="M64" i="3" s="1"/>
  <c r="I65" i="3"/>
  <c r="J65" i="3"/>
  <c r="K65" i="3"/>
  <c r="L65" i="3"/>
  <c r="M65" i="3" s="1"/>
  <c r="I66" i="3"/>
  <c r="J66" i="3"/>
  <c r="K66" i="3"/>
  <c r="L66" i="3"/>
  <c r="M66" i="3" s="1"/>
  <c r="I67" i="3"/>
  <c r="J67" i="3"/>
  <c r="K67" i="3"/>
  <c r="L67" i="3"/>
  <c r="M67" i="3" s="1"/>
  <c r="I68" i="3"/>
  <c r="J68" i="3"/>
  <c r="K68" i="3"/>
  <c r="L68" i="3"/>
  <c r="M68" i="3" s="1"/>
  <c r="I69" i="3"/>
  <c r="J69" i="3"/>
  <c r="K69" i="3"/>
  <c r="L69" i="3"/>
  <c r="M69" i="3" s="1"/>
  <c r="I70" i="3"/>
  <c r="J70" i="3"/>
  <c r="K70" i="3"/>
  <c r="L70" i="3"/>
  <c r="M70" i="3" s="1"/>
  <c r="I71" i="3"/>
  <c r="J71" i="3"/>
  <c r="K71" i="3"/>
  <c r="L71" i="3"/>
  <c r="M71" i="3" s="1"/>
  <c r="I72" i="3"/>
  <c r="J72" i="3"/>
  <c r="K72" i="3"/>
  <c r="L72" i="3"/>
  <c r="M72" i="3" s="1"/>
  <c r="I73" i="3"/>
  <c r="J73" i="3"/>
  <c r="K73" i="3"/>
  <c r="L73" i="3"/>
  <c r="M73" i="3" s="1"/>
  <c r="I74" i="3"/>
  <c r="J74" i="3"/>
  <c r="K74" i="3"/>
  <c r="L74" i="3"/>
  <c r="M74" i="3" s="1"/>
  <c r="I75" i="3"/>
  <c r="J75" i="3"/>
  <c r="K75" i="3"/>
  <c r="L75" i="3"/>
  <c r="M75" i="3" s="1"/>
  <c r="I76" i="3"/>
  <c r="J76" i="3"/>
  <c r="K76" i="3"/>
  <c r="L76" i="3"/>
  <c r="M76" i="3" s="1"/>
  <c r="I53" i="3"/>
  <c r="J53" i="3"/>
  <c r="K53" i="3"/>
  <c r="L53" i="3"/>
  <c r="M53" i="3" s="1"/>
  <c r="I54" i="3"/>
  <c r="J54" i="3"/>
  <c r="K54" i="3"/>
  <c r="L54" i="3"/>
  <c r="M54" i="3" s="1"/>
  <c r="I55" i="3"/>
  <c r="J55" i="3"/>
  <c r="K55" i="3"/>
  <c r="L55" i="3"/>
  <c r="M55" i="3" s="1"/>
  <c r="I56" i="3"/>
  <c r="J56" i="3"/>
  <c r="K56" i="3"/>
  <c r="L56" i="3"/>
  <c r="M56" i="3" s="1"/>
  <c r="I57" i="3"/>
  <c r="J57" i="3"/>
  <c r="K57" i="3"/>
  <c r="L57" i="3"/>
  <c r="M57" i="3" s="1"/>
  <c r="I58" i="3"/>
  <c r="J58" i="3"/>
  <c r="K58" i="3"/>
  <c r="L58" i="3"/>
  <c r="M58" i="3"/>
  <c r="I59" i="3"/>
  <c r="J59" i="3"/>
  <c r="K59" i="3"/>
  <c r="L59" i="3"/>
  <c r="M59" i="3" s="1"/>
  <c r="I60" i="3"/>
  <c r="J60" i="3"/>
  <c r="K60" i="3"/>
  <c r="L60" i="3"/>
  <c r="M60" i="3" s="1"/>
  <c r="I61" i="3"/>
  <c r="J61" i="3"/>
  <c r="K61" i="3"/>
  <c r="L61" i="3"/>
  <c r="M61" i="3" s="1"/>
  <c r="I62" i="3"/>
  <c r="J62" i="3"/>
  <c r="K62" i="3"/>
  <c r="L62" i="3"/>
  <c r="M62" i="3" s="1"/>
  <c r="I63" i="3"/>
  <c r="J63" i="3"/>
  <c r="K63" i="3"/>
  <c r="L63" i="3"/>
  <c r="M63" i="3" s="1"/>
  <c r="I39" i="3"/>
  <c r="J39" i="3"/>
  <c r="K39" i="3"/>
  <c r="L39" i="3"/>
  <c r="M39" i="3" s="1"/>
  <c r="I40" i="3"/>
  <c r="J40" i="3"/>
  <c r="K40" i="3"/>
  <c r="L40" i="3"/>
  <c r="M40" i="3" s="1"/>
  <c r="I41" i="3"/>
  <c r="J41" i="3"/>
  <c r="K41" i="3"/>
  <c r="L41" i="3"/>
  <c r="M41" i="3" s="1"/>
  <c r="I42" i="3"/>
  <c r="J42" i="3"/>
  <c r="K42" i="3"/>
  <c r="L42" i="3"/>
  <c r="M42" i="3" s="1"/>
  <c r="I43" i="3"/>
  <c r="J43" i="3"/>
  <c r="K43" i="3"/>
  <c r="L43" i="3"/>
  <c r="M43" i="3" s="1"/>
  <c r="I44" i="3"/>
  <c r="J44" i="3"/>
  <c r="K44" i="3"/>
  <c r="L44" i="3"/>
  <c r="M44" i="3" s="1"/>
  <c r="I45" i="3"/>
  <c r="J45" i="3"/>
  <c r="K45" i="3"/>
  <c r="L45" i="3"/>
  <c r="M45" i="3" s="1"/>
  <c r="I46" i="3"/>
  <c r="J46" i="3"/>
  <c r="K46" i="3"/>
  <c r="L46" i="3"/>
  <c r="M46" i="3" s="1"/>
  <c r="I47" i="3"/>
  <c r="J47" i="3"/>
  <c r="K47" i="3"/>
  <c r="L47" i="3"/>
  <c r="M47" i="3" s="1"/>
  <c r="I48" i="3"/>
  <c r="J48" i="3"/>
  <c r="K48" i="3"/>
  <c r="L48" i="3"/>
  <c r="M48" i="3" s="1"/>
  <c r="I49" i="3"/>
  <c r="J49" i="3"/>
  <c r="K49" i="3"/>
  <c r="L49" i="3"/>
  <c r="M49" i="3" s="1"/>
  <c r="I50" i="3"/>
  <c r="J50" i="3"/>
  <c r="K50" i="3"/>
  <c r="L50" i="3"/>
  <c r="M50" i="3" s="1"/>
  <c r="I51" i="3"/>
  <c r="J51" i="3"/>
  <c r="K51" i="3"/>
  <c r="L51" i="3"/>
  <c r="M51" i="3" s="1"/>
  <c r="I52" i="3"/>
  <c r="J52" i="3"/>
  <c r="K52" i="3"/>
  <c r="L52" i="3"/>
  <c r="M52" i="3" s="1"/>
  <c r="I24" i="3"/>
  <c r="J24" i="3"/>
  <c r="K24" i="3"/>
  <c r="L24" i="3"/>
  <c r="M24" i="3" s="1"/>
  <c r="I25" i="3"/>
  <c r="J25" i="3"/>
  <c r="K25" i="3"/>
  <c r="L25" i="3"/>
  <c r="M25" i="3" s="1"/>
  <c r="I26" i="3"/>
  <c r="J26" i="3"/>
  <c r="K26" i="3"/>
  <c r="L26" i="3"/>
  <c r="M26" i="3" s="1"/>
  <c r="I27" i="3"/>
  <c r="J27" i="3"/>
  <c r="K27" i="3"/>
  <c r="L27" i="3"/>
  <c r="M27" i="3" s="1"/>
  <c r="I28" i="3"/>
  <c r="J28" i="3"/>
  <c r="K28" i="3"/>
  <c r="L28" i="3"/>
  <c r="M28" i="3" s="1"/>
  <c r="I29" i="3"/>
  <c r="J29" i="3"/>
  <c r="K29" i="3"/>
  <c r="L29" i="3"/>
  <c r="M29" i="3" s="1"/>
  <c r="I30" i="3"/>
  <c r="J30" i="3"/>
  <c r="K30" i="3"/>
  <c r="L30" i="3"/>
  <c r="M30" i="3" s="1"/>
  <c r="I31" i="3"/>
  <c r="J31" i="3"/>
  <c r="K31" i="3"/>
  <c r="L31" i="3"/>
  <c r="M31" i="3" s="1"/>
  <c r="I32" i="3"/>
  <c r="J32" i="3"/>
  <c r="K32" i="3"/>
  <c r="L32" i="3"/>
  <c r="M32" i="3" s="1"/>
  <c r="I33" i="3"/>
  <c r="J33" i="3"/>
  <c r="K33" i="3"/>
  <c r="L33" i="3"/>
  <c r="M33" i="3" s="1"/>
  <c r="I34" i="3"/>
  <c r="J34" i="3"/>
  <c r="K34" i="3"/>
  <c r="L34" i="3"/>
  <c r="M34" i="3" s="1"/>
  <c r="I35" i="3"/>
  <c r="J35" i="3"/>
  <c r="K35" i="3"/>
  <c r="L35" i="3"/>
  <c r="M35" i="3" s="1"/>
  <c r="I36" i="3"/>
  <c r="J36" i="3"/>
  <c r="K36" i="3"/>
  <c r="L36" i="3"/>
  <c r="M36" i="3" s="1"/>
  <c r="I37" i="3"/>
  <c r="J37" i="3"/>
  <c r="K37" i="3"/>
  <c r="L37" i="3"/>
  <c r="M37" i="3" s="1"/>
  <c r="I38" i="3"/>
  <c r="J38" i="3"/>
  <c r="K38" i="3"/>
  <c r="L38" i="3"/>
  <c r="M38" i="3" s="1"/>
  <c r="I12" i="3"/>
  <c r="J12" i="3"/>
  <c r="K12" i="3"/>
  <c r="L12" i="3"/>
  <c r="M12" i="3" s="1"/>
  <c r="I13" i="3"/>
  <c r="J13" i="3"/>
  <c r="K13" i="3"/>
  <c r="L13" i="3"/>
  <c r="M13" i="3" s="1"/>
  <c r="I14" i="3"/>
  <c r="J14" i="3"/>
  <c r="K14" i="3"/>
  <c r="L14" i="3"/>
  <c r="M14" i="3" s="1"/>
  <c r="I15" i="3"/>
  <c r="J15" i="3"/>
  <c r="K15" i="3"/>
  <c r="L15" i="3"/>
  <c r="M15" i="3" s="1"/>
  <c r="I16" i="3"/>
  <c r="J16" i="3"/>
  <c r="K16" i="3"/>
  <c r="L16" i="3"/>
  <c r="M16" i="3" s="1"/>
  <c r="I17" i="3"/>
  <c r="J17" i="3"/>
  <c r="K17" i="3"/>
  <c r="L17" i="3"/>
  <c r="M17" i="3" s="1"/>
  <c r="I18" i="3"/>
  <c r="J18" i="3"/>
  <c r="K18" i="3"/>
  <c r="L18" i="3"/>
  <c r="M18" i="3" s="1"/>
  <c r="I19" i="3"/>
  <c r="J19" i="3"/>
  <c r="K19" i="3"/>
  <c r="L19" i="3"/>
  <c r="M19" i="3" s="1"/>
  <c r="I20" i="3"/>
  <c r="J20" i="3"/>
  <c r="K20" i="3"/>
  <c r="L20" i="3"/>
  <c r="M20" i="3" s="1"/>
  <c r="I21" i="3"/>
  <c r="J21" i="3"/>
  <c r="K21" i="3"/>
  <c r="L21" i="3"/>
  <c r="M21" i="3" s="1"/>
  <c r="I22" i="3"/>
  <c r="J22" i="3"/>
  <c r="K22" i="3"/>
  <c r="L22" i="3"/>
  <c r="M22" i="3" s="1"/>
  <c r="I23" i="3"/>
  <c r="J23" i="3"/>
  <c r="K23" i="3"/>
  <c r="L23" i="3"/>
  <c r="M23" i="3" s="1"/>
  <c r="I11" i="3"/>
  <c r="J11" i="3"/>
  <c r="K11" i="3"/>
  <c r="L11" i="3"/>
  <c r="M11" i="3"/>
  <c r="I2" i="3"/>
  <c r="J2" i="3"/>
  <c r="K2" i="3"/>
  <c r="L2" i="3"/>
  <c r="M2" i="3" s="1"/>
  <c r="I3" i="3"/>
  <c r="J3" i="3"/>
  <c r="K3" i="3"/>
  <c r="L3" i="3"/>
  <c r="M3" i="3" s="1"/>
  <c r="I4" i="3"/>
  <c r="J4" i="3"/>
  <c r="K4" i="3"/>
  <c r="L4" i="3"/>
  <c r="M4" i="3" s="1"/>
  <c r="I5" i="3"/>
  <c r="J5" i="3"/>
  <c r="K5" i="3"/>
  <c r="L5" i="3"/>
  <c r="M5" i="3" s="1"/>
  <c r="I6" i="3"/>
  <c r="J6" i="3"/>
  <c r="K6" i="3"/>
  <c r="L6" i="3"/>
  <c r="M6" i="3" s="1"/>
  <c r="I7" i="3"/>
  <c r="J7" i="3"/>
  <c r="K7" i="3"/>
  <c r="L7" i="3"/>
  <c r="M7" i="3" s="1"/>
  <c r="I8" i="3"/>
  <c r="J8" i="3"/>
  <c r="K8" i="3"/>
  <c r="L8" i="3"/>
  <c r="M8" i="3" s="1"/>
  <c r="I9" i="3"/>
  <c r="J9" i="3"/>
  <c r="K9" i="3"/>
  <c r="L9" i="3"/>
  <c r="M9" i="3" s="1"/>
  <c r="I10" i="3"/>
  <c r="J10" i="3"/>
  <c r="K10" i="3"/>
  <c r="L10" i="3"/>
  <c r="M10" i="3" s="1"/>
  <c r="I998" i="2" l="1"/>
  <c r="J998" i="2"/>
  <c r="K998" i="2"/>
  <c r="L998" i="2"/>
  <c r="M998" i="2" s="1"/>
  <c r="I999" i="2"/>
  <c r="J999" i="2"/>
  <c r="K999" i="2"/>
  <c r="L999" i="2"/>
  <c r="M999" i="2" s="1"/>
  <c r="I1000" i="2"/>
  <c r="J1000" i="2"/>
  <c r="K1000" i="2"/>
  <c r="L1000" i="2"/>
  <c r="M1000" i="2" s="1"/>
  <c r="I1001" i="2"/>
  <c r="J1001" i="2"/>
  <c r="K1001" i="2"/>
  <c r="L1001" i="2"/>
  <c r="M1001" i="2" s="1"/>
  <c r="I1002" i="2"/>
  <c r="J1002" i="2"/>
  <c r="K1002" i="2"/>
  <c r="L1002" i="2"/>
  <c r="M1002" i="2" s="1"/>
  <c r="I1003" i="2"/>
  <c r="J1003" i="2"/>
  <c r="K1003" i="2"/>
  <c r="L1003" i="2"/>
  <c r="M1003" i="2" s="1"/>
  <c r="I1004" i="2"/>
  <c r="J1004" i="2"/>
  <c r="K1004" i="2"/>
  <c r="L1004" i="2"/>
  <c r="M1004" i="2" s="1"/>
  <c r="I1005" i="2"/>
  <c r="J1005" i="2"/>
  <c r="K1005" i="2"/>
  <c r="L1005" i="2"/>
  <c r="M1005" i="2" s="1"/>
  <c r="I1006" i="2"/>
  <c r="J1006" i="2"/>
  <c r="K1006" i="2"/>
  <c r="L1006" i="2"/>
  <c r="M1006" i="2" s="1"/>
  <c r="I1007" i="2"/>
  <c r="J1007" i="2"/>
  <c r="K1007" i="2"/>
  <c r="L1007" i="2"/>
  <c r="M1007" i="2" s="1"/>
  <c r="I1008" i="2"/>
  <c r="J1008" i="2"/>
  <c r="K1008" i="2"/>
  <c r="L1008" i="2"/>
  <c r="M1008" i="2" s="1"/>
  <c r="I1009" i="2"/>
  <c r="J1009" i="2"/>
  <c r="K1009" i="2"/>
  <c r="L1009" i="2"/>
  <c r="M1009" i="2" s="1"/>
  <c r="I1010" i="2"/>
  <c r="J1010" i="2"/>
  <c r="K1010" i="2"/>
  <c r="L1010" i="2"/>
  <c r="M1010" i="2" s="1"/>
  <c r="I1011" i="2"/>
  <c r="J1011" i="2"/>
  <c r="K1011" i="2"/>
  <c r="L1011" i="2"/>
  <c r="M1011" i="2" s="1"/>
  <c r="I1012" i="2"/>
  <c r="J1012" i="2"/>
  <c r="K1012" i="2"/>
  <c r="L1012" i="2"/>
  <c r="M1012" i="2" s="1"/>
  <c r="I1013" i="2"/>
  <c r="J1013" i="2"/>
  <c r="K1013" i="2"/>
  <c r="L1013" i="2"/>
  <c r="M1013" i="2" s="1"/>
  <c r="I1014" i="2"/>
  <c r="J1014" i="2"/>
  <c r="K1014" i="2"/>
  <c r="L1014" i="2"/>
  <c r="M1014" i="2" s="1"/>
  <c r="I1015" i="2"/>
  <c r="J1015" i="2"/>
  <c r="K1015" i="2"/>
  <c r="L1015" i="2"/>
  <c r="M1015" i="2" s="1"/>
  <c r="I1016" i="2"/>
  <c r="J1016" i="2"/>
  <c r="K1016" i="2"/>
  <c r="L1016" i="2"/>
  <c r="M1016" i="2" s="1"/>
  <c r="I1017" i="2"/>
  <c r="J1017" i="2"/>
  <c r="K1017" i="2"/>
  <c r="L1017" i="2"/>
  <c r="M1017" i="2" s="1"/>
  <c r="I1018" i="2"/>
  <c r="J1018" i="2"/>
  <c r="K1018" i="2"/>
  <c r="L1018" i="2"/>
  <c r="M1018" i="2" s="1"/>
  <c r="I1019" i="2"/>
  <c r="J1019" i="2"/>
  <c r="K1019" i="2"/>
  <c r="L1019" i="2"/>
  <c r="M1019" i="2" s="1"/>
  <c r="I1020" i="2"/>
  <c r="J1020" i="2"/>
  <c r="K1020" i="2"/>
  <c r="L1020" i="2"/>
  <c r="M1020" i="2" s="1"/>
  <c r="I1021" i="2"/>
  <c r="J1021" i="2"/>
  <c r="K1021" i="2"/>
  <c r="L1021" i="2"/>
  <c r="M1021" i="2" s="1"/>
  <c r="I1022" i="2"/>
  <c r="J1022" i="2"/>
  <c r="K1022" i="2"/>
  <c r="L1022" i="2"/>
  <c r="M1022" i="2" s="1"/>
  <c r="I1023" i="2"/>
  <c r="J1023" i="2"/>
  <c r="K1023" i="2"/>
  <c r="L1023" i="2"/>
  <c r="M1023" i="2" s="1"/>
  <c r="I1024" i="2"/>
  <c r="J1024" i="2"/>
  <c r="K1024" i="2"/>
  <c r="L1024" i="2"/>
  <c r="M1024" i="2" s="1"/>
  <c r="I1025" i="2"/>
  <c r="J1025" i="2"/>
  <c r="K1025" i="2"/>
  <c r="L1025" i="2"/>
  <c r="M1025" i="2" s="1"/>
  <c r="I1026" i="2"/>
  <c r="J1026" i="2"/>
  <c r="K1026" i="2"/>
  <c r="L1026" i="2"/>
  <c r="M1026" i="2" s="1"/>
  <c r="I1027" i="2"/>
  <c r="J1027" i="2"/>
  <c r="K1027" i="2"/>
  <c r="L1027" i="2"/>
  <c r="M1027" i="2" s="1"/>
  <c r="I1028" i="2"/>
  <c r="J1028" i="2"/>
  <c r="K1028" i="2"/>
  <c r="L1028" i="2"/>
  <c r="M1028" i="2" s="1"/>
  <c r="I1029" i="2"/>
  <c r="J1029" i="2"/>
  <c r="K1029" i="2"/>
  <c r="L1029" i="2"/>
  <c r="M1029" i="2" s="1"/>
  <c r="I1030" i="2"/>
  <c r="J1030" i="2"/>
  <c r="K1030" i="2"/>
  <c r="L1030" i="2"/>
  <c r="M1030" i="2" s="1"/>
  <c r="I1031" i="2"/>
  <c r="J1031" i="2"/>
  <c r="K1031" i="2"/>
  <c r="L1031" i="2"/>
  <c r="M1031" i="2" s="1"/>
  <c r="I1032" i="2"/>
  <c r="J1032" i="2"/>
  <c r="K1032" i="2"/>
  <c r="L1032" i="2"/>
  <c r="M1032" i="2" s="1"/>
  <c r="I1033" i="2"/>
  <c r="J1033" i="2"/>
  <c r="K1033" i="2"/>
  <c r="L1033" i="2"/>
  <c r="M1033" i="2" s="1"/>
  <c r="I1034" i="2"/>
  <c r="J1034" i="2"/>
  <c r="K1034" i="2"/>
  <c r="L1034" i="2"/>
  <c r="M1034" i="2" s="1"/>
  <c r="I1035" i="2"/>
  <c r="J1035" i="2"/>
  <c r="K1035" i="2"/>
  <c r="L1035" i="2"/>
  <c r="M1035" i="2" s="1"/>
  <c r="I1036" i="2"/>
  <c r="J1036" i="2"/>
  <c r="K1036" i="2"/>
  <c r="L1036" i="2"/>
  <c r="M1036" i="2" s="1"/>
  <c r="I1037" i="2"/>
  <c r="J1037" i="2"/>
  <c r="K1037" i="2"/>
  <c r="L1037" i="2"/>
  <c r="M1037" i="2" s="1"/>
  <c r="I1038" i="2"/>
  <c r="J1038" i="2"/>
  <c r="K1038" i="2"/>
  <c r="L1038" i="2"/>
  <c r="M1038" i="2" s="1"/>
  <c r="I1039" i="2"/>
  <c r="J1039" i="2"/>
  <c r="K1039" i="2"/>
  <c r="L1039" i="2"/>
  <c r="M1039" i="2" s="1"/>
  <c r="I1040" i="2"/>
  <c r="J1040" i="2"/>
  <c r="K1040" i="2"/>
  <c r="L1040" i="2"/>
  <c r="M1040" i="2" s="1"/>
  <c r="I1041" i="2"/>
  <c r="J1041" i="2"/>
  <c r="K1041" i="2"/>
  <c r="L1041" i="2"/>
  <c r="M1041" i="2" s="1"/>
  <c r="I1042" i="2"/>
  <c r="J1042" i="2"/>
  <c r="K1042" i="2"/>
  <c r="L1042" i="2"/>
  <c r="M1042" i="2" s="1"/>
  <c r="I1043" i="2"/>
  <c r="J1043" i="2"/>
  <c r="K1043" i="2"/>
  <c r="L1043" i="2"/>
  <c r="M1043" i="2" s="1"/>
  <c r="I1044" i="2"/>
  <c r="J1044" i="2"/>
  <c r="K1044" i="2"/>
  <c r="L1044" i="2"/>
  <c r="M1044" i="2" s="1"/>
  <c r="I1045" i="2"/>
  <c r="J1045" i="2"/>
  <c r="K1045" i="2"/>
  <c r="L1045" i="2"/>
  <c r="M1045" i="2" s="1"/>
  <c r="I1046" i="2"/>
  <c r="J1046" i="2"/>
  <c r="K1046" i="2"/>
  <c r="L1046" i="2"/>
  <c r="M1046" i="2" s="1"/>
  <c r="I1047" i="2"/>
  <c r="J1047" i="2"/>
  <c r="K1047" i="2"/>
  <c r="L1047" i="2"/>
  <c r="M1047" i="2" s="1"/>
  <c r="I1048" i="2"/>
  <c r="J1048" i="2"/>
  <c r="K1048" i="2"/>
  <c r="L1048" i="2"/>
  <c r="M1048" i="2" s="1"/>
  <c r="I1049" i="2"/>
  <c r="J1049" i="2"/>
  <c r="K1049" i="2"/>
  <c r="L1049" i="2"/>
  <c r="M1049" i="2" s="1"/>
  <c r="I1050" i="2"/>
  <c r="J1050" i="2"/>
  <c r="K1050" i="2"/>
  <c r="L1050" i="2"/>
  <c r="M1050" i="2" s="1"/>
  <c r="I1051" i="2"/>
  <c r="J1051" i="2"/>
  <c r="K1051" i="2"/>
  <c r="L1051" i="2"/>
  <c r="M1051" i="2" s="1"/>
  <c r="I1052" i="2"/>
  <c r="J1052" i="2"/>
  <c r="K1052" i="2"/>
  <c r="L1052" i="2"/>
  <c r="M1052" i="2" s="1"/>
  <c r="I1053" i="2"/>
  <c r="J1053" i="2"/>
  <c r="K1053" i="2"/>
  <c r="L1053" i="2"/>
  <c r="M1053" i="2" s="1"/>
  <c r="I1054" i="2"/>
  <c r="J1054" i="2"/>
  <c r="K1054" i="2"/>
  <c r="L1054" i="2"/>
  <c r="M1054" i="2" s="1"/>
  <c r="I1055" i="2"/>
  <c r="J1055" i="2"/>
  <c r="K1055" i="2"/>
  <c r="L1055" i="2"/>
  <c r="M1055" i="2" s="1"/>
  <c r="I1056" i="2"/>
  <c r="J1056" i="2"/>
  <c r="K1056" i="2"/>
  <c r="L1056" i="2"/>
  <c r="M1056" i="2" s="1"/>
  <c r="I1057" i="2"/>
  <c r="J1057" i="2"/>
  <c r="K1057" i="2"/>
  <c r="L1057" i="2"/>
  <c r="M1057" i="2" s="1"/>
  <c r="I1058" i="2"/>
  <c r="J1058" i="2"/>
  <c r="K1058" i="2"/>
  <c r="L1058" i="2"/>
  <c r="M1058" i="2" s="1"/>
  <c r="I1059" i="2"/>
  <c r="J1059" i="2"/>
  <c r="K1059" i="2"/>
  <c r="L1059" i="2"/>
  <c r="M1059" i="2" s="1"/>
  <c r="I1060" i="2"/>
  <c r="J1060" i="2"/>
  <c r="K1060" i="2"/>
  <c r="L1060" i="2"/>
  <c r="M1060" i="2" s="1"/>
  <c r="I1061" i="2"/>
  <c r="J1061" i="2"/>
  <c r="K1061" i="2"/>
  <c r="L1061" i="2"/>
  <c r="M1061" i="2" s="1"/>
  <c r="I1062" i="2"/>
  <c r="J1062" i="2"/>
  <c r="K1062" i="2"/>
  <c r="L1062" i="2"/>
  <c r="M1062" i="2" s="1"/>
  <c r="I1063" i="2"/>
  <c r="J1063" i="2"/>
  <c r="K1063" i="2"/>
  <c r="L1063" i="2"/>
  <c r="M1063" i="2" s="1"/>
  <c r="I1064" i="2"/>
  <c r="J1064" i="2"/>
  <c r="K1064" i="2"/>
  <c r="L1064" i="2"/>
  <c r="M1064" i="2" s="1"/>
  <c r="I1065" i="2"/>
  <c r="J1065" i="2"/>
  <c r="K1065" i="2"/>
  <c r="L1065" i="2"/>
  <c r="M1065" i="2" s="1"/>
  <c r="I1066" i="2"/>
  <c r="J1066" i="2"/>
  <c r="K1066" i="2"/>
  <c r="L1066" i="2"/>
  <c r="M1066" i="2" s="1"/>
  <c r="I1067" i="2"/>
  <c r="J1067" i="2"/>
  <c r="K1067" i="2"/>
  <c r="L1067" i="2"/>
  <c r="M1067" i="2" s="1"/>
  <c r="I1068" i="2"/>
  <c r="J1068" i="2"/>
  <c r="K1068" i="2"/>
  <c r="L1068" i="2"/>
  <c r="M1068" i="2" s="1"/>
  <c r="I1069" i="2"/>
  <c r="J1069" i="2"/>
  <c r="K1069" i="2"/>
  <c r="L1069" i="2"/>
  <c r="M1069" i="2" s="1"/>
  <c r="I1070" i="2"/>
  <c r="J1070" i="2"/>
  <c r="K1070" i="2"/>
  <c r="L1070" i="2"/>
  <c r="M1070" i="2" s="1"/>
  <c r="I1071" i="2"/>
  <c r="J1071" i="2"/>
  <c r="K1071" i="2"/>
  <c r="L1071" i="2"/>
  <c r="M1071" i="2" s="1"/>
  <c r="I1072" i="2"/>
  <c r="J1072" i="2"/>
  <c r="K1072" i="2"/>
  <c r="L1072" i="2"/>
  <c r="M1072" i="2" s="1"/>
  <c r="I1073" i="2"/>
  <c r="J1073" i="2"/>
  <c r="K1073" i="2"/>
  <c r="L1073" i="2"/>
  <c r="M1073" i="2" s="1"/>
  <c r="I925" i="2"/>
  <c r="J925" i="2"/>
  <c r="K925" i="2"/>
  <c r="L925" i="2"/>
  <c r="M925" i="2" s="1"/>
  <c r="I926" i="2"/>
  <c r="J926" i="2"/>
  <c r="K926" i="2"/>
  <c r="L926" i="2"/>
  <c r="M926" i="2" s="1"/>
  <c r="I927" i="2"/>
  <c r="J927" i="2"/>
  <c r="K927" i="2"/>
  <c r="L927" i="2"/>
  <c r="M927" i="2" s="1"/>
  <c r="I928" i="2"/>
  <c r="J928" i="2"/>
  <c r="K928" i="2"/>
  <c r="L928" i="2"/>
  <c r="M928" i="2" s="1"/>
  <c r="I929" i="2"/>
  <c r="J929" i="2"/>
  <c r="K929" i="2"/>
  <c r="L929" i="2"/>
  <c r="M929" i="2" s="1"/>
  <c r="I930" i="2"/>
  <c r="J930" i="2"/>
  <c r="K930" i="2"/>
  <c r="L930" i="2"/>
  <c r="M930" i="2" s="1"/>
  <c r="I931" i="2"/>
  <c r="J931" i="2"/>
  <c r="K931" i="2"/>
  <c r="L931" i="2"/>
  <c r="M931" i="2" s="1"/>
  <c r="I932" i="2"/>
  <c r="J932" i="2"/>
  <c r="K932" i="2"/>
  <c r="L932" i="2"/>
  <c r="M932" i="2" s="1"/>
  <c r="I933" i="2"/>
  <c r="J933" i="2"/>
  <c r="K933" i="2"/>
  <c r="L933" i="2"/>
  <c r="M933" i="2" s="1"/>
  <c r="I934" i="2"/>
  <c r="J934" i="2"/>
  <c r="K934" i="2"/>
  <c r="L934" i="2"/>
  <c r="M934" i="2" s="1"/>
  <c r="I935" i="2"/>
  <c r="J935" i="2"/>
  <c r="K935" i="2"/>
  <c r="L935" i="2"/>
  <c r="M935" i="2" s="1"/>
  <c r="I936" i="2"/>
  <c r="J936" i="2"/>
  <c r="K936" i="2"/>
  <c r="L936" i="2"/>
  <c r="M936" i="2" s="1"/>
  <c r="I937" i="2"/>
  <c r="J937" i="2"/>
  <c r="K937" i="2"/>
  <c r="L937" i="2"/>
  <c r="M937" i="2" s="1"/>
  <c r="I938" i="2"/>
  <c r="J938" i="2"/>
  <c r="K938" i="2"/>
  <c r="L938" i="2"/>
  <c r="M938" i="2" s="1"/>
  <c r="I939" i="2"/>
  <c r="J939" i="2"/>
  <c r="K939" i="2"/>
  <c r="L939" i="2"/>
  <c r="M939" i="2" s="1"/>
  <c r="I940" i="2"/>
  <c r="J940" i="2"/>
  <c r="K940" i="2"/>
  <c r="L940" i="2"/>
  <c r="M940" i="2" s="1"/>
  <c r="I941" i="2"/>
  <c r="J941" i="2"/>
  <c r="K941" i="2"/>
  <c r="L941" i="2"/>
  <c r="M941" i="2" s="1"/>
  <c r="I942" i="2"/>
  <c r="J942" i="2"/>
  <c r="K942" i="2"/>
  <c r="L942" i="2"/>
  <c r="M942" i="2" s="1"/>
  <c r="I943" i="2"/>
  <c r="J943" i="2"/>
  <c r="K943" i="2"/>
  <c r="L943" i="2"/>
  <c r="M943" i="2" s="1"/>
  <c r="I944" i="2"/>
  <c r="J944" i="2"/>
  <c r="K944" i="2"/>
  <c r="L944" i="2"/>
  <c r="M944" i="2" s="1"/>
  <c r="I945" i="2"/>
  <c r="J945" i="2"/>
  <c r="K945" i="2"/>
  <c r="L945" i="2"/>
  <c r="M945" i="2" s="1"/>
  <c r="I946" i="2"/>
  <c r="J946" i="2"/>
  <c r="K946" i="2"/>
  <c r="L946" i="2"/>
  <c r="M946" i="2" s="1"/>
  <c r="I947" i="2"/>
  <c r="J947" i="2"/>
  <c r="K947" i="2"/>
  <c r="L947" i="2"/>
  <c r="M947" i="2" s="1"/>
  <c r="I948" i="2"/>
  <c r="J948" i="2"/>
  <c r="K948" i="2"/>
  <c r="L948" i="2"/>
  <c r="M948" i="2" s="1"/>
  <c r="I949" i="2"/>
  <c r="J949" i="2"/>
  <c r="K949" i="2"/>
  <c r="L949" i="2"/>
  <c r="M949" i="2" s="1"/>
  <c r="I950" i="2"/>
  <c r="J950" i="2"/>
  <c r="K950" i="2"/>
  <c r="L950" i="2"/>
  <c r="M950" i="2" s="1"/>
  <c r="I951" i="2"/>
  <c r="J951" i="2"/>
  <c r="K951" i="2"/>
  <c r="L951" i="2"/>
  <c r="M951" i="2" s="1"/>
  <c r="I952" i="2"/>
  <c r="J952" i="2"/>
  <c r="K952" i="2"/>
  <c r="L952" i="2"/>
  <c r="M952" i="2" s="1"/>
  <c r="I953" i="2"/>
  <c r="J953" i="2"/>
  <c r="K953" i="2"/>
  <c r="L953" i="2"/>
  <c r="M953" i="2" s="1"/>
  <c r="I954" i="2"/>
  <c r="J954" i="2"/>
  <c r="K954" i="2"/>
  <c r="L954" i="2"/>
  <c r="M954" i="2" s="1"/>
  <c r="I955" i="2"/>
  <c r="J955" i="2"/>
  <c r="K955" i="2"/>
  <c r="L955" i="2"/>
  <c r="M955" i="2" s="1"/>
  <c r="I956" i="2"/>
  <c r="J956" i="2"/>
  <c r="K956" i="2"/>
  <c r="L956" i="2"/>
  <c r="M956" i="2" s="1"/>
  <c r="I957" i="2"/>
  <c r="J957" i="2"/>
  <c r="K957" i="2"/>
  <c r="L957" i="2"/>
  <c r="M957" i="2" s="1"/>
  <c r="I958" i="2"/>
  <c r="J958" i="2"/>
  <c r="K958" i="2"/>
  <c r="L958" i="2"/>
  <c r="M958" i="2" s="1"/>
  <c r="I959" i="2"/>
  <c r="J959" i="2"/>
  <c r="K959" i="2"/>
  <c r="L959" i="2"/>
  <c r="M959" i="2" s="1"/>
  <c r="I960" i="2"/>
  <c r="J960" i="2"/>
  <c r="K960" i="2"/>
  <c r="L960" i="2"/>
  <c r="M960" i="2" s="1"/>
  <c r="I961" i="2"/>
  <c r="J961" i="2"/>
  <c r="K961" i="2"/>
  <c r="L961" i="2"/>
  <c r="M961" i="2" s="1"/>
  <c r="I962" i="2"/>
  <c r="J962" i="2"/>
  <c r="K962" i="2"/>
  <c r="L962" i="2"/>
  <c r="M962" i="2" s="1"/>
  <c r="I963" i="2"/>
  <c r="J963" i="2"/>
  <c r="K963" i="2"/>
  <c r="L963" i="2"/>
  <c r="M963" i="2" s="1"/>
  <c r="I964" i="2"/>
  <c r="J964" i="2"/>
  <c r="K964" i="2"/>
  <c r="L964" i="2"/>
  <c r="M964" i="2" s="1"/>
  <c r="I965" i="2"/>
  <c r="J965" i="2"/>
  <c r="K965" i="2"/>
  <c r="L965" i="2"/>
  <c r="M965" i="2" s="1"/>
  <c r="I966" i="2"/>
  <c r="J966" i="2"/>
  <c r="K966" i="2"/>
  <c r="L966" i="2"/>
  <c r="M966" i="2" s="1"/>
  <c r="I967" i="2"/>
  <c r="J967" i="2"/>
  <c r="K967" i="2"/>
  <c r="L967" i="2"/>
  <c r="M967" i="2" s="1"/>
  <c r="I968" i="2"/>
  <c r="J968" i="2"/>
  <c r="K968" i="2"/>
  <c r="L968" i="2"/>
  <c r="M968" i="2" s="1"/>
  <c r="I969" i="2"/>
  <c r="J969" i="2"/>
  <c r="K969" i="2"/>
  <c r="L969" i="2"/>
  <c r="M969" i="2" s="1"/>
  <c r="I970" i="2"/>
  <c r="J970" i="2"/>
  <c r="K970" i="2"/>
  <c r="L970" i="2"/>
  <c r="M970" i="2" s="1"/>
  <c r="I971" i="2"/>
  <c r="J971" i="2"/>
  <c r="K971" i="2"/>
  <c r="L971" i="2"/>
  <c r="M971" i="2" s="1"/>
  <c r="I972" i="2"/>
  <c r="J972" i="2"/>
  <c r="K972" i="2"/>
  <c r="L972" i="2"/>
  <c r="M972" i="2" s="1"/>
  <c r="I973" i="2"/>
  <c r="J973" i="2"/>
  <c r="K973" i="2"/>
  <c r="L973" i="2"/>
  <c r="M973" i="2" s="1"/>
  <c r="I974" i="2"/>
  <c r="J974" i="2"/>
  <c r="K974" i="2"/>
  <c r="L974" i="2"/>
  <c r="M974" i="2" s="1"/>
  <c r="I975" i="2"/>
  <c r="J975" i="2"/>
  <c r="K975" i="2"/>
  <c r="L975" i="2"/>
  <c r="M975" i="2" s="1"/>
  <c r="I976" i="2"/>
  <c r="J976" i="2"/>
  <c r="K976" i="2"/>
  <c r="L976" i="2"/>
  <c r="M976" i="2" s="1"/>
  <c r="I977" i="2"/>
  <c r="J977" i="2"/>
  <c r="K977" i="2"/>
  <c r="L977" i="2"/>
  <c r="M977" i="2" s="1"/>
  <c r="I978" i="2"/>
  <c r="J978" i="2"/>
  <c r="K978" i="2"/>
  <c r="L978" i="2"/>
  <c r="M978" i="2" s="1"/>
  <c r="I979" i="2"/>
  <c r="J979" i="2"/>
  <c r="K979" i="2"/>
  <c r="L979" i="2"/>
  <c r="M979" i="2" s="1"/>
  <c r="I980" i="2"/>
  <c r="J980" i="2"/>
  <c r="K980" i="2"/>
  <c r="L980" i="2"/>
  <c r="M980" i="2" s="1"/>
  <c r="I981" i="2"/>
  <c r="J981" i="2"/>
  <c r="K981" i="2"/>
  <c r="L981" i="2"/>
  <c r="M981" i="2" s="1"/>
  <c r="I982" i="2"/>
  <c r="J982" i="2"/>
  <c r="K982" i="2"/>
  <c r="L982" i="2"/>
  <c r="M982" i="2" s="1"/>
  <c r="I983" i="2"/>
  <c r="J983" i="2"/>
  <c r="K983" i="2"/>
  <c r="L983" i="2"/>
  <c r="M983" i="2" s="1"/>
  <c r="I984" i="2"/>
  <c r="J984" i="2"/>
  <c r="K984" i="2"/>
  <c r="L984" i="2"/>
  <c r="M984" i="2" s="1"/>
  <c r="I985" i="2"/>
  <c r="J985" i="2"/>
  <c r="K985" i="2"/>
  <c r="L985" i="2"/>
  <c r="M985" i="2" s="1"/>
  <c r="I986" i="2"/>
  <c r="J986" i="2"/>
  <c r="K986" i="2"/>
  <c r="L986" i="2"/>
  <c r="M986" i="2" s="1"/>
  <c r="I987" i="2"/>
  <c r="J987" i="2"/>
  <c r="K987" i="2"/>
  <c r="L987" i="2"/>
  <c r="M987" i="2" s="1"/>
  <c r="I988" i="2"/>
  <c r="J988" i="2"/>
  <c r="K988" i="2"/>
  <c r="L988" i="2"/>
  <c r="M988" i="2" s="1"/>
  <c r="I989" i="2"/>
  <c r="J989" i="2"/>
  <c r="K989" i="2"/>
  <c r="L989" i="2"/>
  <c r="M989" i="2" s="1"/>
  <c r="I990" i="2"/>
  <c r="J990" i="2"/>
  <c r="K990" i="2"/>
  <c r="L990" i="2"/>
  <c r="M990" i="2" s="1"/>
  <c r="I991" i="2"/>
  <c r="J991" i="2"/>
  <c r="K991" i="2"/>
  <c r="L991" i="2"/>
  <c r="M991" i="2" s="1"/>
  <c r="I992" i="2"/>
  <c r="J992" i="2"/>
  <c r="K992" i="2"/>
  <c r="L992" i="2"/>
  <c r="M992" i="2" s="1"/>
  <c r="I993" i="2"/>
  <c r="J993" i="2"/>
  <c r="K993" i="2"/>
  <c r="L993" i="2"/>
  <c r="M993" i="2" s="1"/>
  <c r="I994" i="2"/>
  <c r="J994" i="2"/>
  <c r="K994" i="2"/>
  <c r="L994" i="2"/>
  <c r="M994" i="2" s="1"/>
  <c r="I995" i="2"/>
  <c r="J995" i="2"/>
  <c r="K995" i="2"/>
  <c r="L995" i="2"/>
  <c r="M995" i="2" s="1"/>
  <c r="I996" i="2"/>
  <c r="J996" i="2"/>
  <c r="K996" i="2"/>
  <c r="L996" i="2"/>
  <c r="M996" i="2" s="1"/>
  <c r="I997" i="2"/>
  <c r="J997" i="2"/>
  <c r="K997" i="2"/>
  <c r="L997" i="2"/>
  <c r="M997" i="2" s="1"/>
  <c r="I853" i="2"/>
  <c r="J853" i="2"/>
  <c r="K853" i="2"/>
  <c r="L853" i="2"/>
  <c r="M853" i="2" s="1"/>
  <c r="I854" i="2"/>
  <c r="J854" i="2"/>
  <c r="K854" i="2"/>
  <c r="L854" i="2"/>
  <c r="M854" i="2" s="1"/>
  <c r="I855" i="2"/>
  <c r="J855" i="2"/>
  <c r="K855" i="2"/>
  <c r="L855" i="2"/>
  <c r="M855" i="2" s="1"/>
  <c r="I856" i="2"/>
  <c r="J856" i="2"/>
  <c r="K856" i="2"/>
  <c r="L856" i="2"/>
  <c r="M856" i="2" s="1"/>
  <c r="I857" i="2"/>
  <c r="J857" i="2"/>
  <c r="K857" i="2"/>
  <c r="L857" i="2"/>
  <c r="M857" i="2" s="1"/>
  <c r="I858" i="2"/>
  <c r="J858" i="2"/>
  <c r="K858" i="2"/>
  <c r="L858" i="2"/>
  <c r="M858" i="2" s="1"/>
  <c r="I859" i="2"/>
  <c r="J859" i="2"/>
  <c r="K859" i="2"/>
  <c r="L859" i="2"/>
  <c r="M859" i="2" s="1"/>
  <c r="I860" i="2"/>
  <c r="J860" i="2"/>
  <c r="K860" i="2"/>
  <c r="L860" i="2"/>
  <c r="M860" i="2" s="1"/>
  <c r="I861" i="2"/>
  <c r="J861" i="2"/>
  <c r="K861" i="2"/>
  <c r="L861" i="2"/>
  <c r="M861" i="2" s="1"/>
  <c r="I862" i="2"/>
  <c r="J862" i="2"/>
  <c r="K862" i="2"/>
  <c r="L862" i="2"/>
  <c r="M862" i="2" s="1"/>
  <c r="I863" i="2"/>
  <c r="J863" i="2"/>
  <c r="K863" i="2"/>
  <c r="L863" i="2"/>
  <c r="M863" i="2" s="1"/>
  <c r="I864" i="2"/>
  <c r="J864" i="2"/>
  <c r="K864" i="2"/>
  <c r="L864" i="2"/>
  <c r="M864" i="2" s="1"/>
  <c r="I865" i="2"/>
  <c r="J865" i="2"/>
  <c r="K865" i="2"/>
  <c r="L865" i="2"/>
  <c r="M865" i="2" s="1"/>
  <c r="I866" i="2"/>
  <c r="J866" i="2"/>
  <c r="K866" i="2"/>
  <c r="L866" i="2"/>
  <c r="M866" i="2" s="1"/>
  <c r="I867" i="2"/>
  <c r="J867" i="2"/>
  <c r="K867" i="2"/>
  <c r="L867" i="2"/>
  <c r="M867" i="2" s="1"/>
  <c r="I868" i="2"/>
  <c r="J868" i="2"/>
  <c r="K868" i="2"/>
  <c r="L868" i="2"/>
  <c r="M868" i="2" s="1"/>
  <c r="I869" i="2"/>
  <c r="J869" i="2"/>
  <c r="K869" i="2"/>
  <c r="L869" i="2"/>
  <c r="M869" i="2" s="1"/>
  <c r="I870" i="2"/>
  <c r="J870" i="2"/>
  <c r="K870" i="2"/>
  <c r="L870" i="2"/>
  <c r="M870" i="2" s="1"/>
  <c r="I871" i="2"/>
  <c r="J871" i="2"/>
  <c r="K871" i="2"/>
  <c r="L871" i="2"/>
  <c r="M871" i="2" s="1"/>
  <c r="I872" i="2"/>
  <c r="J872" i="2"/>
  <c r="K872" i="2"/>
  <c r="L872" i="2"/>
  <c r="M872" i="2" s="1"/>
  <c r="I873" i="2"/>
  <c r="J873" i="2"/>
  <c r="K873" i="2"/>
  <c r="L873" i="2"/>
  <c r="M873" i="2" s="1"/>
  <c r="I874" i="2"/>
  <c r="J874" i="2"/>
  <c r="K874" i="2"/>
  <c r="L874" i="2"/>
  <c r="M874" i="2" s="1"/>
  <c r="I875" i="2"/>
  <c r="J875" i="2"/>
  <c r="K875" i="2"/>
  <c r="L875" i="2"/>
  <c r="M875" i="2" s="1"/>
  <c r="I876" i="2"/>
  <c r="J876" i="2"/>
  <c r="K876" i="2"/>
  <c r="L876" i="2"/>
  <c r="M876" i="2" s="1"/>
  <c r="I877" i="2"/>
  <c r="J877" i="2"/>
  <c r="K877" i="2"/>
  <c r="L877" i="2"/>
  <c r="M877" i="2" s="1"/>
  <c r="I878" i="2"/>
  <c r="J878" i="2"/>
  <c r="K878" i="2"/>
  <c r="L878" i="2"/>
  <c r="M878" i="2" s="1"/>
  <c r="I879" i="2"/>
  <c r="J879" i="2"/>
  <c r="K879" i="2"/>
  <c r="L879" i="2"/>
  <c r="M879" i="2" s="1"/>
  <c r="I880" i="2"/>
  <c r="J880" i="2"/>
  <c r="K880" i="2"/>
  <c r="L880" i="2"/>
  <c r="M880" i="2" s="1"/>
  <c r="I881" i="2"/>
  <c r="J881" i="2"/>
  <c r="K881" i="2"/>
  <c r="L881" i="2"/>
  <c r="M881" i="2" s="1"/>
  <c r="I882" i="2"/>
  <c r="J882" i="2"/>
  <c r="K882" i="2"/>
  <c r="L882" i="2"/>
  <c r="M882" i="2" s="1"/>
  <c r="I883" i="2"/>
  <c r="J883" i="2"/>
  <c r="K883" i="2"/>
  <c r="L883" i="2"/>
  <c r="M883" i="2" s="1"/>
  <c r="I884" i="2"/>
  <c r="J884" i="2"/>
  <c r="K884" i="2"/>
  <c r="L884" i="2"/>
  <c r="M884" i="2" s="1"/>
  <c r="I885" i="2"/>
  <c r="J885" i="2"/>
  <c r="K885" i="2"/>
  <c r="L885" i="2"/>
  <c r="M885" i="2" s="1"/>
  <c r="I886" i="2"/>
  <c r="J886" i="2"/>
  <c r="K886" i="2"/>
  <c r="L886" i="2"/>
  <c r="M886" i="2" s="1"/>
  <c r="I887" i="2"/>
  <c r="J887" i="2"/>
  <c r="K887" i="2"/>
  <c r="L887" i="2"/>
  <c r="M887" i="2" s="1"/>
  <c r="I888" i="2"/>
  <c r="J888" i="2"/>
  <c r="K888" i="2"/>
  <c r="L888" i="2"/>
  <c r="M888" i="2" s="1"/>
  <c r="I889" i="2"/>
  <c r="J889" i="2"/>
  <c r="K889" i="2"/>
  <c r="L889" i="2"/>
  <c r="M889" i="2" s="1"/>
  <c r="I890" i="2"/>
  <c r="J890" i="2"/>
  <c r="K890" i="2"/>
  <c r="L890" i="2"/>
  <c r="M890" i="2" s="1"/>
  <c r="I891" i="2"/>
  <c r="J891" i="2"/>
  <c r="K891" i="2"/>
  <c r="L891" i="2"/>
  <c r="M891" i="2" s="1"/>
  <c r="I892" i="2"/>
  <c r="J892" i="2"/>
  <c r="K892" i="2"/>
  <c r="L892" i="2"/>
  <c r="M892" i="2" s="1"/>
  <c r="I893" i="2"/>
  <c r="J893" i="2"/>
  <c r="K893" i="2"/>
  <c r="L893" i="2"/>
  <c r="M893" i="2" s="1"/>
  <c r="I894" i="2"/>
  <c r="J894" i="2"/>
  <c r="K894" i="2"/>
  <c r="L894" i="2"/>
  <c r="M894" i="2" s="1"/>
  <c r="I895" i="2"/>
  <c r="J895" i="2"/>
  <c r="K895" i="2"/>
  <c r="L895" i="2"/>
  <c r="M895" i="2" s="1"/>
  <c r="I896" i="2"/>
  <c r="J896" i="2"/>
  <c r="K896" i="2"/>
  <c r="L896" i="2"/>
  <c r="M896" i="2" s="1"/>
  <c r="I897" i="2"/>
  <c r="J897" i="2"/>
  <c r="K897" i="2"/>
  <c r="L897" i="2"/>
  <c r="M897" i="2" s="1"/>
  <c r="I898" i="2"/>
  <c r="J898" i="2"/>
  <c r="K898" i="2"/>
  <c r="L898" i="2"/>
  <c r="M898" i="2" s="1"/>
  <c r="I899" i="2"/>
  <c r="J899" i="2"/>
  <c r="K899" i="2"/>
  <c r="L899" i="2"/>
  <c r="M899" i="2" s="1"/>
  <c r="I900" i="2"/>
  <c r="J900" i="2"/>
  <c r="K900" i="2"/>
  <c r="L900" i="2"/>
  <c r="M900" i="2" s="1"/>
  <c r="I901" i="2"/>
  <c r="J901" i="2"/>
  <c r="K901" i="2"/>
  <c r="L901" i="2"/>
  <c r="M901" i="2" s="1"/>
  <c r="I902" i="2"/>
  <c r="J902" i="2"/>
  <c r="K902" i="2"/>
  <c r="L902" i="2"/>
  <c r="M902" i="2" s="1"/>
  <c r="I903" i="2"/>
  <c r="J903" i="2"/>
  <c r="K903" i="2"/>
  <c r="L903" i="2"/>
  <c r="M903" i="2" s="1"/>
  <c r="I904" i="2"/>
  <c r="J904" i="2"/>
  <c r="K904" i="2"/>
  <c r="L904" i="2"/>
  <c r="M904" i="2" s="1"/>
  <c r="I905" i="2"/>
  <c r="J905" i="2"/>
  <c r="K905" i="2"/>
  <c r="L905" i="2"/>
  <c r="M905" i="2" s="1"/>
  <c r="I906" i="2"/>
  <c r="J906" i="2"/>
  <c r="K906" i="2"/>
  <c r="L906" i="2"/>
  <c r="M906" i="2" s="1"/>
  <c r="I907" i="2"/>
  <c r="J907" i="2"/>
  <c r="K907" i="2"/>
  <c r="L907" i="2"/>
  <c r="M907" i="2" s="1"/>
  <c r="I908" i="2"/>
  <c r="J908" i="2"/>
  <c r="K908" i="2"/>
  <c r="L908" i="2"/>
  <c r="M908" i="2" s="1"/>
  <c r="I909" i="2"/>
  <c r="J909" i="2"/>
  <c r="K909" i="2"/>
  <c r="L909" i="2"/>
  <c r="M909" i="2" s="1"/>
  <c r="I910" i="2"/>
  <c r="J910" i="2"/>
  <c r="K910" i="2"/>
  <c r="L910" i="2"/>
  <c r="M910" i="2" s="1"/>
  <c r="I911" i="2"/>
  <c r="J911" i="2"/>
  <c r="K911" i="2"/>
  <c r="L911" i="2"/>
  <c r="M911" i="2" s="1"/>
  <c r="I912" i="2"/>
  <c r="J912" i="2"/>
  <c r="K912" i="2"/>
  <c r="L912" i="2"/>
  <c r="M912" i="2" s="1"/>
  <c r="I913" i="2"/>
  <c r="J913" i="2"/>
  <c r="K913" i="2"/>
  <c r="L913" i="2"/>
  <c r="M913" i="2" s="1"/>
  <c r="I914" i="2"/>
  <c r="J914" i="2"/>
  <c r="K914" i="2"/>
  <c r="L914" i="2"/>
  <c r="M914" i="2" s="1"/>
  <c r="I915" i="2"/>
  <c r="J915" i="2"/>
  <c r="K915" i="2"/>
  <c r="L915" i="2"/>
  <c r="M915" i="2" s="1"/>
  <c r="I916" i="2"/>
  <c r="J916" i="2"/>
  <c r="K916" i="2"/>
  <c r="L916" i="2"/>
  <c r="M916" i="2" s="1"/>
  <c r="I917" i="2"/>
  <c r="J917" i="2"/>
  <c r="K917" i="2"/>
  <c r="L917" i="2"/>
  <c r="M917" i="2" s="1"/>
  <c r="I918" i="2"/>
  <c r="J918" i="2"/>
  <c r="K918" i="2"/>
  <c r="L918" i="2"/>
  <c r="M918" i="2" s="1"/>
  <c r="I919" i="2"/>
  <c r="J919" i="2"/>
  <c r="K919" i="2"/>
  <c r="L919" i="2"/>
  <c r="M919" i="2" s="1"/>
  <c r="I920" i="2"/>
  <c r="J920" i="2"/>
  <c r="K920" i="2"/>
  <c r="L920" i="2"/>
  <c r="M920" i="2" s="1"/>
  <c r="I921" i="2"/>
  <c r="J921" i="2"/>
  <c r="K921" i="2"/>
  <c r="L921" i="2"/>
  <c r="M921" i="2" s="1"/>
  <c r="I922" i="2"/>
  <c r="J922" i="2"/>
  <c r="K922" i="2"/>
  <c r="L922" i="2"/>
  <c r="M922" i="2" s="1"/>
  <c r="I923" i="2"/>
  <c r="J923" i="2"/>
  <c r="K923" i="2"/>
  <c r="L923" i="2"/>
  <c r="M923" i="2" s="1"/>
  <c r="I924" i="2"/>
  <c r="J924" i="2"/>
  <c r="K924" i="2"/>
  <c r="L924" i="2"/>
  <c r="M924" i="2" s="1"/>
  <c r="I748" i="2"/>
  <c r="J748" i="2"/>
  <c r="K748" i="2"/>
  <c r="L748" i="2"/>
  <c r="M748" i="2" s="1"/>
  <c r="I749" i="2"/>
  <c r="J749" i="2"/>
  <c r="K749" i="2"/>
  <c r="L749" i="2"/>
  <c r="M749" i="2" s="1"/>
  <c r="I750" i="2"/>
  <c r="J750" i="2"/>
  <c r="K750" i="2"/>
  <c r="L750" i="2"/>
  <c r="M750" i="2" s="1"/>
  <c r="I751" i="2"/>
  <c r="J751" i="2"/>
  <c r="K751" i="2"/>
  <c r="L751" i="2"/>
  <c r="M751" i="2" s="1"/>
  <c r="I752" i="2"/>
  <c r="J752" i="2"/>
  <c r="K752" i="2"/>
  <c r="L752" i="2"/>
  <c r="M752" i="2" s="1"/>
  <c r="I753" i="2"/>
  <c r="J753" i="2"/>
  <c r="K753" i="2"/>
  <c r="L753" i="2"/>
  <c r="M753" i="2" s="1"/>
  <c r="I754" i="2"/>
  <c r="J754" i="2"/>
  <c r="K754" i="2"/>
  <c r="L754" i="2"/>
  <c r="M754" i="2" s="1"/>
  <c r="I755" i="2"/>
  <c r="J755" i="2"/>
  <c r="K755" i="2"/>
  <c r="L755" i="2"/>
  <c r="M755" i="2" s="1"/>
  <c r="I756" i="2"/>
  <c r="J756" i="2"/>
  <c r="K756" i="2"/>
  <c r="L756" i="2"/>
  <c r="M756" i="2" s="1"/>
  <c r="I757" i="2"/>
  <c r="J757" i="2"/>
  <c r="K757" i="2"/>
  <c r="L757" i="2"/>
  <c r="M757" i="2" s="1"/>
  <c r="I758" i="2"/>
  <c r="J758" i="2"/>
  <c r="K758" i="2"/>
  <c r="L758" i="2"/>
  <c r="M758" i="2" s="1"/>
  <c r="I759" i="2"/>
  <c r="J759" i="2"/>
  <c r="K759" i="2"/>
  <c r="L759" i="2"/>
  <c r="M759" i="2" s="1"/>
  <c r="I760" i="2"/>
  <c r="J760" i="2"/>
  <c r="K760" i="2"/>
  <c r="L760" i="2"/>
  <c r="M760" i="2" s="1"/>
  <c r="I761" i="2"/>
  <c r="J761" i="2"/>
  <c r="K761" i="2"/>
  <c r="L761" i="2"/>
  <c r="M761" i="2" s="1"/>
  <c r="I762" i="2"/>
  <c r="J762" i="2"/>
  <c r="K762" i="2"/>
  <c r="L762" i="2"/>
  <c r="M762" i="2" s="1"/>
  <c r="I763" i="2"/>
  <c r="J763" i="2"/>
  <c r="K763" i="2"/>
  <c r="L763" i="2"/>
  <c r="M763" i="2" s="1"/>
  <c r="I764" i="2"/>
  <c r="J764" i="2"/>
  <c r="K764" i="2"/>
  <c r="L764" i="2"/>
  <c r="M764" i="2" s="1"/>
  <c r="I765" i="2"/>
  <c r="J765" i="2"/>
  <c r="K765" i="2"/>
  <c r="L765" i="2"/>
  <c r="M765" i="2" s="1"/>
  <c r="I766" i="2"/>
  <c r="J766" i="2"/>
  <c r="K766" i="2"/>
  <c r="L766" i="2"/>
  <c r="M766" i="2" s="1"/>
  <c r="I767" i="2"/>
  <c r="J767" i="2"/>
  <c r="K767" i="2"/>
  <c r="L767" i="2"/>
  <c r="M767" i="2" s="1"/>
  <c r="I768" i="2"/>
  <c r="J768" i="2"/>
  <c r="K768" i="2"/>
  <c r="L768" i="2"/>
  <c r="M768" i="2" s="1"/>
  <c r="I769" i="2"/>
  <c r="J769" i="2"/>
  <c r="K769" i="2"/>
  <c r="L769" i="2"/>
  <c r="M769" i="2" s="1"/>
  <c r="I770" i="2"/>
  <c r="J770" i="2"/>
  <c r="K770" i="2"/>
  <c r="L770" i="2"/>
  <c r="M770" i="2" s="1"/>
  <c r="I771" i="2"/>
  <c r="J771" i="2"/>
  <c r="K771" i="2"/>
  <c r="L771" i="2"/>
  <c r="M771" i="2" s="1"/>
  <c r="I772" i="2"/>
  <c r="J772" i="2"/>
  <c r="K772" i="2"/>
  <c r="L772" i="2"/>
  <c r="M772" i="2" s="1"/>
  <c r="I773" i="2"/>
  <c r="J773" i="2"/>
  <c r="K773" i="2"/>
  <c r="L773" i="2"/>
  <c r="M773" i="2" s="1"/>
  <c r="I774" i="2"/>
  <c r="J774" i="2"/>
  <c r="K774" i="2"/>
  <c r="L774" i="2"/>
  <c r="M774" i="2" s="1"/>
  <c r="I775" i="2"/>
  <c r="J775" i="2"/>
  <c r="K775" i="2"/>
  <c r="L775" i="2"/>
  <c r="M775" i="2" s="1"/>
  <c r="I776" i="2"/>
  <c r="J776" i="2"/>
  <c r="K776" i="2"/>
  <c r="L776" i="2"/>
  <c r="M776" i="2" s="1"/>
  <c r="I777" i="2"/>
  <c r="J777" i="2"/>
  <c r="K777" i="2"/>
  <c r="L777" i="2"/>
  <c r="M777" i="2" s="1"/>
  <c r="I778" i="2"/>
  <c r="J778" i="2"/>
  <c r="K778" i="2"/>
  <c r="L778" i="2"/>
  <c r="M778" i="2" s="1"/>
  <c r="I779" i="2"/>
  <c r="J779" i="2"/>
  <c r="K779" i="2"/>
  <c r="L779" i="2"/>
  <c r="M779" i="2" s="1"/>
  <c r="I780" i="2"/>
  <c r="J780" i="2"/>
  <c r="K780" i="2"/>
  <c r="L780" i="2"/>
  <c r="M780" i="2" s="1"/>
  <c r="I781" i="2"/>
  <c r="J781" i="2"/>
  <c r="K781" i="2"/>
  <c r="L781" i="2"/>
  <c r="M781" i="2" s="1"/>
  <c r="I782" i="2"/>
  <c r="J782" i="2"/>
  <c r="K782" i="2"/>
  <c r="L782" i="2"/>
  <c r="M782" i="2" s="1"/>
  <c r="I783" i="2"/>
  <c r="J783" i="2"/>
  <c r="K783" i="2"/>
  <c r="L783" i="2"/>
  <c r="M783" i="2" s="1"/>
  <c r="I784" i="2"/>
  <c r="J784" i="2"/>
  <c r="K784" i="2"/>
  <c r="L784" i="2"/>
  <c r="M784" i="2" s="1"/>
  <c r="I785" i="2"/>
  <c r="J785" i="2"/>
  <c r="K785" i="2"/>
  <c r="L785" i="2"/>
  <c r="M785" i="2" s="1"/>
  <c r="I786" i="2"/>
  <c r="J786" i="2"/>
  <c r="K786" i="2"/>
  <c r="L786" i="2"/>
  <c r="M786" i="2" s="1"/>
  <c r="I787" i="2"/>
  <c r="J787" i="2"/>
  <c r="K787" i="2"/>
  <c r="L787" i="2"/>
  <c r="M787" i="2" s="1"/>
  <c r="I788" i="2"/>
  <c r="J788" i="2"/>
  <c r="K788" i="2"/>
  <c r="L788" i="2"/>
  <c r="M788" i="2" s="1"/>
  <c r="I789" i="2"/>
  <c r="J789" i="2"/>
  <c r="K789" i="2"/>
  <c r="L789" i="2"/>
  <c r="M789" i="2" s="1"/>
  <c r="I790" i="2"/>
  <c r="J790" i="2"/>
  <c r="K790" i="2"/>
  <c r="L790" i="2"/>
  <c r="M790" i="2" s="1"/>
  <c r="I791" i="2"/>
  <c r="J791" i="2"/>
  <c r="K791" i="2"/>
  <c r="L791" i="2"/>
  <c r="M791" i="2" s="1"/>
  <c r="I792" i="2"/>
  <c r="J792" i="2"/>
  <c r="K792" i="2"/>
  <c r="L792" i="2"/>
  <c r="M792" i="2" s="1"/>
  <c r="I793" i="2"/>
  <c r="J793" i="2"/>
  <c r="K793" i="2"/>
  <c r="L793" i="2"/>
  <c r="M793" i="2" s="1"/>
  <c r="I794" i="2"/>
  <c r="J794" i="2"/>
  <c r="K794" i="2"/>
  <c r="L794" i="2"/>
  <c r="M794" i="2" s="1"/>
  <c r="I795" i="2"/>
  <c r="J795" i="2"/>
  <c r="K795" i="2"/>
  <c r="L795" i="2"/>
  <c r="M795" i="2" s="1"/>
  <c r="I796" i="2"/>
  <c r="J796" i="2"/>
  <c r="K796" i="2"/>
  <c r="L796" i="2"/>
  <c r="M796" i="2" s="1"/>
  <c r="I797" i="2"/>
  <c r="J797" i="2"/>
  <c r="K797" i="2"/>
  <c r="L797" i="2"/>
  <c r="M797" i="2" s="1"/>
  <c r="I798" i="2"/>
  <c r="J798" i="2"/>
  <c r="K798" i="2"/>
  <c r="L798" i="2"/>
  <c r="M798" i="2" s="1"/>
  <c r="I799" i="2"/>
  <c r="J799" i="2"/>
  <c r="K799" i="2"/>
  <c r="L799" i="2"/>
  <c r="M799" i="2" s="1"/>
  <c r="I800" i="2"/>
  <c r="J800" i="2"/>
  <c r="K800" i="2"/>
  <c r="L800" i="2"/>
  <c r="M800" i="2" s="1"/>
  <c r="I801" i="2"/>
  <c r="J801" i="2"/>
  <c r="K801" i="2"/>
  <c r="L801" i="2"/>
  <c r="M801" i="2" s="1"/>
  <c r="I802" i="2"/>
  <c r="J802" i="2"/>
  <c r="K802" i="2"/>
  <c r="L802" i="2"/>
  <c r="M802" i="2" s="1"/>
  <c r="I803" i="2"/>
  <c r="J803" i="2"/>
  <c r="K803" i="2"/>
  <c r="L803" i="2"/>
  <c r="M803" i="2" s="1"/>
  <c r="I804" i="2"/>
  <c r="J804" i="2"/>
  <c r="K804" i="2"/>
  <c r="L804" i="2"/>
  <c r="M804" i="2" s="1"/>
  <c r="I805" i="2"/>
  <c r="J805" i="2"/>
  <c r="K805" i="2"/>
  <c r="L805" i="2"/>
  <c r="M805" i="2" s="1"/>
  <c r="I806" i="2"/>
  <c r="J806" i="2"/>
  <c r="K806" i="2"/>
  <c r="L806" i="2"/>
  <c r="M806" i="2" s="1"/>
  <c r="I807" i="2"/>
  <c r="J807" i="2"/>
  <c r="K807" i="2"/>
  <c r="L807" i="2"/>
  <c r="M807" i="2" s="1"/>
  <c r="I808" i="2"/>
  <c r="J808" i="2"/>
  <c r="K808" i="2"/>
  <c r="L808" i="2"/>
  <c r="M808" i="2" s="1"/>
  <c r="I809" i="2"/>
  <c r="J809" i="2"/>
  <c r="K809" i="2"/>
  <c r="L809" i="2"/>
  <c r="M809" i="2" s="1"/>
  <c r="I810" i="2"/>
  <c r="J810" i="2"/>
  <c r="K810" i="2"/>
  <c r="L810" i="2"/>
  <c r="M810" i="2" s="1"/>
  <c r="I811" i="2"/>
  <c r="J811" i="2"/>
  <c r="K811" i="2"/>
  <c r="L811" i="2"/>
  <c r="M811" i="2" s="1"/>
  <c r="I812" i="2"/>
  <c r="J812" i="2"/>
  <c r="K812" i="2"/>
  <c r="L812" i="2"/>
  <c r="M812" i="2" s="1"/>
  <c r="I813" i="2"/>
  <c r="J813" i="2"/>
  <c r="K813" i="2"/>
  <c r="L813" i="2"/>
  <c r="M813" i="2" s="1"/>
  <c r="I814" i="2"/>
  <c r="J814" i="2"/>
  <c r="K814" i="2"/>
  <c r="L814" i="2"/>
  <c r="M814" i="2" s="1"/>
  <c r="I815" i="2"/>
  <c r="J815" i="2"/>
  <c r="K815" i="2"/>
  <c r="L815" i="2"/>
  <c r="M815" i="2" s="1"/>
  <c r="I816" i="2"/>
  <c r="J816" i="2"/>
  <c r="K816" i="2"/>
  <c r="L816" i="2"/>
  <c r="M816" i="2" s="1"/>
  <c r="I817" i="2"/>
  <c r="J817" i="2"/>
  <c r="K817" i="2"/>
  <c r="L817" i="2"/>
  <c r="M817" i="2" s="1"/>
  <c r="I818" i="2"/>
  <c r="J818" i="2"/>
  <c r="K818" i="2"/>
  <c r="L818" i="2"/>
  <c r="M818" i="2" s="1"/>
  <c r="I819" i="2"/>
  <c r="J819" i="2"/>
  <c r="K819" i="2"/>
  <c r="L819" i="2"/>
  <c r="M819" i="2" s="1"/>
  <c r="I820" i="2"/>
  <c r="J820" i="2"/>
  <c r="K820" i="2"/>
  <c r="L820" i="2"/>
  <c r="M820" i="2" s="1"/>
  <c r="I821" i="2"/>
  <c r="J821" i="2"/>
  <c r="K821" i="2"/>
  <c r="L821" i="2"/>
  <c r="M821" i="2" s="1"/>
  <c r="I822" i="2"/>
  <c r="J822" i="2"/>
  <c r="K822" i="2"/>
  <c r="L822" i="2"/>
  <c r="M822" i="2" s="1"/>
  <c r="I823" i="2"/>
  <c r="J823" i="2"/>
  <c r="K823" i="2"/>
  <c r="L823" i="2"/>
  <c r="M823" i="2" s="1"/>
  <c r="I824" i="2"/>
  <c r="J824" i="2"/>
  <c r="K824" i="2"/>
  <c r="L824" i="2"/>
  <c r="M824" i="2" s="1"/>
  <c r="I825" i="2"/>
  <c r="J825" i="2"/>
  <c r="K825" i="2"/>
  <c r="L825" i="2"/>
  <c r="M825" i="2" s="1"/>
  <c r="I826" i="2"/>
  <c r="J826" i="2"/>
  <c r="K826" i="2"/>
  <c r="L826" i="2"/>
  <c r="M826" i="2" s="1"/>
  <c r="I827" i="2"/>
  <c r="J827" i="2"/>
  <c r="K827" i="2"/>
  <c r="L827" i="2"/>
  <c r="M827" i="2" s="1"/>
  <c r="I828" i="2"/>
  <c r="J828" i="2"/>
  <c r="K828" i="2"/>
  <c r="L828" i="2"/>
  <c r="M828" i="2" s="1"/>
  <c r="I829" i="2"/>
  <c r="J829" i="2"/>
  <c r="K829" i="2"/>
  <c r="L829" i="2"/>
  <c r="M829" i="2" s="1"/>
  <c r="I830" i="2"/>
  <c r="J830" i="2"/>
  <c r="K830" i="2"/>
  <c r="L830" i="2"/>
  <c r="M830" i="2" s="1"/>
  <c r="I831" i="2"/>
  <c r="J831" i="2"/>
  <c r="K831" i="2"/>
  <c r="L831" i="2"/>
  <c r="M831" i="2" s="1"/>
  <c r="I832" i="2"/>
  <c r="J832" i="2"/>
  <c r="K832" i="2"/>
  <c r="L832" i="2"/>
  <c r="M832" i="2" s="1"/>
  <c r="I833" i="2"/>
  <c r="J833" i="2"/>
  <c r="K833" i="2"/>
  <c r="L833" i="2"/>
  <c r="M833" i="2" s="1"/>
  <c r="I834" i="2"/>
  <c r="J834" i="2"/>
  <c r="K834" i="2"/>
  <c r="L834" i="2"/>
  <c r="M834" i="2" s="1"/>
  <c r="I835" i="2"/>
  <c r="J835" i="2"/>
  <c r="K835" i="2"/>
  <c r="L835" i="2"/>
  <c r="M835" i="2" s="1"/>
  <c r="I836" i="2"/>
  <c r="J836" i="2"/>
  <c r="K836" i="2"/>
  <c r="L836" i="2"/>
  <c r="M836" i="2" s="1"/>
  <c r="I837" i="2"/>
  <c r="J837" i="2"/>
  <c r="K837" i="2"/>
  <c r="L837" i="2"/>
  <c r="M837" i="2" s="1"/>
  <c r="I838" i="2"/>
  <c r="J838" i="2"/>
  <c r="K838" i="2"/>
  <c r="L838" i="2"/>
  <c r="M838" i="2" s="1"/>
  <c r="I839" i="2"/>
  <c r="J839" i="2"/>
  <c r="K839" i="2"/>
  <c r="L839" i="2"/>
  <c r="M839" i="2" s="1"/>
  <c r="I840" i="2"/>
  <c r="J840" i="2"/>
  <c r="K840" i="2"/>
  <c r="L840" i="2"/>
  <c r="M840" i="2" s="1"/>
  <c r="I841" i="2"/>
  <c r="J841" i="2"/>
  <c r="K841" i="2"/>
  <c r="L841" i="2"/>
  <c r="M841" i="2" s="1"/>
  <c r="I842" i="2"/>
  <c r="J842" i="2"/>
  <c r="K842" i="2"/>
  <c r="L842" i="2"/>
  <c r="M842" i="2" s="1"/>
  <c r="I843" i="2"/>
  <c r="J843" i="2"/>
  <c r="K843" i="2"/>
  <c r="L843" i="2"/>
  <c r="M843" i="2" s="1"/>
  <c r="I844" i="2"/>
  <c r="J844" i="2"/>
  <c r="K844" i="2"/>
  <c r="L844" i="2"/>
  <c r="M844" i="2" s="1"/>
  <c r="I845" i="2"/>
  <c r="J845" i="2"/>
  <c r="K845" i="2"/>
  <c r="L845" i="2"/>
  <c r="M845" i="2" s="1"/>
  <c r="I846" i="2"/>
  <c r="J846" i="2"/>
  <c r="K846" i="2"/>
  <c r="L846" i="2"/>
  <c r="M846" i="2" s="1"/>
  <c r="I847" i="2"/>
  <c r="J847" i="2"/>
  <c r="K847" i="2"/>
  <c r="L847" i="2"/>
  <c r="M847" i="2" s="1"/>
  <c r="I848" i="2"/>
  <c r="J848" i="2"/>
  <c r="K848" i="2"/>
  <c r="L848" i="2"/>
  <c r="M848" i="2" s="1"/>
  <c r="I849" i="2"/>
  <c r="J849" i="2"/>
  <c r="K849" i="2"/>
  <c r="L849" i="2"/>
  <c r="M849" i="2" s="1"/>
  <c r="I850" i="2"/>
  <c r="J850" i="2"/>
  <c r="K850" i="2"/>
  <c r="L850" i="2"/>
  <c r="M850" i="2" s="1"/>
  <c r="I851" i="2"/>
  <c r="J851" i="2"/>
  <c r="K851" i="2"/>
  <c r="L851" i="2"/>
  <c r="M851" i="2" s="1"/>
  <c r="I852" i="2"/>
  <c r="J852" i="2"/>
  <c r="K852" i="2"/>
  <c r="L852" i="2"/>
  <c r="M852" i="2" s="1"/>
  <c r="L747" i="2" l="1"/>
  <c r="M747" i="2" s="1"/>
  <c r="K747" i="2"/>
  <c r="J747" i="2"/>
  <c r="I747" i="2"/>
  <c r="L746" i="2"/>
  <c r="M746" i="2" s="1"/>
  <c r="K746" i="2"/>
  <c r="J746" i="2"/>
  <c r="I746" i="2"/>
  <c r="L745" i="2"/>
  <c r="M745" i="2" s="1"/>
  <c r="K745" i="2"/>
  <c r="J745" i="2"/>
  <c r="I745" i="2"/>
  <c r="L744" i="2"/>
  <c r="M744" i="2" s="1"/>
  <c r="K744" i="2"/>
  <c r="J744" i="2"/>
  <c r="I744" i="2"/>
  <c r="L743" i="2"/>
  <c r="M743" i="2" s="1"/>
  <c r="K743" i="2"/>
  <c r="J743" i="2"/>
  <c r="I743" i="2"/>
  <c r="L742" i="2"/>
  <c r="M742" i="2" s="1"/>
  <c r="K742" i="2"/>
  <c r="J742" i="2"/>
  <c r="I742" i="2"/>
  <c r="L741" i="2"/>
  <c r="M741" i="2" s="1"/>
  <c r="K741" i="2"/>
  <c r="J741" i="2"/>
  <c r="I741" i="2"/>
  <c r="L740" i="2"/>
  <c r="M740" i="2" s="1"/>
  <c r="K740" i="2"/>
  <c r="J740" i="2"/>
  <c r="I740" i="2"/>
  <c r="L739" i="2"/>
  <c r="M739" i="2" s="1"/>
  <c r="K739" i="2"/>
  <c r="J739" i="2"/>
  <c r="I739" i="2"/>
  <c r="L738" i="2"/>
  <c r="M738" i="2" s="1"/>
  <c r="K738" i="2"/>
  <c r="J738" i="2"/>
  <c r="I738" i="2"/>
  <c r="L737" i="2"/>
  <c r="M737" i="2" s="1"/>
  <c r="K737" i="2"/>
  <c r="J737" i="2"/>
  <c r="I737" i="2"/>
  <c r="L736" i="2"/>
  <c r="M736" i="2" s="1"/>
  <c r="K736" i="2"/>
  <c r="J736" i="2"/>
  <c r="I736" i="2"/>
  <c r="L735" i="2"/>
  <c r="M735" i="2" s="1"/>
  <c r="K735" i="2"/>
  <c r="J735" i="2"/>
  <c r="I735" i="2"/>
  <c r="L734" i="2"/>
  <c r="M734" i="2" s="1"/>
  <c r="K734" i="2"/>
  <c r="J734" i="2"/>
  <c r="I734" i="2"/>
  <c r="L733" i="2"/>
  <c r="M733" i="2" s="1"/>
  <c r="K733" i="2"/>
  <c r="J733" i="2"/>
  <c r="I733" i="2"/>
  <c r="L732" i="2"/>
  <c r="M732" i="2" s="1"/>
  <c r="K732" i="2"/>
  <c r="J732" i="2"/>
  <c r="I732" i="2"/>
  <c r="L731" i="2"/>
  <c r="M731" i="2" s="1"/>
  <c r="K731" i="2"/>
  <c r="J731" i="2"/>
  <c r="I731" i="2"/>
  <c r="L730" i="2"/>
  <c r="M730" i="2" s="1"/>
  <c r="K730" i="2"/>
  <c r="J730" i="2"/>
  <c r="I730" i="2"/>
  <c r="L729" i="2"/>
  <c r="M729" i="2" s="1"/>
  <c r="K729" i="2"/>
  <c r="J729" i="2"/>
  <c r="I729" i="2"/>
  <c r="L728" i="2"/>
  <c r="M728" i="2" s="1"/>
  <c r="K728" i="2"/>
  <c r="J728" i="2"/>
  <c r="I728" i="2"/>
  <c r="L727" i="2"/>
  <c r="M727" i="2" s="1"/>
  <c r="K727" i="2"/>
  <c r="J727" i="2"/>
  <c r="I727" i="2"/>
  <c r="L726" i="2"/>
  <c r="M726" i="2" s="1"/>
  <c r="K726" i="2"/>
  <c r="J726" i="2"/>
  <c r="I726" i="2"/>
  <c r="L725" i="2"/>
  <c r="M725" i="2" s="1"/>
  <c r="K725" i="2"/>
  <c r="J725" i="2"/>
  <c r="I725" i="2"/>
  <c r="L724" i="2"/>
  <c r="M724" i="2" s="1"/>
  <c r="K724" i="2"/>
  <c r="J724" i="2"/>
  <c r="I724" i="2"/>
  <c r="L723" i="2"/>
  <c r="M723" i="2" s="1"/>
  <c r="K723" i="2"/>
  <c r="J723" i="2"/>
  <c r="I723" i="2"/>
  <c r="L722" i="2"/>
  <c r="M722" i="2" s="1"/>
  <c r="K722" i="2"/>
  <c r="J722" i="2"/>
  <c r="I722" i="2"/>
  <c r="L721" i="2"/>
  <c r="M721" i="2" s="1"/>
  <c r="K721" i="2"/>
  <c r="J721" i="2"/>
  <c r="I721" i="2"/>
  <c r="L720" i="2"/>
  <c r="M720" i="2" s="1"/>
  <c r="K720" i="2"/>
  <c r="J720" i="2"/>
  <c r="I720" i="2"/>
  <c r="L719" i="2"/>
  <c r="M719" i="2" s="1"/>
  <c r="K719" i="2"/>
  <c r="J719" i="2"/>
  <c r="I719" i="2"/>
  <c r="L718" i="2"/>
  <c r="M718" i="2" s="1"/>
  <c r="K718" i="2"/>
  <c r="J718" i="2"/>
  <c r="I718" i="2"/>
  <c r="L717" i="2"/>
  <c r="M717" i="2" s="1"/>
  <c r="K717" i="2"/>
  <c r="J717" i="2"/>
  <c r="I717" i="2"/>
  <c r="L716" i="2"/>
  <c r="M716" i="2" s="1"/>
  <c r="K716" i="2"/>
  <c r="J716" i="2"/>
  <c r="I716" i="2"/>
  <c r="L715" i="2"/>
  <c r="M715" i="2" s="1"/>
  <c r="K715" i="2"/>
  <c r="J715" i="2"/>
  <c r="I715" i="2"/>
  <c r="L714" i="2"/>
  <c r="M714" i="2" s="1"/>
  <c r="K714" i="2"/>
  <c r="J714" i="2"/>
  <c r="I714" i="2"/>
  <c r="L713" i="2"/>
  <c r="M713" i="2" s="1"/>
  <c r="K713" i="2"/>
  <c r="J713" i="2"/>
  <c r="I713" i="2"/>
  <c r="L712" i="2"/>
  <c r="M712" i="2" s="1"/>
  <c r="K712" i="2"/>
  <c r="J712" i="2"/>
  <c r="I712" i="2"/>
  <c r="L711" i="2"/>
  <c r="M711" i="2" s="1"/>
  <c r="K711" i="2"/>
  <c r="J711" i="2"/>
  <c r="I711" i="2"/>
  <c r="L710" i="2"/>
  <c r="M710" i="2" s="1"/>
  <c r="K710" i="2"/>
  <c r="J710" i="2"/>
  <c r="I710" i="2"/>
  <c r="L709" i="2"/>
  <c r="M709" i="2" s="1"/>
  <c r="K709" i="2"/>
  <c r="J709" i="2"/>
  <c r="I709" i="2"/>
  <c r="L708" i="2"/>
  <c r="M708" i="2" s="1"/>
  <c r="K708" i="2"/>
  <c r="J708" i="2"/>
  <c r="I708" i="2"/>
  <c r="L707" i="2"/>
  <c r="M707" i="2" s="1"/>
  <c r="K707" i="2"/>
  <c r="J707" i="2"/>
  <c r="I707" i="2"/>
  <c r="L706" i="2"/>
  <c r="M706" i="2" s="1"/>
  <c r="K706" i="2"/>
  <c r="J706" i="2"/>
  <c r="I706" i="2"/>
  <c r="L705" i="2"/>
  <c r="M705" i="2" s="1"/>
  <c r="K705" i="2"/>
  <c r="J705" i="2"/>
  <c r="I705" i="2"/>
  <c r="L704" i="2"/>
  <c r="M704" i="2" s="1"/>
  <c r="K704" i="2"/>
  <c r="J704" i="2"/>
  <c r="I704" i="2"/>
  <c r="L703" i="2"/>
  <c r="M703" i="2" s="1"/>
  <c r="K703" i="2"/>
  <c r="J703" i="2"/>
  <c r="I703" i="2"/>
  <c r="L702" i="2"/>
  <c r="M702" i="2" s="1"/>
  <c r="K702" i="2"/>
  <c r="J702" i="2"/>
  <c r="I702" i="2"/>
  <c r="L701" i="2"/>
  <c r="M701" i="2" s="1"/>
  <c r="K701" i="2"/>
  <c r="J701" i="2"/>
  <c r="I701" i="2"/>
  <c r="L700" i="2"/>
  <c r="M700" i="2" s="1"/>
  <c r="K700" i="2"/>
  <c r="J700" i="2"/>
  <c r="I700" i="2"/>
  <c r="L699" i="2"/>
  <c r="M699" i="2" s="1"/>
  <c r="K699" i="2"/>
  <c r="J699" i="2"/>
  <c r="I699" i="2"/>
  <c r="L698" i="2"/>
  <c r="M698" i="2" s="1"/>
  <c r="K698" i="2"/>
  <c r="J698" i="2"/>
  <c r="I698" i="2"/>
  <c r="L697" i="2"/>
  <c r="M697" i="2" s="1"/>
  <c r="K697" i="2"/>
  <c r="J697" i="2"/>
  <c r="I697" i="2"/>
  <c r="L696" i="2"/>
  <c r="M696" i="2" s="1"/>
  <c r="K696" i="2"/>
  <c r="J696" i="2"/>
  <c r="I696" i="2"/>
  <c r="L695" i="2"/>
  <c r="M695" i="2" s="1"/>
  <c r="K695" i="2"/>
  <c r="J695" i="2"/>
  <c r="I695" i="2"/>
  <c r="L694" i="2"/>
  <c r="M694" i="2" s="1"/>
  <c r="K694" i="2"/>
  <c r="J694" i="2"/>
  <c r="I694" i="2"/>
  <c r="L693" i="2"/>
  <c r="M693" i="2" s="1"/>
  <c r="K693" i="2"/>
  <c r="J693" i="2"/>
  <c r="I693" i="2"/>
  <c r="L692" i="2"/>
  <c r="M692" i="2" s="1"/>
  <c r="K692" i="2"/>
  <c r="J692" i="2"/>
  <c r="I692" i="2"/>
  <c r="L691" i="2"/>
  <c r="M691" i="2" s="1"/>
  <c r="K691" i="2"/>
  <c r="J691" i="2"/>
  <c r="I691" i="2"/>
  <c r="L690" i="2"/>
  <c r="M690" i="2" s="1"/>
  <c r="K690" i="2"/>
  <c r="J690" i="2"/>
  <c r="I690" i="2"/>
  <c r="L689" i="2"/>
  <c r="M689" i="2" s="1"/>
  <c r="K689" i="2"/>
  <c r="J689" i="2"/>
  <c r="I689" i="2"/>
  <c r="L688" i="2"/>
  <c r="M688" i="2" s="1"/>
  <c r="K688" i="2"/>
  <c r="J688" i="2"/>
  <c r="I688" i="2"/>
  <c r="L687" i="2"/>
  <c r="M687" i="2" s="1"/>
  <c r="K687" i="2"/>
  <c r="J687" i="2"/>
  <c r="I687" i="2"/>
  <c r="L686" i="2"/>
  <c r="M686" i="2" s="1"/>
  <c r="K686" i="2"/>
  <c r="J686" i="2"/>
  <c r="I686" i="2"/>
  <c r="L685" i="2"/>
  <c r="M685" i="2" s="1"/>
  <c r="K685" i="2"/>
  <c r="J685" i="2"/>
  <c r="I685" i="2"/>
  <c r="L684" i="2"/>
  <c r="M684" i="2" s="1"/>
  <c r="K684" i="2"/>
  <c r="J684" i="2"/>
  <c r="I684" i="2"/>
  <c r="L683" i="2"/>
  <c r="M683" i="2" s="1"/>
  <c r="K683" i="2"/>
  <c r="J683" i="2"/>
  <c r="I683" i="2"/>
  <c r="L682" i="2"/>
  <c r="M682" i="2" s="1"/>
  <c r="K682" i="2"/>
  <c r="J682" i="2"/>
  <c r="I682" i="2"/>
  <c r="L681" i="2"/>
  <c r="M681" i="2" s="1"/>
  <c r="K681" i="2"/>
  <c r="J681" i="2"/>
  <c r="I681" i="2"/>
  <c r="L680" i="2"/>
  <c r="M680" i="2" s="1"/>
  <c r="K680" i="2"/>
  <c r="J680" i="2"/>
  <c r="I680" i="2"/>
  <c r="L679" i="2"/>
  <c r="M679" i="2" s="1"/>
  <c r="K679" i="2"/>
  <c r="J679" i="2"/>
  <c r="I679" i="2"/>
  <c r="L678" i="2"/>
  <c r="M678" i="2" s="1"/>
  <c r="K678" i="2"/>
  <c r="J678" i="2"/>
  <c r="I678" i="2"/>
  <c r="L677" i="2"/>
  <c r="M677" i="2" s="1"/>
  <c r="K677" i="2"/>
  <c r="J677" i="2"/>
  <c r="I677" i="2"/>
  <c r="L676" i="2"/>
  <c r="M676" i="2" s="1"/>
  <c r="K676" i="2"/>
  <c r="J676" i="2"/>
  <c r="I676" i="2"/>
  <c r="L675" i="2"/>
  <c r="M675" i="2" s="1"/>
  <c r="K675" i="2"/>
  <c r="J675" i="2"/>
  <c r="I675" i="2"/>
  <c r="L674" i="2"/>
  <c r="M674" i="2" s="1"/>
  <c r="K674" i="2"/>
  <c r="J674" i="2"/>
  <c r="I674" i="2"/>
  <c r="L673" i="2"/>
  <c r="M673" i="2" s="1"/>
  <c r="K673" i="2"/>
  <c r="J673" i="2"/>
  <c r="I673" i="2"/>
  <c r="L672" i="2"/>
  <c r="M672" i="2" s="1"/>
  <c r="K672" i="2"/>
  <c r="J672" i="2"/>
  <c r="I672" i="2"/>
  <c r="L671" i="2"/>
  <c r="M671" i="2" s="1"/>
  <c r="K671" i="2"/>
  <c r="J671" i="2"/>
  <c r="I671" i="2"/>
  <c r="L670" i="2"/>
  <c r="M670" i="2" s="1"/>
  <c r="K670" i="2"/>
  <c r="J670" i="2"/>
  <c r="I670" i="2"/>
  <c r="L669" i="2"/>
  <c r="M669" i="2" s="1"/>
  <c r="K669" i="2"/>
  <c r="J669" i="2"/>
  <c r="I669" i="2"/>
  <c r="L668" i="2"/>
  <c r="M668" i="2" s="1"/>
  <c r="K668" i="2"/>
  <c r="J668" i="2"/>
  <c r="I668" i="2"/>
  <c r="L667" i="2"/>
  <c r="M667" i="2" s="1"/>
  <c r="K667" i="2"/>
  <c r="J667" i="2"/>
  <c r="I667" i="2"/>
  <c r="L666" i="2"/>
  <c r="M666" i="2" s="1"/>
  <c r="K666" i="2"/>
  <c r="J666" i="2"/>
  <c r="I666" i="2"/>
  <c r="L665" i="2"/>
  <c r="M665" i="2" s="1"/>
  <c r="K665" i="2"/>
  <c r="J665" i="2"/>
  <c r="I665" i="2"/>
  <c r="L664" i="2"/>
  <c r="M664" i="2" s="1"/>
  <c r="K664" i="2"/>
  <c r="J664" i="2"/>
  <c r="I664" i="2"/>
  <c r="L663" i="2"/>
  <c r="M663" i="2" s="1"/>
  <c r="K663" i="2"/>
  <c r="J663" i="2"/>
  <c r="I663" i="2"/>
  <c r="L662" i="2"/>
  <c r="M662" i="2" s="1"/>
  <c r="K662" i="2"/>
  <c r="J662" i="2"/>
  <c r="I662" i="2"/>
  <c r="L661" i="2"/>
  <c r="M661" i="2" s="1"/>
  <c r="K661" i="2"/>
  <c r="J661" i="2"/>
  <c r="I661" i="2"/>
  <c r="L660" i="2"/>
  <c r="M660" i="2" s="1"/>
  <c r="K660" i="2"/>
  <c r="J660" i="2"/>
  <c r="I660" i="2"/>
  <c r="L659" i="2"/>
  <c r="M659" i="2" s="1"/>
  <c r="K659" i="2"/>
  <c r="J659" i="2"/>
  <c r="I659" i="2"/>
  <c r="L658" i="2"/>
  <c r="M658" i="2" s="1"/>
  <c r="K658" i="2"/>
  <c r="J658" i="2"/>
  <c r="I658" i="2"/>
  <c r="L657" i="2"/>
  <c r="M657" i="2" s="1"/>
  <c r="K657" i="2"/>
  <c r="J657" i="2"/>
  <c r="I657" i="2"/>
  <c r="L656" i="2"/>
  <c r="M656" i="2" s="1"/>
  <c r="K656" i="2"/>
  <c r="J656" i="2"/>
  <c r="I656" i="2"/>
  <c r="L655" i="2"/>
  <c r="M655" i="2" s="1"/>
  <c r="K655" i="2"/>
  <c r="J655" i="2"/>
  <c r="I655" i="2"/>
  <c r="L654" i="2"/>
  <c r="M654" i="2" s="1"/>
  <c r="K654" i="2"/>
  <c r="J654" i="2"/>
  <c r="I654" i="2"/>
  <c r="L653" i="2"/>
  <c r="M653" i="2" s="1"/>
  <c r="K653" i="2"/>
  <c r="J653" i="2"/>
  <c r="I653" i="2"/>
  <c r="L652" i="2"/>
  <c r="M652" i="2" s="1"/>
  <c r="K652" i="2"/>
  <c r="J652" i="2"/>
  <c r="I652" i="2"/>
  <c r="L651" i="2"/>
  <c r="M651" i="2" s="1"/>
  <c r="K651" i="2"/>
  <c r="J651" i="2"/>
  <c r="I651" i="2"/>
  <c r="L650" i="2"/>
  <c r="M650" i="2" s="1"/>
  <c r="K650" i="2"/>
  <c r="J650" i="2"/>
  <c r="I650" i="2"/>
  <c r="L649" i="2"/>
  <c r="M649" i="2" s="1"/>
  <c r="K649" i="2"/>
  <c r="J649" i="2"/>
  <c r="I649" i="2"/>
  <c r="L648" i="2"/>
  <c r="M648" i="2" s="1"/>
  <c r="K648" i="2"/>
  <c r="J648" i="2"/>
  <c r="I648" i="2"/>
  <c r="L647" i="2"/>
  <c r="M647" i="2" s="1"/>
  <c r="K647" i="2"/>
  <c r="J647" i="2"/>
  <c r="I647" i="2"/>
  <c r="L646" i="2"/>
  <c r="M646" i="2" s="1"/>
  <c r="K646" i="2"/>
  <c r="J646" i="2"/>
  <c r="I646" i="2"/>
  <c r="L645" i="2"/>
  <c r="M645" i="2" s="1"/>
  <c r="K645" i="2"/>
  <c r="J645" i="2"/>
  <c r="I645" i="2"/>
  <c r="L644" i="2"/>
  <c r="M644" i="2" s="1"/>
  <c r="K644" i="2"/>
  <c r="J644" i="2"/>
  <c r="I644" i="2"/>
  <c r="L643" i="2"/>
  <c r="M643" i="2" s="1"/>
  <c r="K643" i="2"/>
  <c r="J643" i="2"/>
  <c r="I643" i="2"/>
  <c r="L642" i="2"/>
  <c r="M642" i="2" s="1"/>
  <c r="K642" i="2"/>
  <c r="J642" i="2"/>
  <c r="I642" i="2"/>
  <c r="L641" i="2"/>
  <c r="M641" i="2" s="1"/>
  <c r="K641" i="2"/>
  <c r="J641" i="2"/>
  <c r="I641" i="2"/>
  <c r="L640" i="2"/>
  <c r="M640" i="2" s="1"/>
  <c r="K640" i="2"/>
  <c r="J640" i="2"/>
  <c r="I640" i="2"/>
  <c r="L639" i="2"/>
  <c r="M639" i="2" s="1"/>
  <c r="K639" i="2"/>
  <c r="J639" i="2"/>
  <c r="I639" i="2"/>
  <c r="L638" i="2"/>
  <c r="M638" i="2" s="1"/>
  <c r="K638" i="2"/>
  <c r="J638" i="2"/>
  <c r="I638" i="2"/>
  <c r="L637" i="2"/>
  <c r="M637" i="2" s="1"/>
  <c r="K637" i="2"/>
  <c r="J637" i="2"/>
  <c r="I637" i="2"/>
  <c r="L636" i="2"/>
  <c r="M636" i="2" s="1"/>
  <c r="K636" i="2"/>
  <c r="J636" i="2"/>
  <c r="I636" i="2"/>
  <c r="L635" i="2"/>
  <c r="M635" i="2" s="1"/>
  <c r="K635" i="2"/>
  <c r="J635" i="2"/>
  <c r="I635" i="2"/>
  <c r="L634" i="2"/>
  <c r="M634" i="2" s="1"/>
  <c r="K634" i="2"/>
  <c r="J634" i="2"/>
  <c r="I634" i="2"/>
  <c r="L633" i="2"/>
  <c r="M633" i="2" s="1"/>
  <c r="K633" i="2"/>
  <c r="J633" i="2"/>
  <c r="I633" i="2"/>
  <c r="L632" i="2"/>
  <c r="M632" i="2" s="1"/>
  <c r="K632" i="2"/>
  <c r="J632" i="2"/>
  <c r="I632" i="2"/>
  <c r="L631" i="2"/>
  <c r="M631" i="2" s="1"/>
  <c r="K631" i="2"/>
  <c r="J631" i="2"/>
  <c r="I631" i="2"/>
  <c r="L630" i="2"/>
  <c r="M630" i="2" s="1"/>
  <c r="K630" i="2"/>
  <c r="J630" i="2"/>
  <c r="I630" i="2"/>
  <c r="L629" i="2"/>
  <c r="M629" i="2" s="1"/>
  <c r="K629" i="2"/>
  <c r="J629" i="2"/>
  <c r="I629" i="2"/>
  <c r="L628" i="2"/>
  <c r="M628" i="2" s="1"/>
  <c r="K628" i="2"/>
  <c r="J628" i="2"/>
  <c r="I628" i="2"/>
  <c r="L627" i="2"/>
  <c r="M627" i="2" s="1"/>
  <c r="K627" i="2"/>
  <c r="J627" i="2"/>
  <c r="I627" i="2"/>
  <c r="L626" i="2"/>
  <c r="M626" i="2" s="1"/>
  <c r="K626" i="2"/>
  <c r="J626" i="2"/>
  <c r="I626" i="2"/>
  <c r="L625" i="2"/>
  <c r="M625" i="2" s="1"/>
  <c r="K625" i="2"/>
  <c r="J625" i="2"/>
  <c r="I625" i="2"/>
  <c r="L624" i="2"/>
  <c r="M624" i="2" s="1"/>
  <c r="K624" i="2"/>
  <c r="J624" i="2"/>
  <c r="I624" i="2"/>
  <c r="L623" i="2"/>
  <c r="M623" i="2" s="1"/>
  <c r="K623" i="2"/>
  <c r="J623" i="2"/>
  <c r="I623" i="2"/>
  <c r="L622" i="2"/>
  <c r="M622" i="2" s="1"/>
  <c r="K622" i="2"/>
  <c r="J622" i="2"/>
  <c r="I622" i="2"/>
  <c r="L621" i="2"/>
  <c r="M621" i="2" s="1"/>
  <c r="K621" i="2"/>
  <c r="J621" i="2"/>
  <c r="I621" i="2"/>
  <c r="L620" i="2"/>
  <c r="M620" i="2" s="1"/>
  <c r="K620" i="2"/>
  <c r="J620" i="2"/>
  <c r="I620" i="2"/>
  <c r="L619" i="2"/>
  <c r="M619" i="2" s="1"/>
  <c r="K619" i="2"/>
  <c r="J619" i="2"/>
  <c r="I619" i="2"/>
  <c r="L618" i="2"/>
  <c r="M618" i="2" s="1"/>
  <c r="K618" i="2"/>
  <c r="J618" i="2"/>
  <c r="I618" i="2"/>
  <c r="L617" i="2"/>
  <c r="M617" i="2" s="1"/>
  <c r="K617" i="2"/>
  <c r="J617" i="2"/>
  <c r="I617" i="2"/>
  <c r="L616" i="2"/>
  <c r="M616" i="2" s="1"/>
  <c r="K616" i="2"/>
  <c r="J616" i="2"/>
  <c r="I616" i="2"/>
  <c r="L615" i="2"/>
  <c r="M615" i="2" s="1"/>
  <c r="K615" i="2"/>
  <c r="J615" i="2"/>
  <c r="I615" i="2"/>
  <c r="L614" i="2"/>
  <c r="M614" i="2" s="1"/>
  <c r="K614" i="2"/>
  <c r="J614" i="2"/>
  <c r="I614" i="2"/>
  <c r="L613" i="2"/>
  <c r="M613" i="2" s="1"/>
  <c r="K613" i="2"/>
  <c r="J613" i="2"/>
  <c r="I613" i="2"/>
  <c r="L612" i="2"/>
  <c r="M612" i="2" s="1"/>
  <c r="K612" i="2"/>
  <c r="J612" i="2"/>
  <c r="I612" i="2"/>
  <c r="L611" i="2"/>
  <c r="M611" i="2" s="1"/>
  <c r="K611" i="2"/>
  <c r="J611" i="2"/>
  <c r="I611" i="2"/>
  <c r="L610" i="2"/>
  <c r="M610" i="2" s="1"/>
  <c r="K610" i="2"/>
  <c r="J610" i="2"/>
  <c r="I610" i="2"/>
  <c r="L609" i="2"/>
  <c r="M609" i="2" s="1"/>
  <c r="K609" i="2"/>
  <c r="J609" i="2"/>
  <c r="I609" i="2"/>
  <c r="L608" i="2"/>
  <c r="M608" i="2" s="1"/>
  <c r="K608" i="2"/>
  <c r="J608" i="2"/>
  <c r="I608" i="2"/>
  <c r="L607" i="2"/>
  <c r="M607" i="2" s="1"/>
  <c r="K607" i="2"/>
  <c r="J607" i="2"/>
  <c r="I607" i="2"/>
  <c r="L606" i="2"/>
  <c r="M606" i="2" s="1"/>
  <c r="K606" i="2"/>
  <c r="J606" i="2"/>
  <c r="I606" i="2"/>
  <c r="L605" i="2"/>
  <c r="M605" i="2" s="1"/>
  <c r="K605" i="2"/>
  <c r="J605" i="2"/>
  <c r="I605" i="2"/>
  <c r="L604" i="2"/>
  <c r="M604" i="2" s="1"/>
  <c r="K604" i="2"/>
  <c r="J604" i="2"/>
  <c r="I604" i="2"/>
  <c r="L603" i="2"/>
  <c r="M603" i="2" s="1"/>
  <c r="K603" i="2"/>
  <c r="J603" i="2"/>
  <c r="I603" i="2"/>
  <c r="L602" i="2"/>
  <c r="M602" i="2" s="1"/>
  <c r="K602" i="2"/>
  <c r="J602" i="2"/>
  <c r="I602" i="2"/>
  <c r="L601" i="2"/>
  <c r="M601" i="2" s="1"/>
  <c r="K601" i="2"/>
  <c r="J601" i="2"/>
  <c r="I601" i="2"/>
  <c r="L600" i="2"/>
  <c r="M600" i="2" s="1"/>
  <c r="K600" i="2"/>
  <c r="J600" i="2"/>
  <c r="I600" i="2"/>
  <c r="L599" i="2"/>
  <c r="M599" i="2" s="1"/>
  <c r="K599" i="2"/>
  <c r="J599" i="2"/>
  <c r="I599" i="2"/>
  <c r="L598" i="2"/>
  <c r="M598" i="2" s="1"/>
  <c r="K598" i="2"/>
  <c r="J598" i="2"/>
  <c r="I598" i="2"/>
  <c r="L597" i="2"/>
  <c r="M597" i="2" s="1"/>
  <c r="K597" i="2"/>
  <c r="J597" i="2"/>
  <c r="I597" i="2"/>
  <c r="L596" i="2"/>
  <c r="M596" i="2" s="1"/>
  <c r="K596" i="2"/>
  <c r="J596" i="2"/>
  <c r="I596" i="2"/>
  <c r="L595" i="2"/>
  <c r="M595" i="2" s="1"/>
  <c r="K595" i="2"/>
  <c r="J595" i="2"/>
  <c r="I595" i="2"/>
  <c r="L594" i="2"/>
  <c r="M594" i="2" s="1"/>
  <c r="K594" i="2"/>
  <c r="J594" i="2"/>
  <c r="I594" i="2"/>
  <c r="L593" i="2"/>
  <c r="M593" i="2" s="1"/>
  <c r="K593" i="2"/>
  <c r="J593" i="2"/>
  <c r="I593" i="2"/>
  <c r="L592" i="2"/>
  <c r="M592" i="2" s="1"/>
  <c r="K592" i="2"/>
  <c r="J592" i="2"/>
  <c r="I592" i="2"/>
  <c r="L591" i="2"/>
  <c r="M591" i="2" s="1"/>
  <c r="K591" i="2"/>
  <c r="J591" i="2"/>
  <c r="I591" i="2"/>
  <c r="L590" i="2"/>
  <c r="M590" i="2" s="1"/>
  <c r="K590" i="2"/>
  <c r="J590" i="2"/>
  <c r="I590" i="2"/>
  <c r="L589" i="2"/>
  <c r="M589" i="2" s="1"/>
  <c r="K589" i="2"/>
  <c r="J589" i="2"/>
  <c r="I589" i="2"/>
  <c r="L588" i="2"/>
  <c r="M588" i="2" s="1"/>
  <c r="K588" i="2"/>
  <c r="J588" i="2"/>
  <c r="I588" i="2"/>
  <c r="L587" i="2"/>
  <c r="M587" i="2" s="1"/>
  <c r="K587" i="2"/>
  <c r="J587" i="2"/>
  <c r="I587" i="2"/>
  <c r="L586" i="2"/>
  <c r="M586" i="2" s="1"/>
  <c r="K586" i="2"/>
  <c r="J586" i="2"/>
  <c r="I586" i="2"/>
  <c r="L585" i="2"/>
  <c r="M585" i="2" s="1"/>
  <c r="K585" i="2"/>
  <c r="J585" i="2"/>
  <c r="I585" i="2"/>
  <c r="L584" i="2"/>
  <c r="M584" i="2" s="1"/>
  <c r="K584" i="2"/>
  <c r="J584" i="2"/>
  <c r="I584" i="2"/>
  <c r="L583" i="2"/>
  <c r="M583" i="2" s="1"/>
  <c r="K583" i="2"/>
  <c r="J583" i="2"/>
  <c r="I583" i="2"/>
  <c r="L582" i="2"/>
  <c r="M582" i="2" s="1"/>
  <c r="K582" i="2"/>
  <c r="J582" i="2"/>
  <c r="I582" i="2"/>
  <c r="L581" i="2"/>
  <c r="M581" i="2" s="1"/>
  <c r="K581" i="2"/>
  <c r="J581" i="2"/>
  <c r="I581" i="2"/>
  <c r="L580" i="2"/>
  <c r="M580" i="2" s="1"/>
  <c r="K580" i="2"/>
  <c r="J580" i="2"/>
  <c r="I580" i="2"/>
  <c r="L579" i="2"/>
  <c r="M579" i="2" s="1"/>
  <c r="K579" i="2"/>
  <c r="J579" i="2"/>
  <c r="I579" i="2"/>
  <c r="L578" i="2"/>
  <c r="M578" i="2" s="1"/>
  <c r="K578" i="2"/>
  <c r="J578" i="2"/>
  <c r="I578" i="2"/>
  <c r="L577" i="2"/>
  <c r="M577" i="2" s="1"/>
  <c r="K577" i="2"/>
  <c r="J577" i="2"/>
  <c r="I577" i="2"/>
  <c r="L576" i="2"/>
  <c r="M576" i="2" s="1"/>
  <c r="K576" i="2"/>
  <c r="J576" i="2"/>
  <c r="I576" i="2"/>
  <c r="L575" i="2"/>
  <c r="M575" i="2" s="1"/>
  <c r="K575" i="2"/>
  <c r="J575" i="2"/>
  <c r="I575" i="2"/>
  <c r="L574" i="2"/>
  <c r="M574" i="2" s="1"/>
  <c r="K574" i="2"/>
  <c r="J574" i="2"/>
  <c r="I574" i="2"/>
  <c r="L573" i="2"/>
  <c r="M573" i="2" s="1"/>
  <c r="K573" i="2"/>
  <c r="J573" i="2"/>
  <c r="I573" i="2"/>
  <c r="L572" i="2"/>
  <c r="M572" i="2" s="1"/>
  <c r="K572" i="2"/>
  <c r="J572" i="2"/>
  <c r="I572" i="2"/>
  <c r="L571" i="2"/>
  <c r="M571" i="2" s="1"/>
  <c r="K571" i="2"/>
  <c r="J571" i="2"/>
  <c r="I571" i="2"/>
  <c r="L570" i="2"/>
  <c r="M570" i="2" s="1"/>
  <c r="K570" i="2"/>
  <c r="J570" i="2"/>
  <c r="I570" i="2"/>
  <c r="L569" i="2"/>
  <c r="M569" i="2" s="1"/>
  <c r="K569" i="2"/>
  <c r="J569" i="2"/>
  <c r="I569" i="2"/>
  <c r="L568" i="2"/>
  <c r="M568" i="2" s="1"/>
  <c r="K568" i="2"/>
  <c r="J568" i="2"/>
  <c r="I568" i="2"/>
  <c r="L567" i="2"/>
  <c r="M567" i="2" s="1"/>
  <c r="K567" i="2"/>
  <c r="J567" i="2"/>
  <c r="I567" i="2"/>
  <c r="L566" i="2"/>
  <c r="M566" i="2" s="1"/>
  <c r="K566" i="2"/>
  <c r="J566" i="2"/>
  <c r="I566" i="2"/>
  <c r="L565" i="2"/>
  <c r="M565" i="2" s="1"/>
  <c r="K565" i="2"/>
  <c r="J565" i="2"/>
  <c r="I565" i="2"/>
  <c r="L564" i="2"/>
  <c r="M564" i="2" s="1"/>
  <c r="K564" i="2"/>
  <c r="J564" i="2"/>
  <c r="I564" i="2"/>
  <c r="L563" i="2"/>
  <c r="M563" i="2" s="1"/>
  <c r="K563" i="2"/>
  <c r="J563" i="2"/>
  <c r="I563" i="2"/>
  <c r="L562" i="2"/>
  <c r="M562" i="2" s="1"/>
  <c r="K562" i="2"/>
  <c r="J562" i="2"/>
  <c r="I562" i="2"/>
  <c r="L561" i="2"/>
  <c r="M561" i="2" s="1"/>
  <c r="K561" i="2"/>
  <c r="J561" i="2"/>
  <c r="I561" i="2"/>
  <c r="L560" i="2"/>
  <c r="M560" i="2" s="1"/>
  <c r="K560" i="2"/>
  <c r="J560" i="2"/>
  <c r="I560" i="2"/>
  <c r="L559" i="2"/>
  <c r="M559" i="2" s="1"/>
  <c r="K559" i="2"/>
  <c r="J559" i="2"/>
  <c r="I559" i="2"/>
  <c r="L558" i="2"/>
  <c r="M558" i="2" s="1"/>
  <c r="K558" i="2"/>
  <c r="J558" i="2"/>
  <c r="I558" i="2"/>
  <c r="L557" i="2"/>
  <c r="M557" i="2" s="1"/>
  <c r="K557" i="2"/>
  <c r="J557" i="2"/>
  <c r="I557" i="2"/>
  <c r="L556" i="2"/>
  <c r="M556" i="2" s="1"/>
  <c r="K556" i="2"/>
  <c r="J556" i="2"/>
  <c r="I556" i="2"/>
  <c r="L555" i="2"/>
  <c r="M555" i="2" s="1"/>
  <c r="K555" i="2"/>
  <c r="J555" i="2"/>
  <c r="I555" i="2"/>
  <c r="L554" i="2"/>
  <c r="M554" i="2" s="1"/>
  <c r="K554" i="2"/>
  <c r="J554" i="2"/>
  <c r="I554" i="2"/>
  <c r="L553" i="2"/>
  <c r="M553" i="2" s="1"/>
  <c r="K553" i="2"/>
  <c r="J553" i="2"/>
  <c r="I553" i="2"/>
  <c r="L552" i="2"/>
  <c r="M552" i="2" s="1"/>
  <c r="K552" i="2"/>
  <c r="J552" i="2"/>
  <c r="I552" i="2"/>
  <c r="L551" i="2"/>
  <c r="M551" i="2" s="1"/>
  <c r="K551" i="2"/>
  <c r="J551" i="2"/>
  <c r="I551" i="2"/>
  <c r="L550" i="2"/>
  <c r="M550" i="2" s="1"/>
  <c r="K550" i="2"/>
  <c r="J550" i="2"/>
  <c r="I550" i="2"/>
  <c r="L549" i="2"/>
  <c r="M549" i="2" s="1"/>
  <c r="K549" i="2"/>
  <c r="J549" i="2"/>
  <c r="I549" i="2"/>
  <c r="L548" i="2"/>
  <c r="M548" i="2" s="1"/>
  <c r="K548" i="2"/>
  <c r="J548" i="2"/>
  <c r="I548" i="2"/>
  <c r="L547" i="2"/>
  <c r="M547" i="2" s="1"/>
  <c r="K547" i="2"/>
  <c r="J547" i="2"/>
  <c r="I547" i="2"/>
  <c r="L546" i="2"/>
  <c r="M546" i="2" s="1"/>
  <c r="K546" i="2"/>
  <c r="J546" i="2"/>
  <c r="I546" i="2"/>
  <c r="L545" i="2"/>
  <c r="M545" i="2" s="1"/>
  <c r="K545" i="2"/>
  <c r="J545" i="2"/>
  <c r="I545" i="2"/>
  <c r="L544" i="2"/>
  <c r="M544" i="2" s="1"/>
  <c r="K544" i="2"/>
  <c r="J544" i="2"/>
  <c r="I544" i="2"/>
  <c r="L543" i="2"/>
  <c r="M543" i="2" s="1"/>
  <c r="K543" i="2"/>
  <c r="J543" i="2"/>
  <c r="I543" i="2"/>
  <c r="L542" i="2"/>
  <c r="M542" i="2" s="1"/>
  <c r="K542" i="2"/>
  <c r="J542" i="2"/>
  <c r="I542" i="2"/>
  <c r="L541" i="2"/>
  <c r="M541" i="2" s="1"/>
  <c r="K541" i="2"/>
  <c r="J541" i="2"/>
  <c r="I541" i="2"/>
  <c r="L540" i="2"/>
  <c r="M540" i="2" s="1"/>
  <c r="K540" i="2"/>
  <c r="J540" i="2"/>
  <c r="I540" i="2"/>
  <c r="L539" i="2"/>
  <c r="M539" i="2" s="1"/>
  <c r="K539" i="2"/>
  <c r="J539" i="2"/>
  <c r="I539" i="2"/>
  <c r="L538" i="2"/>
  <c r="M538" i="2" s="1"/>
  <c r="K538" i="2"/>
  <c r="J538" i="2"/>
  <c r="I538" i="2"/>
  <c r="L537" i="2"/>
  <c r="M537" i="2" s="1"/>
  <c r="K537" i="2"/>
  <c r="J537" i="2"/>
  <c r="I537" i="2"/>
  <c r="L536" i="2"/>
  <c r="M536" i="2" s="1"/>
  <c r="K536" i="2"/>
  <c r="J536" i="2"/>
  <c r="I536" i="2"/>
  <c r="L535" i="2"/>
  <c r="M535" i="2" s="1"/>
  <c r="K535" i="2"/>
  <c r="J535" i="2"/>
  <c r="I535" i="2"/>
  <c r="L534" i="2"/>
  <c r="M534" i="2" s="1"/>
  <c r="K534" i="2"/>
  <c r="J534" i="2"/>
  <c r="I534" i="2"/>
  <c r="L533" i="2"/>
  <c r="M533" i="2" s="1"/>
  <c r="K533" i="2"/>
  <c r="J533" i="2"/>
  <c r="I533" i="2"/>
  <c r="L532" i="2"/>
  <c r="M532" i="2" s="1"/>
  <c r="K532" i="2"/>
  <c r="J532" i="2"/>
  <c r="I532" i="2"/>
  <c r="L531" i="2"/>
  <c r="M531" i="2" s="1"/>
  <c r="K531" i="2"/>
  <c r="J531" i="2"/>
  <c r="I531" i="2"/>
  <c r="L530" i="2"/>
  <c r="M530" i="2" s="1"/>
  <c r="K530" i="2"/>
  <c r="J530" i="2"/>
  <c r="I530" i="2"/>
  <c r="L529" i="2"/>
  <c r="M529" i="2" s="1"/>
  <c r="K529" i="2"/>
  <c r="J529" i="2"/>
  <c r="I529" i="2"/>
  <c r="L528" i="2"/>
  <c r="M528" i="2" s="1"/>
  <c r="K528" i="2"/>
  <c r="J528" i="2"/>
  <c r="I528" i="2"/>
  <c r="L527" i="2"/>
  <c r="M527" i="2" s="1"/>
  <c r="K527" i="2"/>
  <c r="J527" i="2"/>
  <c r="I527" i="2"/>
  <c r="L526" i="2"/>
  <c r="M526" i="2" s="1"/>
  <c r="K526" i="2"/>
  <c r="J526" i="2"/>
  <c r="I526" i="2"/>
  <c r="L525" i="2"/>
  <c r="M525" i="2" s="1"/>
  <c r="K525" i="2"/>
  <c r="J525" i="2"/>
  <c r="I525" i="2"/>
  <c r="L524" i="2"/>
  <c r="M524" i="2" s="1"/>
  <c r="K524" i="2"/>
  <c r="J524" i="2"/>
  <c r="I524" i="2"/>
  <c r="L523" i="2"/>
  <c r="M523" i="2" s="1"/>
  <c r="K523" i="2"/>
  <c r="J523" i="2"/>
  <c r="I523" i="2"/>
  <c r="L522" i="2"/>
  <c r="M522" i="2" s="1"/>
  <c r="K522" i="2"/>
  <c r="J522" i="2"/>
  <c r="I522" i="2"/>
  <c r="L521" i="2"/>
  <c r="M521" i="2" s="1"/>
  <c r="K521" i="2"/>
  <c r="J521" i="2"/>
  <c r="I521" i="2"/>
  <c r="L520" i="2"/>
  <c r="M520" i="2" s="1"/>
  <c r="K520" i="2"/>
  <c r="J520" i="2"/>
  <c r="I520" i="2"/>
  <c r="L519" i="2"/>
  <c r="M519" i="2" s="1"/>
  <c r="K519" i="2"/>
  <c r="J519" i="2"/>
  <c r="I519" i="2"/>
  <c r="L518" i="2"/>
  <c r="M518" i="2" s="1"/>
  <c r="K518" i="2"/>
  <c r="J518" i="2"/>
  <c r="I518" i="2"/>
  <c r="L517" i="2"/>
  <c r="M517" i="2" s="1"/>
  <c r="K517" i="2"/>
  <c r="J517" i="2"/>
  <c r="I517" i="2"/>
  <c r="L516" i="2"/>
  <c r="M516" i="2" s="1"/>
  <c r="K516" i="2"/>
  <c r="J516" i="2"/>
  <c r="I516" i="2"/>
  <c r="L515" i="2"/>
  <c r="M515" i="2" s="1"/>
  <c r="K515" i="2"/>
  <c r="J515" i="2"/>
  <c r="I515" i="2"/>
  <c r="L514" i="2"/>
  <c r="M514" i="2" s="1"/>
  <c r="K514" i="2"/>
  <c r="J514" i="2"/>
  <c r="I514" i="2"/>
  <c r="L513" i="2"/>
  <c r="M513" i="2" s="1"/>
  <c r="K513" i="2"/>
  <c r="J513" i="2"/>
  <c r="I513" i="2"/>
  <c r="L512" i="2"/>
  <c r="M512" i="2" s="1"/>
  <c r="K512" i="2"/>
  <c r="J512" i="2"/>
  <c r="I512" i="2"/>
  <c r="L511" i="2"/>
  <c r="M511" i="2" s="1"/>
  <c r="K511" i="2"/>
  <c r="J511" i="2"/>
  <c r="I511" i="2"/>
  <c r="L510" i="2"/>
  <c r="M510" i="2" s="1"/>
  <c r="K510" i="2"/>
  <c r="J510" i="2"/>
  <c r="I510" i="2"/>
  <c r="L509" i="2"/>
  <c r="M509" i="2" s="1"/>
  <c r="K509" i="2"/>
  <c r="J509" i="2"/>
  <c r="I509" i="2"/>
  <c r="L508" i="2"/>
  <c r="M508" i="2" s="1"/>
  <c r="K508" i="2"/>
  <c r="J508" i="2"/>
  <c r="I508" i="2"/>
  <c r="L507" i="2"/>
  <c r="M507" i="2" s="1"/>
  <c r="K507" i="2"/>
  <c r="J507" i="2"/>
  <c r="I507" i="2"/>
  <c r="L506" i="2"/>
  <c r="M506" i="2" s="1"/>
  <c r="K506" i="2"/>
  <c r="J506" i="2"/>
  <c r="I506" i="2"/>
  <c r="L505" i="2"/>
  <c r="M505" i="2" s="1"/>
  <c r="K505" i="2"/>
  <c r="J505" i="2"/>
  <c r="I505" i="2"/>
  <c r="L504" i="2"/>
  <c r="M504" i="2" s="1"/>
  <c r="K504" i="2"/>
  <c r="J504" i="2"/>
  <c r="I504" i="2"/>
  <c r="L503" i="2"/>
  <c r="M503" i="2" s="1"/>
  <c r="K503" i="2"/>
  <c r="J503" i="2"/>
  <c r="I503" i="2"/>
  <c r="L502" i="2"/>
  <c r="M502" i="2" s="1"/>
  <c r="K502" i="2"/>
  <c r="J502" i="2"/>
  <c r="I502" i="2"/>
  <c r="L501" i="2"/>
  <c r="M501" i="2" s="1"/>
  <c r="K501" i="2"/>
  <c r="J501" i="2"/>
  <c r="I501" i="2"/>
  <c r="L500" i="2"/>
  <c r="M500" i="2" s="1"/>
  <c r="K500" i="2"/>
  <c r="J500" i="2"/>
  <c r="I500" i="2"/>
  <c r="L499" i="2"/>
  <c r="M499" i="2" s="1"/>
  <c r="K499" i="2"/>
  <c r="J499" i="2"/>
  <c r="I499" i="2"/>
  <c r="L498" i="2"/>
  <c r="M498" i="2" s="1"/>
  <c r="K498" i="2"/>
  <c r="J498" i="2"/>
  <c r="I498" i="2"/>
  <c r="L497" i="2"/>
  <c r="M497" i="2" s="1"/>
  <c r="K497" i="2"/>
  <c r="J497" i="2"/>
  <c r="I497" i="2"/>
  <c r="L496" i="2"/>
  <c r="M496" i="2" s="1"/>
  <c r="K496" i="2"/>
  <c r="J496" i="2"/>
  <c r="I496" i="2"/>
  <c r="L495" i="2"/>
  <c r="M495" i="2" s="1"/>
  <c r="K495" i="2"/>
  <c r="J495" i="2"/>
  <c r="I495" i="2"/>
  <c r="L494" i="2"/>
  <c r="M494" i="2" s="1"/>
  <c r="K494" i="2"/>
  <c r="J494" i="2"/>
  <c r="I494" i="2"/>
  <c r="L493" i="2"/>
  <c r="M493" i="2" s="1"/>
  <c r="K493" i="2"/>
  <c r="J493" i="2"/>
  <c r="I493" i="2"/>
  <c r="L492" i="2"/>
  <c r="M492" i="2" s="1"/>
  <c r="K492" i="2"/>
  <c r="J492" i="2"/>
  <c r="I492" i="2"/>
  <c r="L491" i="2"/>
  <c r="M491" i="2" s="1"/>
  <c r="K491" i="2"/>
  <c r="J491" i="2"/>
  <c r="I491" i="2"/>
  <c r="L490" i="2"/>
  <c r="M490" i="2" s="1"/>
  <c r="K490" i="2"/>
  <c r="J490" i="2"/>
  <c r="I490" i="2"/>
  <c r="L489" i="2"/>
  <c r="M489" i="2" s="1"/>
  <c r="K489" i="2"/>
  <c r="J489" i="2"/>
  <c r="I489" i="2"/>
  <c r="L488" i="2"/>
  <c r="M488" i="2" s="1"/>
  <c r="K488" i="2"/>
  <c r="J488" i="2"/>
  <c r="I488" i="2"/>
  <c r="L487" i="2"/>
  <c r="M487" i="2" s="1"/>
  <c r="K487" i="2"/>
  <c r="J487" i="2"/>
  <c r="I487" i="2"/>
  <c r="L486" i="2"/>
  <c r="M486" i="2" s="1"/>
  <c r="K486" i="2"/>
  <c r="J486" i="2"/>
  <c r="I486" i="2"/>
  <c r="L485" i="2"/>
  <c r="M485" i="2" s="1"/>
  <c r="K485" i="2"/>
  <c r="J485" i="2"/>
  <c r="I485" i="2"/>
  <c r="L484" i="2"/>
  <c r="M484" i="2" s="1"/>
  <c r="K484" i="2"/>
  <c r="J484" i="2"/>
  <c r="I484" i="2"/>
  <c r="L483" i="2"/>
  <c r="M483" i="2" s="1"/>
  <c r="K483" i="2"/>
  <c r="J483" i="2"/>
  <c r="I483" i="2"/>
  <c r="L482" i="2"/>
  <c r="M482" i="2" s="1"/>
  <c r="K482" i="2"/>
  <c r="J482" i="2"/>
  <c r="I482" i="2"/>
  <c r="L481" i="2"/>
  <c r="M481" i="2" s="1"/>
  <c r="K481" i="2"/>
  <c r="J481" i="2"/>
  <c r="I481" i="2"/>
  <c r="L480" i="2"/>
  <c r="M480" i="2" s="1"/>
  <c r="K480" i="2"/>
  <c r="J480" i="2"/>
  <c r="I480" i="2"/>
  <c r="L479" i="2"/>
  <c r="M479" i="2" s="1"/>
  <c r="K479" i="2"/>
  <c r="J479" i="2"/>
  <c r="I479" i="2"/>
  <c r="L478" i="2"/>
  <c r="M478" i="2" s="1"/>
  <c r="K478" i="2"/>
  <c r="J478" i="2"/>
  <c r="I478" i="2"/>
  <c r="L477" i="2"/>
  <c r="M477" i="2" s="1"/>
  <c r="K477" i="2"/>
  <c r="J477" i="2"/>
  <c r="I477" i="2"/>
  <c r="L476" i="2"/>
  <c r="M476" i="2" s="1"/>
  <c r="K476" i="2"/>
  <c r="J476" i="2"/>
  <c r="I476" i="2"/>
  <c r="L475" i="2"/>
  <c r="M475" i="2" s="1"/>
  <c r="K475" i="2"/>
  <c r="J475" i="2"/>
  <c r="I475" i="2"/>
  <c r="L474" i="2"/>
  <c r="M474" i="2" s="1"/>
  <c r="K474" i="2"/>
  <c r="J474" i="2"/>
  <c r="I474" i="2"/>
  <c r="L473" i="2"/>
  <c r="M473" i="2" s="1"/>
  <c r="K473" i="2"/>
  <c r="J473" i="2"/>
  <c r="I473" i="2"/>
  <c r="L472" i="2"/>
  <c r="M472" i="2" s="1"/>
  <c r="K472" i="2"/>
  <c r="J472" i="2"/>
  <c r="I472" i="2"/>
  <c r="L471" i="2"/>
  <c r="M471" i="2" s="1"/>
  <c r="K471" i="2"/>
  <c r="J471" i="2"/>
  <c r="I471" i="2"/>
  <c r="L470" i="2"/>
  <c r="M470" i="2" s="1"/>
  <c r="K470" i="2"/>
  <c r="J470" i="2"/>
  <c r="I470" i="2"/>
  <c r="L469" i="2"/>
  <c r="M469" i="2" s="1"/>
  <c r="K469" i="2"/>
  <c r="J469" i="2"/>
  <c r="I469" i="2"/>
  <c r="L468" i="2"/>
  <c r="M468" i="2" s="1"/>
  <c r="K468" i="2"/>
  <c r="J468" i="2"/>
  <c r="I468" i="2"/>
  <c r="L467" i="2"/>
  <c r="M467" i="2" s="1"/>
  <c r="K467" i="2"/>
  <c r="J467" i="2"/>
  <c r="I467" i="2"/>
  <c r="L466" i="2"/>
  <c r="M466" i="2" s="1"/>
  <c r="K466" i="2"/>
  <c r="J466" i="2"/>
  <c r="I466" i="2"/>
  <c r="L465" i="2"/>
  <c r="M465" i="2" s="1"/>
  <c r="K465" i="2"/>
  <c r="J465" i="2"/>
  <c r="I465" i="2"/>
  <c r="L464" i="2"/>
  <c r="M464" i="2" s="1"/>
  <c r="K464" i="2"/>
  <c r="J464" i="2"/>
  <c r="I464" i="2"/>
  <c r="L463" i="2"/>
  <c r="M463" i="2" s="1"/>
  <c r="K463" i="2"/>
  <c r="J463" i="2"/>
  <c r="I463" i="2"/>
  <c r="L462" i="2"/>
  <c r="M462" i="2" s="1"/>
  <c r="K462" i="2"/>
  <c r="J462" i="2"/>
  <c r="I462" i="2"/>
  <c r="L461" i="2"/>
  <c r="M461" i="2" s="1"/>
  <c r="K461" i="2"/>
  <c r="J461" i="2"/>
  <c r="I461" i="2"/>
  <c r="L460" i="2"/>
  <c r="M460" i="2" s="1"/>
  <c r="K460" i="2"/>
  <c r="J460" i="2"/>
  <c r="I460" i="2"/>
  <c r="L459" i="2"/>
  <c r="M459" i="2" s="1"/>
  <c r="K459" i="2"/>
  <c r="J459" i="2"/>
  <c r="I459" i="2"/>
  <c r="L458" i="2"/>
  <c r="M458" i="2" s="1"/>
  <c r="K458" i="2"/>
  <c r="J458" i="2"/>
  <c r="I458" i="2"/>
  <c r="L457" i="2"/>
  <c r="M457" i="2" s="1"/>
  <c r="K457" i="2"/>
  <c r="J457" i="2"/>
  <c r="I457" i="2"/>
  <c r="L456" i="2"/>
  <c r="M456" i="2" s="1"/>
  <c r="K456" i="2"/>
  <c r="J456" i="2"/>
  <c r="I456" i="2"/>
  <c r="L455" i="2"/>
  <c r="M455" i="2" s="1"/>
  <c r="K455" i="2"/>
  <c r="J455" i="2"/>
  <c r="I455" i="2"/>
  <c r="L454" i="2"/>
  <c r="M454" i="2" s="1"/>
  <c r="K454" i="2"/>
  <c r="J454" i="2"/>
  <c r="I454" i="2"/>
  <c r="L453" i="2"/>
  <c r="M453" i="2" s="1"/>
  <c r="K453" i="2"/>
  <c r="J453" i="2"/>
  <c r="I453" i="2"/>
  <c r="L452" i="2"/>
  <c r="M452" i="2" s="1"/>
  <c r="K452" i="2"/>
  <c r="J452" i="2"/>
  <c r="I452" i="2"/>
  <c r="L451" i="2"/>
  <c r="M451" i="2" s="1"/>
  <c r="K451" i="2"/>
  <c r="J451" i="2"/>
  <c r="I451" i="2"/>
  <c r="L450" i="2"/>
  <c r="M450" i="2" s="1"/>
  <c r="K450" i="2"/>
  <c r="J450" i="2"/>
  <c r="I450" i="2"/>
  <c r="L449" i="2"/>
  <c r="M449" i="2" s="1"/>
  <c r="K449" i="2"/>
  <c r="J449" i="2"/>
  <c r="I449" i="2"/>
  <c r="L448" i="2"/>
  <c r="M448" i="2" s="1"/>
  <c r="K448" i="2"/>
  <c r="J448" i="2"/>
  <c r="I448" i="2"/>
  <c r="L447" i="2"/>
  <c r="M447" i="2" s="1"/>
  <c r="K447" i="2"/>
  <c r="J447" i="2"/>
  <c r="I447" i="2"/>
  <c r="L446" i="2"/>
  <c r="M446" i="2" s="1"/>
  <c r="K446" i="2"/>
  <c r="J446" i="2"/>
  <c r="I446" i="2"/>
  <c r="L445" i="2"/>
  <c r="M445" i="2" s="1"/>
  <c r="K445" i="2"/>
  <c r="J445" i="2"/>
  <c r="I445" i="2"/>
  <c r="L444" i="2"/>
  <c r="M444" i="2" s="1"/>
  <c r="K444" i="2"/>
  <c r="J444" i="2"/>
  <c r="I444" i="2"/>
  <c r="L443" i="2"/>
  <c r="M443" i="2" s="1"/>
  <c r="K443" i="2"/>
  <c r="J443" i="2"/>
  <c r="I443" i="2"/>
  <c r="L442" i="2"/>
  <c r="M442" i="2" s="1"/>
  <c r="K442" i="2"/>
  <c r="J442" i="2"/>
  <c r="I442" i="2"/>
  <c r="L441" i="2"/>
  <c r="M441" i="2" s="1"/>
  <c r="K441" i="2"/>
  <c r="J441" i="2"/>
  <c r="I441" i="2"/>
  <c r="L440" i="2"/>
  <c r="M440" i="2" s="1"/>
  <c r="K440" i="2"/>
  <c r="J440" i="2"/>
  <c r="I440" i="2"/>
  <c r="L439" i="2"/>
  <c r="M439" i="2" s="1"/>
  <c r="K439" i="2"/>
  <c r="J439" i="2"/>
  <c r="I439" i="2"/>
  <c r="L438" i="2"/>
  <c r="M438" i="2" s="1"/>
  <c r="K438" i="2"/>
  <c r="J438" i="2"/>
  <c r="I438" i="2"/>
  <c r="L437" i="2"/>
  <c r="M437" i="2" s="1"/>
  <c r="K437" i="2"/>
  <c r="J437" i="2"/>
  <c r="I437" i="2"/>
  <c r="L436" i="2"/>
  <c r="M436" i="2" s="1"/>
  <c r="K436" i="2"/>
  <c r="J436" i="2"/>
  <c r="I436" i="2"/>
  <c r="L435" i="2"/>
  <c r="M435" i="2" s="1"/>
  <c r="K435" i="2"/>
  <c r="J435" i="2"/>
  <c r="I435" i="2"/>
  <c r="L434" i="2"/>
  <c r="M434" i="2" s="1"/>
  <c r="K434" i="2"/>
  <c r="J434" i="2"/>
  <c r="I434" i="2"/>
  <c r="L433" i="2"/>
  <c r="M433" i="2" s="1"/>
  <c r="K433" i="2"/>
  <c r="J433" i="2"/>
  <c r="I433" i="2"/>
  <c r="L432" i="2"/>
  <c r="M432" i="2" s="1"/>
  <c r="K432" i="2"/>
  <c r="J432" i="2"/>
  <c r="I432" i="2"/>
  <c r="L431" i="2"/>
  <c r="M431" i="2" s="1"/>
  <c r="K431" i="2"/>
  <c r="J431" i="2"/>
  <c r="I431" i="2"/>
  <c r="L430" i="2"/>
  <c r="M430" i="2" s="1"/>
  <c r="K430" i="2"/>
  <c r="J430" i="2"/>
  <c r="I430" i="2"/>
  <c r="L429" i="2"/>
  <c r="M429" i="2" s="1"/>
  <c r="K429" i="2"/>
  <c r="J429" i="2"/>
  <c r="I429" i="2"/>
  <c r="L428" i="2"/>
  <c r="M428" i="2" s="1"/>
  <c r="K428" i="2"/>
  <c r="J428" i="2"/>
  <c r="I428" i="2"/>
  <c r="L427" i="2"/>
  <c r="M427" i="2" s="1"/>
  <c r="K427" i="2"/>
  <c r="J427" i="2"/>
  <c r="I427" i="2"/>
  <c r="L426" i="2"/>
  <c r="M426" i="2" s="1"/>
  <c r="K426" i="2"/>
  <c r="J426" i="2"/>
  <c r="I426" i="2"/>
  <c r="L425" i="2"/>
  <c r="M425" i="2" s="1"/>
  <c r="K425" i="2"/>
  <c r="J425" i="2"/>
  <c r="I425" i="2"/>
  <c r="L424" i="2"/>
  <c r="M424" i="2" s="1"/>
  <c r="K424" i="2"/>
  <c r="J424" i="2"/>
  <c r="I424" i="2"/>
  <c r="L423" i="2"/>
  <c r="M423" i="2" s="1"/>
  <c r="K423" i="2"/>
  <c r="J423" i="2"/>
  <c r="I423" i="2"/>
  <c r="L422" i="2"/>
  <c r="M422" i="2" s="1"/>
  <c r="K422" i="2"/>
  <c r="J422" i="2"/>
  <c r="I422" i="2"/>
  <c r="L421" i="2"/>
  <c r="M421" i="2" s="1"/>
  <c r="K421" i="2"/>
  <c r="J421" i="2"/>
  <c r="I421" i="2"/>
  <c r="L420" i="2"/>
  <c r="M420" i="2" s="1"/>
  <c r="K420" i="2"/>
  <c r="J420" i="2"/>
  <c r="I420" i="2"/>
  <c r="L419" i="2"/>
  <c r="M419" i="2" s="1"/>
  <c r="K419" i="2"/>
  <c r="J419" i="2"/>
  <c r="I419" i="2"/>
  <c r="L418" i="2"/>
  <c r="M418" i="2" s="1"/>
  <c r="K418" i="2"/>
  <c r="J418" i="2"/>
  <c r="I418" i="2"/>
  <c r="L417" i="2"/>
  <c r="M417" i="2" s="1"/>
  <c r="K417" i="2"/>
  <c r="J417" i="2"/>
  <c r="I417" i="2"/>
  <c r="L416" i="2"/>
  <c r="M416" i="2" s="1"/>
  <c r="K416" i="2"/>
  <c r="J416" i="2"/>
  <c r="I416" i="2"/>
  <c r="L415" i="2"/>
  <c r="M415" i="2" s="1"/>
  <c r="K415" i="2"/>
  <c r="J415" i="2"/>
  <c r="I415" i="2"/>
  <c r="L414" i="2"/>
  <c r="M414" i="2" s="1"/>
  <c r="K414" i="2"/>
  <c r="J414" i="2"/>
  <c r="I414" i="2"/>
  <c r="L413" i="2"/>
  <c r="M413" i="2" s="1"/>
  <c r="K413" i="2"/>
  <c r="J413" i="2"/>
  <c r="I413" i="2"/>
  <c r="L412" i="2"/>
  <c r="M412" i="2" s="1"/>
  <c r="K412" i="2"/>
  <c r="J412" i="2"/>
  <c r="I412" i="2"/>
  <c r="L411" i="2"/>
  <c r="M411" i="2" s="1"/>
  <c r="K411" i="2"/>
  <c r="J411" i="2"/>
  <c r="I411" i="2"/>
  <c r="L410" i="2"/>
  <c r="M410" i="2" s="1"/>
  <c r="K410" i="2"/>
  <c r="J410" i="2"/>
  <c r="I410" i="2"/>
  <c r="L409" i="2"/>
  <c r="M409" i="2" s="1"/>
  <c r="K409" i="2"/>
  <c r="J409" i="2"/>
  <c r="I409" i="2"/>
  <c r="L408" i="2"/>
  <c r="M408" i="2" s="1"/>
  <c r="K408" i="2"/>
  <c r="J408" i="2"/>
  <c r="I408" i="2"/>
  <c r="L407" i="2"/>
  <c r="M407" i="2" s="1"/>
  <c r="K407" i="2"/>
  <c r="J407" i="2"/>
  <c r="I407" i="2"/>
  <c r="L406" i="2"/>
  <c r="M406" i="2" s="1"/>
  <c r="K406" i="2"/>
  <c r="J406" i="2"/>
  <c r="I406" i="2"/>
  <c r="L405" i="2"/>
  <c r="M405" i="2" s="1"/>
  <c r="K405" i="2"/>
  <c r="J405" i="2"/>
  <c r="I405" i="2"/>
  <c r="L404" i="2"/>
  <c r="M404" i="2" s="1"/>
  <c r="K404" i="2"/>
  <c r="J404" i="2"/>
  <c r="I404" i="2"/>
  <c r="L403" i="2"/>
  <c r="M403" i="2" s="1"/>
  <c r="K403" i="2"/>
  <c r="J403" i="2"/>
  <c r="I403" i="2"/>
  <c r="L402" i="2"/>
  <c r="M402" i="2" s="1"/>
  <c r="K402" i="2"/>
  <c r="J402" i="2"/>
  <c r="I402" i="2"/>
  <c r="L401" i="2"/>
  <c r="M401" i="2" s="1"/>
  <c r="K401" i="2"/>
  <c r="J401" i="2"/>
  <c r="I401" i="2"/>
  <c r="L400" i="2"/>
  <c r="M400" i="2" s="1"/>
  <c r="K400" i="2"/>
  <c r="J400" i="2"/>
  <c r="I400" i="2"/>
  <c r="L399" i="2"/>
  <c r="M399" i="2" s="1"/>
  <c r="K399" i="2"/>
  <c r="J399" i="2"/>
  <c r="I399" i="2"/>
  <c r="L398" i="2"/>
  <c r="M398" i="2" s="1"/>
  <c r="K398" i="2"/>
  <c r="J398" i="2"/>
  <c r="I398" i="2"/>
  <c r="L397" i="2"/>
  <c r="M397" i="2" s="1"/>
  <c r="K397" i="2"/>
  <c r="J397" i="2"/>
  <c r="I397" i="2"/>
  <c r="L396" i="2"/>
  <c r="M396" i="2" s="1"/>
  <c r="K396" i="2"/>
  <c r="J396" i="2"/>
  <c r="I396" i="2"/>
  <c r="L395" i="2"/>
  <c r="M395" i="2" s="1"/>
  <c r="K395" i="2"/>
  <c r="J395" i="2"/>
  <c r="I395" i="2"/>
  <c r="L394" i="2"/>
  <c r="M394" i="2" s="1"/>
  <c r="K394" i="2"/>
  <c r="J394" i="2"/>
  <c r="I394" i="2"/>
  <c r="L393" i="2"/>
  <c r="M393" i="2" s="1"/>
  <c r="K393" i="2"/>
  <c r="J393" i="2"/>
  <c r="I393" i="2"/>
  <c r="L392" i="2"/>
  <c r="M392" i="2" s="1"/>
  <c r="K392" i="2"/>
  <c r="J392" i="2"/>
  <c r="I392" i="2"/>
  <c r="L391" i="2"/>
  <c r="M391" i="2" s="1"/>
  <c r="K391" i="2"/>
  <c r="J391" i="2"/>
  <c r="I391" i="2"/>
  <c r="L390" i="2"/>
  <c r="M390" i="2" s="1"/>
  <c r="K390" i="2"/>
  <c r="J390" i="2"/>
  <c r="I390" i="2"/>
  <c r="L389" i="2"/>
  <c r="M389" i="2" s="1"/>
  <c r="K389" i="2"/>
  <c r="J389" i="2"/>
  <c r="I389" i="2"/>
  <c r="L388" i="2"/>
  <c r="M388" i="2" s="1"/>
  <c r="K388" i="2"/>
  <c r="J388" i="2"/>
  <c r="I388" i="2"/>
  <c r="L387" i="2"/>
  <c r="M387" i="2" s="1"/>
  <c r="K387" i="2"/>
  <c r="J387" i="2"/>
  <c r="I387" i="2"/>
  <c r="L386" i="2"/>
  <c r="M386" i="2" s="1"/>
  <c r="K386" i="2"/>
  <c r="J386" i="2"/>
  <c r="I386" i="2"/>
  <c r="L385" i="2"/>
  <c r="M385" i="2" s="1"/>
  <c r="K385" i="2"/>
  <c r="J385" i="2"/>
  <c r="I385" i="2"/>
  <c r="L384" i="2"/>
  <c r="M384" i="2" s="1"/>
  <c r="K384" i="2"/>
  <c r="J384" i="2"/>
  <c r="I384" i="2"/>
  <c r="L383" i="2"/>
  <c r="M383" i="2" s="1"/>
  <c r="K383" i="2"/>
  <c r="J383" i="2"/>
  <c r="I383" i="2"/>
  <c r="L382" i="2"/>
  <c r="M382" i="2" s="1"/>
  <c r="K382" i="2"/>
  <c r="J382" i="2"/>
  <c r="I382" i="2"/>
  <c r="L381" i="2"/>
  <c r="M381" i="2" s="1"/>
  <c r="K381" i="2"/>
  <c r="J381" i="2"/>
  <c r="I381" i="2"/>
  <c r="L380" i="2"/>
  <c r="M380" i="2" s="1"/>
  <c r="K380" i="2"/>
  <c r="J380" i="2"/>
  <c r="I380" i="2"/>
  <c r="L379" i="2"/>
  <c r="M379" i="2" s="1"/>
  <c r="K379" i="2"/>
  <c r="J379" i="2"/>
  <c r="I379" i="2"/>
  <c r="L378" i="2"/>
  <c r="M378" i="2" s="1"/>
  <c r="K378" i="2"/>
  <c r="J378" i="2"/>
  <c r="I378" i="2"/>
  <c r="L377" i="2"/>
  <c r="M377" i="2" s="1"/>
  <c r="K377" i="2"/>
  <c r="J377" i="2"/>
  <c r="I377" i="2"/>
  <c r="L376" i="2"/>
  <c r="M376" i="2" s="1"/>
  <c r="K376" i="2"/>
  <c r="J376" i="2"/>
  <c r="I376" i="2"/>
  <c r="L375" i="2"/>
  <c r="M375" i="2" s="1"/>
  <c r="K375" i="2"/>
  <c r="J375" i="2"/>
  <c r="I375" i="2"/>
  <c r="L374" i="2"/>
  <c r="M374" i="2" s="1"/>
  <c r="K374" i="2"/>
  <c r="J374" i="2"/>
  <c r="I374" i="2"/>
  <c r="L373" i="2"/>
  <c r="M373" i="2" s="1"/>
  <c r="K373" i="2"/>
  <c r="J373" i="2"/>
  <c r="I373" i="2"/>
  <c r="L372" i="2"/>
  <c r="M372" i="2" s="1"/>
  <c r="K372" i="2"/>
  <c r="J372" i="2"/>
  <c r="I372" i="2"/>
  <c r="L371" i="2"/>
  <c r="M371" i="2" s="1"/>
  <c r="K371" i="2"/>
  <c r="J371" i="2"/>
  <c r="I371" i="2"/>
  <c r="L370" i="2"/>
  <c r="M370" i="2" s="1"/>
  <c r="K370" i="2"/>
  <c r="J370" i="2"/>
  <c r="I370" i="2"/>
  <c r="L369" i="2"/>
  <c r="M369" i="2" s="1"/>
  <c r="K369" i="2"/>
  <c r="J369" i="2"/>
  <c r="I369" i="2"/>
  <c r="L368" i="2"/>
  <c r="M368" i="2" s="1"/>
  <c r="K368" i="2"/>
  <c r="J368" i="2"/>
  <c r="I368" i="2"/>
  <c r="L367" i="2"/>
  <c r="M367" i="2" s="1"/>
  <c r="K367" i="2"/>
  <c r="J367" i="2"/>
  <c r="I367" i="2"/>
  <c r="L366" i="2"/>
  <c r="M366" i="2" s="1"/>
  <c r="K366" i="2"/>
  <c r="J366" i="2"/>
  <c r="I366" i="2"/>
  <c r="L365" i="2"/>
  <c r="M365" i="2" s="1"/>
  <c r="K365" i="2"/>
  <c r="J365" i="2"/>
  <c r="I365" i="2"/>
  <c r="L364" i="2"/>
  <c r="M364" i="2" s="1"/>
  <c r="K364" i="2"/>
  <c r="J364" i="2"/>
  <c r="I364" i="2"/>
  <c r="L363" i="2"/>
  <c r="M363" i="2" s="1"/>
  <c r="K363" i="2"/>
  <c r="J363" i="2"/>
  <c r="I363" i="2"/>
  <c r="L362" i="2"/>
  <c r="M362" i="2" s="1"/>
  <c r="K362" i="2"/>
  <c r="J362" i="2"/>
  <c r="I362" i="2"/>
  <c r="L361" i="2"/>
  <c r="M361" i="2" s="1"/>
  <c r="K361" i="2"/>
  <c r="J361" i="2"/>
  <c r="I361" i="2"/>
  <c r="L360" i="2"/>
  <c r="M360" i="2" s="1"/>
  <c r="K360" i="2"/>
  <c r="J360" i="2"/>
  <c r="I360" i="2"/>
  <c r="L359" i="2"/>
  <c r="M359" i="2" s="1"/>
  <c r="K359" i="2"/>
  <c r="J359" i="2"/>
  <c r="I359" i="2"/>
  <c r="L358" i="2"/>
  <c r="M358" i="2" s="1"/>
  <c r="K358" i="2"/>
  <c r="J358" i="2"/>
  <c r="I358" i="2"/>
  <c r="L357" i="2"/>
  <c r="M357" i="2" s="1"/>
  <c r="K357" i="2"/>
  <c r="J357" i="2"/>
  <c r="I357" i="2"/>
  <c r="L356" i="2"/>
  <c r="M356" i="2" s="1"/>
  <c r="K356" i="2"/>
  <c r="J356" i="2"/>
  <c r="I356" i="2"/>
  <c r="L355" i="2"/>
  <c r="M355" i="2" s="1"/>
  <c r="K355" i="2"/>
  <c r="J355" i="2"/>
  <c r="I355" i="2"/>
  <c r="L354" i="2"/>
  <c r="M354" i="2" s="1"/>
  <c r="K354" i="2"/>
  <c r="J354" i="2"/>
  <c r="I354" i="2"/>
  <c r="L353" i="2"/>
  <c r="M353" i="2" s="1"/>
  <c r="K353" i="2"/>
  <c r="J353" i="2"/>
  <c r="I353" i="2"/>
  <c r="L352" i="2"/>
  <c r="M352" i="2" s="1"/>
  <c r="K352" i="2"/>
  <c r="J352" i="2"/>
  <c r="I352" i="2"/>
  <c r="L351" i="2"/>
  <c r="M351" i="2" s="1"/>
  <c r="K351" i="2"/>
  <c r="J351" i="2"/>
  <c r="I351" i="2"/>
  <c r="L350" i="2"/>
  <c r="M350" i="2" s="1"/>
  <c r="K350" i="2"/>
  <c r="J350" i="2"/>
  <c r="I350" i="2"/>
  <c r="L349" i="2"/>
  <c r="M349" i="2" s="1"/>
  <c r="K349" i="2"/>
  <c r="J349" i="2"/>
  <c r="I349" i="2"/>
  <c r="L348" i="2"/>
  <c r="M348" i="2" s="1"/>
  <c r="K348" i="2"/>
  <c r="J348" i="2"/>
  <c r="I348" i="2"/>
  <c r="L347" i="2"/>
  <c r="M347" i="2" s="1"/>
  <c r="K347" i="2"/>
  <c r="J347" i="2"/>
  <c r="I347" i="2"/>
  <c r="L346" i="2"/>
  <c r="M346" i="2" s="1"/>
  <c r="K346" i="2"/>
  <c r="J346" i="2"/>
  <c r="I346" i="2"/>
  <c r="L345" i="2"/>
  <c r="M345" i="2" s="1"/>
  <c r="K345" i="2"/>
  <c r="J345" i="2"/>
  <c r="I345" i="2"/>
  <c r="L344" i="2"/>
  <c r="M344" i="2" s="1"/>
  <c r="K344" i="2"/>
  <c r="J344" i="2"/>
  <c r="I344" i="2"/>
  <c r="L343" i="2"/>
  <c r="M343" i="2" s="1"/>
  <c r="K343" i="2"/>
  <c r="J343" i="2"/>
  <c r="I343" i="2"/>
  <c r="L342" i="2"/>
  <c r="M342" i="2" s="1"/>
  <c r="K342" i="2"/>
  <c r="J342" i="2"/>
  <c r="I342" i="2"/>
  <c r="L341" i="2"/>
  <c r="M341" i="2" s="1"/>
  <c r="K341" i="2"/>
  <c r="J341" i="2"/>
  <c r="I341" i="2"/>
  <c r="L340" i="2"/>
  <c r="M340" i="2" s="1"/>
  <c r="K340" i="2"/>
  <c r="J340" i="2"/>
  <c r="I340" i="2"/>
  <c r="L339" i="2"/>
  <c r="M339" i="2" s="1"/>
  <c r="K339" i="2"/>
  <c r="J339" i="2"/>
  <c r="I339" i="2"/>
  <c r="L338" i="2"/>
  <c r="M338" i="2" s="1"/>
  <c r="K338" i="2"/>
  <c r="J338" i="2"/>
  <c r="I338" i="2"/>
  <c r="L337" i="2"/>
  <c r="M337" i="2" s="1"/>
  <c r="K337" i="2"/>
  <c r="J337" i="2"/>
  <c r="I337" i="2"/>
  <c r="L336" i="2"/>
  <c r="M336" i="2" s="1"/>
  <c r="K336" i="2"/>
  <c r="J336" i="2"/>
  <c r="I336" i="2"/>
  <c r="L335" i="2"/>
  <c r="M335" i="2" s="1"/>
  <c r="K335" i="2"/>
  <c r="J335" i="2"/>
  <c r="I335" i="2"/>
  <c r="L334" i="2"/>
  <c r="M334" i="2" s="1"/>
  <c r="K334" i="2"/>
  <c r="J334" i="2"/>
  <c r="I334" i="2"/>
  <c r="L333" i="2"/>
  <c r="M333" i="2" s="1"/>
  <c r="K333" i="2"/>
  <c r="J333" i="2"/>
  <c r="I333" i="2"/>
  <c r="L332" i="2"/>
  <c r="M332" i="2" s="1"/>
  <c r="K332" i="2"/>
  <c r="J332" i="2"/>
  <c r="I332" i="2"/>
  <c r="L331" i="2"/>
  <c r="M331" i="2" s="1"/>
  <c r="K331" i="2"/>
  <c r="J331" i="2"/>
  <c r="I331" i="2"/>
  <c r="L330" i="2"/>
  <c r="M330" i="2" s="1"/>
  <c r="K330" i="2"/>
  <c r="J330" i="2"/>
  <c r="I330" i="2"/>
  <c r="L329" i="2"/>
  <c r="M329" i="2" s="1"/>
  <c r="K329" i="2"/>
  <c r="J329" i="2"/>
  <c r="I329" i="2"/>
  <c r="L328" i="2"/>
  <c r="M328" i="2" s="1"/>
  <c r="K328" i="2"/>
  <c r="J328" i="2"/>
  <c r="I328" i="2"/>
  <c r="L327" i="2"/>
  <c r="M327" i="2" s="1"/>
  <c r="K327" i="2"/>
  <c r="J327" i="2"/>
  <c r="I327" i="2"/>
  <c r="L326" i="2"/>
  <c r="M326" i="2" s="1"/>
  <c r="K326" i="2"/>
  <c r="J326" i="2"/>
  <c r="I326" i="2"/>
  <c r="L325" i="2"/>
  <c r="M325" i="2" s="1"/>
  <c r="K325" i="2"/>
  <c r="J325" i="2"/>
  <c r="I325" i="2"/>
  <c r="L324" i="2"/>
  <c r="M324" i="2" s="1"/>
  <c r="K324" i="2"/>
  <c r="J324" i="2"/>
  <c r="I324" i="2"/>
  <c r="L323" i="2"/>
  <c r="M323" i="2" s="1"/>
  <c r="K323" i="2"/>
  <c r="J323" i="2"/>
  <c r="I323" i="2"/>
  <c r="L322" i="2"/>
  <c r="M322" i="2" s="1"/>
  <c r="K322" i="2"/>
  <c r="J322" i="2"/>
  <c r="I322" i="2"/>
  <c r="L321" i="2"/>
  <c r="M321" i="2" s="1"/>
  <c r="K321" i="2"/>
  <c r="J321" i="2"/>
  <c r="I321" i="2"/>
  <c r="L320" i="2"/>
  <c r="M320" i="2" s="1"/>
  <c r="K320" i="2"/>
  <c r="J320" i="2"/>
  <c r="I320" i="2"/>
  <c r="L319" i="2"/>
  <c r="M319" i="2" s="1"/>
  <c r="K319" i="2"/>
  <c r="J319" i="2"/>
  <c r="I319" i="2"/>
  <c r="L318" i="2"/>
  <c r="M318" i="2" s="1"/>
  <c r="K318" i="2"/>
  <c r="J318" i="2"/>
  <c r="I318" i="2"/>
  <c r="L317" i="2"/>
  <c r="M317" i="2" s="1"/>
  <c r="K317" i="2"/>
  <c r="J317" i="2"/>
  <c r="I317" i="2"/>
  <c r="L316" i="2"/>
  <c r="M316" i="2" s="1"/>
  <c r="K316" i="2"/>
  <c r="J316" i="2"/>
  <c r="I316" i="2"/>
  <c r="L315" i="2"/>
  <c r="M315" i="2" s="1"/>
  <c r="K315" i="2"/>
  <c r="J315" i="2"/>
  <c r="I315" i="2"/>
  <c r="L314" i="2"/>
  <c r="M314" i="2" s="1"/>
  <c r="K314" i="2"/>
  <c r="J314" i="2"/>
  <c r="I314" i="2"/>
  <c r="L313" i="2"/>
  <c r="M313" i="2" s="1"/>
  <c r="K313" i="2"/>
  <c r="J313" i="2"/>
  <c r="I313" i="2"/>
  <c r="L312" i="2"/>
  <c r="M312" i="2" s="1"/>
  <c r="K312" i="2"/>
  <c r="J312" i="2"/>
  <c r="I312" i="2"/>
  <c r="L311" i="2"/>
  <c r="M311" i="2" s="1"/>
  <c r="K311" i="2"/>
  <c r="J311" i="2"/>
  <c r="I311" i="2"/>
  <c r="L310" i="2"/>
  <c r="M310" i="2" s="1"/>
  <c r="K310" i="2"/>
  <c r="J310" i="2"/>
  <c r="I310" i="2"/>
  <c r="L309" i="2"/>
  <c r="M309" i="2" s="1"/>
  <c r="K309" i="2"/>
  <c r="J309" i="2"/>
  <c r="I309" i="2"/>
  <c r="L308" i="2"/>
  <c r="M308" i="2" s="1"/>
  <c r="K308" i="2"/>
  <c r="J308" i="2"/>
  <c r="I308" i="2"/>
  <c r="L307" i="2"/>
  <c r="M307" i="2" s="1"/>
  <c r="K307" i="2"/>
  <c r="J307" i="2"/>
  <c r="I307" i="2"/>
  <c r="L306" i="2"/>
  <c r="M306" i="2" s="1"/>
  <c r="K306" i="2"/>
  <c r="J306" i="2"/>
  <c r="I306" i="2"/>
  <c r="L305" i="2"/>
  <c r="M305" i="2" s="1"/>
  <c r="K305" i="2"/>
  <c r="J305" i="2"/>
  <c r="I305" i="2"/>
  <c r="L304" i="2"/>
  <c r="M304" i="2" s="1"/>
  <c r="K304" i="2"/>
  <c r="J304" i="2"/>
  <c r="I304" i="2"/>
  <c r="L303" i="2"/>
  <c r="M303" i="2" s="1"/>
  <c r="K303" i="2"/>
  <c r="J303" i="2"/>
  <c r="I303" i="2"/>
  <c r="L302" i="2"/>
  <c r="M302" i="2" s="1"/>
  <c r="K302" i="2"/>
  <c r="J302" i="2"/>
  <c r="I302" i="2"/>
  <c r="L301" i="2"/>
  <c r="M301" i="2" s="1"/>
  <c r="K301" i="2"/>
  <c r="J301" i="2"/>
  <c r="I301" i="2"/>
  <c r="L300" i="2"/>
  <c r="M300" i="2" s="1"/>
  <c r="K300" i="2"/>
  <c r="J300" i="2"/>
  <c r="I300" i="2"/>
  <c r="L299" i="2"/>
  <c r="M299" i="2" s="1"/>
  <c r="K299" i="2"/>
  <c r="J299" i="2"/>
  <c r="I299" i="2"/>
  <c r="L298" i="2"/>
  <c r="M298" i="2" s="1"/>
  <c r="K298" i="2"/>
  <c r="J298" i="2"/>
  <c r="I298" i="2"/>
  <c r="L297" i="2"/>
  <c r="M297" i="2" s="1"/>
  <c r="K297" i="2"/>
  <c r="J297" i="2"/>
  <c r="I297" i="2"/>
  <c r="L296" i="2"/>
  <c r="M296" i="2" s="1"/>
  <c r="K296" i="2"/>
  <c r="J296" i="2"/>
  <c r="I296" i="2"/>
  <c r="L295" i="2"/>
  <c r="M295" i="2" s="1"/>
  <c r="K295" i="2"/>
  <c r="J295" i="2"/>
  <c r="I295" i="2"/>
  <c r="L294" i="2"/>
  <c r="M294" i="2" s="1"/>
  <c r="K294" i="2"/>
  <c r="J294" i="2"/>
  <c r="I294" i="2"/>
  <c r="L293" i="2"/>
  <c r="M293" i="2" s="1"/>
  <c r="K293" i="2"/>
  <c r="J293" i="2"/>
  <c r="I293" i="2"/>
  <c r="L292" i="2"/>
  <c r="M292" i="2" s="1"/>
  <c r="K292" i="2"/>
  <c r="J292" i="2"/>
  <c r="I292" i="2"/>
  <c r="L291" i="2"/>
  <c r="M291" i="2" s="1"/>
  <c r="K291" i="2"/>
  <c r="J291" i="2"/>
  <c r="I291" i="2"/>
  <c r="L290" i="2"/>
  <c r="M290" i="2" s="1"/>
  <c r="K290" i="2"/>
  <c r="J290" i="2"/>
  <c r="I290" i="2"/>
  <c r="L289" i="2"/>
  <c r="M289" i="2" s="1"/>
  <c r="K289" i="2"/>
  <c r="J289" i="2"/>
  <c r="I289" i="2"/>
  <c r="L288" i="2"/>
  <c r="M288" i="2" s="1"/>
  <c r="K288" i="2"/>
  <c r="J288" i="2"/>
  <c r="I288" i="2"/>
  <c r="L287" i="2"/>
  <c r="M287" i="2" s="1"/>
  <c r="K287" i="2"/>
  <c r="J287" i="2"/>
  <c r="I287" i="2"/>
  <c r="L286" i="2"/>
  <c r="M286" i="2" s="1"/>
  <c r="K286" i="2"/>
  <c r="J286" i="2"/>
  <c r="I286" i="2"/>
  <c r="L285" i="2"/>
  <c r="M285" i="2" s="1"/>
  <c r="K285" i="2"/>
  <c r="J285" i="2"/>
  <c r="I285" i="2"/>
  <c r="L284" i="2"/>
  <c r="M284" i="2" s="1"/>
  <c r="K284" i="2"/>
  <c r="J284" i="2"/>
  <c r="I284" i="2"/>
  <c r="L283" i="2"/>
  <c r="M283" i="2" s="1"/>
  <c r="K283" i="2"/>
  <c r="J283" i="2"/>
  <c r="I283" i="2"/>
  <c r="L282" i="2"/>
  <c r="M282" i="2" s="1"/>
  <c r="K282" i="2"/>
  <c r="J282" i="2"/>
  <c r="I282" i="2"/>
  <c r="L281" i="2"/>
  <c r="M281" i="2" s="1"/>
  <c r="K281" i="2"/>
  <c r="J281" i="2"/>
  <c r="I281" i="2"/>
  <c r="L280" i="2"/>
  <c r="M280" i="2" s="1"/>
  <c r="K280" i="2"/>
  <c r="J280" i="2"/>
  <c r="I280" i="2"/>
  <c r="L279" i="2"/>
  <c r="M279" i="2" s="1"/>
  <c r="K279" i="2"/>
  <c r="J279" i="2"/>
  <c r="I279" i="2"/>
  <c r="L278" i="2"/>
  <c r="M278" i="2" s="1"/>
  <c r="K278" i="2"/>
  <c r="J278" i="2"/>
  <c r="I278" i="2"/>
  <c r="L277" i="2"/>
  <c r="M277" i="2" s="1"/>
  <c r="K277" i="2"/>
  <c r="J277" i="2"/>
  <c r="I277" i="2"/>
  <c r="L276" i="2"/>
  <c r="M276" i="2" s="1"/>
  <c r="K276" i="2"/>
  <c r="J276" i="2"/>
  <c r="I276" i="2"/>
  <c r="L275" i="2"/>
  <c r="M275" i="2" s="1"/>
  <c r="K275" i="2"/>
  <c r="J275" i="2"/>
  <c r="I275" i="2"/>
  <c r="L274" i="2"/>
  <c r="M274" i="2" s="1"/>
  <c r="K274" i="2"/>
  <c r="J274" i="2"/>
  <c r="I274" i="2"/>
  <c r="L273" i="2"/>
  <c r="M273" i="2" s="1"/>
  <c r="K273" i="2"/>
  <c r="J273" i="2"/>
  <c r="I273" i="2"/>
  <c r="L272" i="2"/>
  <c r="M272" i="2" s="1"/>
  <c r="K272" i="2"/>
  <c r="J272" i="2"/>
  <c r="I272" i="2"/>
  <c r="L271" i="2"/>
  <c r="M271" i="2" s="1"/>
  <c r="K271" i="2"/>
  <c r="J271" i="2"/>
  <c r="I271" i="2"/>
  <c r="L270" i="2"/>
  <c r="M270" i="2" s="1"/>
  <c r="K270" i="2"/>
  <c r="J270" i="2"/>
  <c r="I270" i="2"/>
  <c r="L269" i="2"/>
  <c r="M269" i="2" s="1"/>
  <c r="K269" i="2"/>
  <c r="J269" i="2"/>
  <c r="I269" i="2"/>
  <c r="L268" i="2"/>
  <c r="M268" i="2" s="1"/>
  <c r="K268" i="2"/>
  <c r="J268" i="2"/>
  <c r="I268" i="2"/>
  <c r="L267" i="2"/>
  <c r="M267" i="2" s="1"/>
  <c r="K267" i="2"/>
  <c r="J267" i="2"/>
  <c r="I267" i="2"/>
  <c r="L266" i="2"/>
  <c r="M266" i="2" s="1"/>
  <c r="K266" i="2"/>
  <c r="J266" i="2"/>
  <c r="I266" i="2"/>
  <c r="L265" i="2"/>
  <c r="M265" i="2" s="1"/>
  <c r="K265" i="2"/>
  <c r="J265" i="2"/>
  <c r="I265" i="2"/>
  <c r="L264" i="2"/>
  <c r="M264" i="2" s="1"/>
  <c r="K264" i="2"/>
  <c r="J264" i="2"/>
  <c r="I264" i="2"/>
  <c r="L263" i="2"/>
  <c r="M263" i="2" s="1"/>
  <c r="K263" i="2"/>
  <c r="J263" i="2"/>
  <c r="I263" i="2"/>
  <c r="L262" i="2"/>
  <c r="M262" i="2" s="1"/>
  <c r="K262" i="2"/>
  <c r="J262" i="2"/>
  <c r="I262" i="2"/>
  <c r="L261" i="2"/>
  <c r="M261" i="2" s="1"/>
  <c r="K261" i="2"/>
  <c r="J261" i="2"/>
  <c r="I261" i="2"/>
  <c r="L260" i="2"/>
  <c r="M260" i="2" s="1"/>
  <c r="K260" i="2"/>
  <c r="J260" i="2"/>
  <c r="I260" i="2"/>
  <c r="L259" i="2"/>
  <c r="M259" i="2" s="1"/>
  <c r="K259" i="2"/>
  <c r="J259" i="2"/>
  <c r="I259" i="2"/>
  <c r="L258" i="2"/>
  <c r="M258" i="2" s="1"/>
  <c r="K258" i="2"/>
  <c r="J258" i="2"/>
  <c r="I258" i="2"/>
  <c r="L257" i="2"/>
  <c r="M257" i="2" s="1"/>
  <c r="K257" i="2"/>
  <c r="J257" i="2"/>
  <c r="I257" i="2"/>
  <c r="L256" i="2"/>
  <c r="M256" i="2" s="1"/>
  <c r="K256" i="2"/>
  <c r="J256" i="2"/>
  <c r="I256" i="2"/>
  <c r="L255" i="2"/>
  <c r="M255" i="2" s="1"/>
  <c r="K255" i="2"/>
  <c r="J255" i="2"/>
  <c r="I255" i="2"/>
  <c r="L254" i="2"/>
  <c r="M254" i="2" s="1"/>
  <c r="K254" i="2"/>
  <c r="J254" i="2"/>
  <c r="I254" i="2"/>
  <c r="L253" i="2"/>
  <c r="M253" i="2" s="1"/>
  <c r="K253" i="2"/>
  <c r="J253" i="2"/>
  <c r="I253" i="2"/>
  <c r="L252" i="2"/>
  <c r="M252" i="2" s="1"/>
  <c r="K252" i="2"/>
  <c r="J252" i="2"/>
  <c r="I252" i="2"/>
  <c r="L251" i="2"/>
  <c r="M251" i="2" s="1"/>
  <c r="K251" i="2"/>
  <c r="J251" i="2"/>
  <c r="I251" i="2"/>
  <c r="L250" i="2"/>
  <c r="M250" i="2" s="1"/>
  <c r="K250" i="2"/>
  <c r="J250" i="2"/>
  <c r="I250" i="2"/>
  <c r="L249" i="2"/>
  <c r="M249" i="2" s="1"/>
  <c r="K249" i="2"/>
  <c r="J249" i="2"/>
  <c r="I249" i="2"/>
  <c r="L248" i="2"/>
  <c r="M248" i="2" s="1"/>
  <c r="K248" i="2"/>
  <c r="J248" i="2"/>
  <c r="I248" i="2"/>
  <c r="L247" i="2"/>
  <c r="M247" i="2" s="1"/>
  <c r="K247" i="2"/>
  <c r="J247" i="2"/>
  <c r="I247" i="2"/>
  <c r="L246" i="2"/>
  <c r="M246" i="2" s="1"/>
  <c r="K246" i="2"/>
  <c r="J246" i="2"/>
  <c r="I246" i="2"/>
  <c r="L245" i="2"/>
  <c r="M245" i="2" s="1"/>
  <c r="K245" i="2"/>
  <c r="J245" i="2"/>
  <c r="I245" i="2"/>
  <c r="L244" i="2"/>
  <c r="M244" i="2" s="1"/>
  <c r="K244" i="2"/>
  <c r="J244" i="2"/>
  <c r="I244" i="2"/>
  <c r="L243" i="2"/>
  <c r="M243" i="2" s="1"/>
  <c r="K243" i="2"/>
  <c r="J243" i="2"/>
  <c r="I243" i="2"/>
  <c r="L242" i="2"/>
  <c r="M242" i="2" s="1"/>
  <c r="K242" i="2"/>
  <c r="J242" i="2"/>
  <c r="I242" i="2"/>
  <c r="L241" i="2"/>
  <c r="M241" i="2" s="1"/>
  <c r="K241" i="2"/>
  <c r="J241" i="2"/>
  <c r="I241" i="2"/>
  <c r="L240" i="2"/>
  <c r="M240" i="2" s="1"/>
  <c r="K240" i="2"/>
  <c r="J240" i="2"/>
  <c r="I240" i="2"/>
  <c r="L239" i="2"/>
  <c r="M239" i="2" s="1"/>
  <c r="K239" i="2"/>
  <c r="J239" i="2"/>
  <c r="I239" i="2"/>
  <c r="L238" i="2"/>
  <c r="M238" i="2" s="1"/>
  <c r="K238" i="2"/>
  <c r="J238" i="2"/>
  <c r="I238" i="2"/>
  <c r="L237" i="2"/>
  <c r="M237" i="2" s="1"/>
  <c r="K237" i="2"/>
  <c r="J237" i="2"/>
  <c r="I237" i="2"/>
  <c r="L236" i="2"/>
  <c r="M236" i="2" s="1"/>
  <c r="K236" i="2"/>
  <c r="J236" i="2"/>
  <c r="I236" i="2"/>
  <c r="L235" i="2"/>
  <c r="M235" i="2" s="1"/>
  <c r="K235" i="2"/>
  <c r="J235" i="2"/>
  <c r="I235" i="2"/>
  <c r="L234" i="2"/>
  <c r="M234" i="2" s="1"/>
  <c r="K234" i="2"/>
  <c r="J234" i="2"/>
  <c r="I234" i="2"/>
  <c r="L233" i="2"/>
  <c r="M233" i="2" s="1"/>
  <c r="K233" i="2"/>
  <c r="J233" i="2"/>
  <c r="I233" i="2"/>
  <c r="L232" i="2"/>
  <c r="M232" i="2" s="1"/>
  <c r="K232" i="2"/>
  <c r="J232" i="2"/>
  <c r="I232" i="2"/>
  <c r="L231" i="2"/>
  <c r="M231" i="2" s="1"/>
  <c r="K231" i="2"/>
  <c r="J231" i="2"/>
  <c r="I231" i="2"/>
  <c r="L230" i="2"/>
  <c r="M230" i="2" s="1"/>
  <c r="K230" i="2"/>
  <c r="J230" i="2"/>
  <c r="I230" i="2"/>
  <c r="L229" i="2"/>
  <c r="M229" i="2" s="1"/>
  <c r="K229" i="2"/>
  <c r="J229" i="2"/>
  <c r="I229" i="2"/>
  <c r="L228" i="2"/>
  <c r="M228" i="2" s="1"/>
  <c r="K228" i="2"/>
  <c r="J228" i="2"/>
  <c r="I228" i="2"/>
  <c r="L227" i="2"/>
  <c r="M227" i="2" s="1"/>
  <c r="K227" i="2"/>
  <c r="J227" i="2"/>
  <c r="I227" i="2"/>
  <c r="L226" i="2"/>
  <c r="M226" i="2" s="1"/>
  <c r="K226" i="2"/>
  <c r="J226" i="2"/>
  <c r="I226" i="2"/>
  <c r="L225" i="2"/>
  <c r="M225" i="2" s="1"/>
  <c r="K225" i="2"/>
  <c r="J225" i="2"/>
  <c r="I225" i="2"/>
  <c r="L224" i="2"/>
  <c r="M224" i="2" s="1"/>
  <c r="K224" i="2"/>
  <c r="J224" i="2"/>
  <c r="I224" i="2"/>
  <c r="L223" i="2"/>
  <c r="M223" i="2" s="1"/>
  <c r="K223" i="2"/>
  <c r="J223" i="2"/>
  <c r="I223" i="2"/>
  <c r="L222" i="2"/>
  <c r="M222" i="2" s="1"/>
  <c r="K222" i="2"/>
  <c r="J222" i="2"/>
  <c r="I222" i="2"/>
  <c r="L221" i="2"/>
  <c r="M221" i="2" s="1"/>
  <c r="K221" i="2"/>
  <c r="J221" i="2"/>
  <c r="I221" i="2"/>
  <c r="L220" i="2"/>
  <c r="M220" i="2" s="1"/>
  <c r="K220" i="2"/>
  <c r="J220" i="2"/>
  <c r="I220" i="2"/>
  <c r="L219" i="2"/>
  <c r="M219" i="2" s="1"/>
  <c r="K219" i="2"/>
  <c r="J219" i="2"/>
  <c r="I219" i="2"/>
  <c r="L218" i="2"/>
  <c r="M218" i="2" s="1"/>
  <c r="K218" i="2"/>
  <c r="J218" i="2"/>
  <c r="I218" i="2"/>
  <c r="L217" i="2"/>
  <c r="M217" i="2" s="1"/>
  <c r="K217" i="2"/>
  <c r="J217" i="2"/>
  <c r="I217" i="2"/>
  <c r="L216" i="2"/>
  <c r="M216" i="2" s="1"/>
  <c r="K216" i="2"/>
  <c r="J216" i="2"/>
  <c r="I216" i="2"/>
  <c r="L215" i="2"/>
  <c r="M215" i="2" s="1"/>
  <c r="K215" i="2"/>
  <c r="J215" i="2"/>
  <c r="I215" i="2"/>
  <c r="L214" i="2"/>
  <c r="M214" i="2" s="1"/>
  <c r="K214" i="2"/>
  <c r="J214" i="2"/>
  <c r="I214" i="2"/>
  <c r="L213" i="2"/>
  <c r="M213" i="2" s="1"/>
  <c r="K213" i="2"/>
  <c r="J213" i="2"/>
  <c r="I213" i="2"/>
  <c r="L212" i="2"/>
  <c r="M212" i="2" s="1"/>
  <c r="K212" i="2"/>
  <c r="J212" i="2"/>
  <c r="I212" i="2"/>
  <c r="L211" i="2"/>
  <c r="M211" i="2" s="1"/>
  <c r="K211" i="2"/>
  <c r="J211" i="2"/>
  <c r="I211" i="2"/>
  <c r="L210" i="2"/>
  <c r="M210" i="2" s="1"/>
  <c r="K210" i="2"/>
  <c r="J210" i="2"/>
  <c r="I210" i="2"/>
  <c r="L209" i="2"/>
  <c r="M209" i="2" s="1"/>
  <c r="K209" i="2"/>
  <c r="J209" i="2"/>
  <c r="I209" i="2"/>
  <c r="L208" i="2"/>
  <c r="M208" i="2" s="1"/>
  <c r="K208" i="2"/>
  <c r="J208" i="2"/>
  <c r="I208" i="2"/>
  <c r="L207" i="2"/>
  <c r="M207" i="2" s="1"/>
  <c r="K207" i="2"/>
  <c r="J207" i="2"/>
  <c r="I207" i="2"/>
  <c r="L206" i="2"/>
  <c r="M206" i="2" s="1"/>
  <c r="K206" i="2"/>
  <c r="J206" i="2"/>
  <c r="I206" i="2"/>
  <c r="L205" i="2"/>
  <c r="M205" i="2" s="1"/>
  <c r="K205" i="2"/>
  <c r="J205" i="2"/>
  <c r="I205" i="2"/>
  <c r="L204" i="2"/>
  <c r="M204" i="2" s="1"/>
  <c r="K204" i="2"/>
  <c r="J204" i="2"/>
  <c r="I204" i="2"/>
  <c r="L203" i="2"/>
  <c r="M203" i="2" s="1"/>
  <c r="K203" i="2"/>
  <c r="J203" i="2"/>
  <c r="I203" i="2"/>
  <c r="L202" i="2"/>
  <c r="M202" i="2" s="1"/>
  <c r="K202" i="2"/>
  <c r="J202" i="2"/>
  <c r="I202" i="2"/>
  <c r="L201" i="2"/>
  <c r="M201" i="2" s="1"/>
  <c r="K201" i="2"/>
  <c r="J201" i="2"/>
  <c r="I201" i="2"/>
  <c r="L200" i="2"/>
  <c r="M200" i="2" s="1"/>
  <c r="K200" i="2"/>
  <c r="J200" i="2"/>
  <c r="I200" i="2"/>
  <c r="L199" i="2"/>
  <c r="M199" i="2" s="1"/>
  <c r="K199" i="2"/>
  <c r="J199" i="2"/>
  <c r="I199" i="2"/>
  <c r="L198" i="2"/>
  <c r="M198" i="2" s="1"/>
  <c r="K198" i="2"/>
  <c r="J198" i="2"/>
  <c r="I198" i="2"/>
  <c r="L197" i="2"/>
  <c r="M197" i="2" s="1"/>
  <c r="K197" i="2"/>
  <c r="J197" i="2"/>
  <c r="I197" i="2"/>
  <c r="L196" i="2"/>
  <c r="M196" i="2" s="1"/>
  <c r="K196" i="2"/>
  <c r="J196" i="2"/>
  <c r="I196" i="2"/>
  <c r="L195" i="2"/>
  <c r="M195" i="2" s="1"/>
  <c r="K195" i="2"/>
  <c r="J195" i="2"/>
  <c r="I195" i="2"/>
  <c r="L194" i="2"/>
  <c r="M194" i="2" s="1"/>
  <c r="K194" i="2"/>
  <c r="J194" i="2"/>
  <c r="I194" i="2"/>
  <c r="L193" i="2"/>
  <c r="M193" i="2" s="1"/>
  <c r="K193" i="2"/>
  <c r="J193" i="2"/>
  <c r="I193" i="2"/>
  <c r="L192" i="2"/>
  <c r="M192" i="2" s="1"/>
  <c r="K192" i="2"/>
  <c r="J192" i="2"/>
  <c r="I192" i="2"/>
  <c r="L191" i="2"/>
  <c r="M191" i="2" s="1"/>
  <c r="K191" i="2"/>
  <c r="J191" i="2"/>
  <c r="I191" i="2"/>
  <c r="L190" i="2"/>
  <c r="M190" i="2" s="1"/>
  <c r="K190" i="2"/>
  <c r="J190" i="2"/>
  <c r="I190" i="2"/>
  <c r="L189" i="2"/>
  <c r="M189" i="2" s="1"/>
  <c r="K189" i="2"/>
  <c r="J189" i="2"/>
  <c r="I189" i="2"/>
  <c r="L188" i="2"/>
  <c r="M188" i="2" s="1"/>
  <c r="K188" i="2"/>
  <c r="J188" i="2"/>
  <c r="I188" i="2"/>
  <c r="L187" i="2"/>
  <c r="M187" i="2" s="1"/>
  <c r="K187" i="2"/>
  <c r="J187" i="2"/>
  <c r="I187" i="2"/>
  <c r="L186" i="2"/>
  <c r="M186" i="2" s="1"/>
  <c r="K186" i="2"/>
  <c r="J186" i="2"/>
  <c r="I186" i="2"/>
  <c r="L185" i="2"/>
  <c r="M185" i="2" s="1"/>
  <c r="K185" i="2"/>
  <c r="J185" i="2"/>
  <c r="I185" i="2"/>
  <c r="L184" i="2"/>
  <c r="M184" i="2" s="1"/>
  <c r="K184" i="2"/>
  <c r="J184" i="2"/>
  <c r="I184" i="2"/>
  <c r="L183" i="2"/>
  <c r="M183" i="2" s="1"/>
  <c r="K183" i="2"/>
  <c r="J183" i="2"/>
  <c r="I183" i="2"/>
  <c r="L182" i="2"/>
  <c r="M182" i="2" s="1"/>
  <c r="K182" i="2"/>
  <c r="J182" i="2"/>
  <c r="I182" i="2"/>
  <c r="L181" i="2"/>
  <c r="M181" i="2" s="1"/>
  <c r="K181" i="2"/>
  <c r="J181" i="2"/>
  <c r="I181" i="2"/>
  <c r="L180" i="2"/>
  <c r="M180" i="2" s="1"/>
  <c r="K180" i="2"/>
  <c r="J180" i="2"/>
  <c r="I180" i="2"/>
  <c r="L179" i="2"/>
  <c r="M179" i="2" s="1"/>
  <c r="K179" i="2"/>
  <c r="J179" i="2"/>
  <c r="I179" i="2"/>
  <c r="L178" i="2"/>
  <c r="M178" i="2" s="1"/>
  <c r="K178" i="2"/>
  <c r="J178" i="2"/>
  <c r="I178" i="2"/>
  <c r="L177" i="2"/>
  <c r="M177" i="2" s="1"/>
  <c r="K177" i="2"/>
  <c r="J177" i="2"/>
  <c r="I177" i="2"/>
  <c r="L176" i="2"/>
  <c r="M176" i="2" s="1"/>
  <c r="K176" i="2"/>
  <c r="J176" i="2"/>
  <c r="I176" i="2"/>
  <c r="L175" i="2"/>
  <c r="M175" i="2" s="1"/>
  <c r="K175" i="2"/>
  <c r="J175" i="2"/>
  <c r="I175" i="2"/>
  <c r="L174" i="2"/>
  <c r="M174" i="2" s="1"/>
  <c r="K174" i="2"/>
  <c r="J174" i="2"/>
  <c r="I174" i="2"/>
  <c r="L173" i="2"/>
  <c r="M173" i="2" s="1"/>
  <c r="K173" i="2"/>
  <c r="J173" i="2"/>
  <c r="I173" i="2"/>
  <c r="L172" i="2"/>
  <c r="M172" i="2" s="1"/>
  <c r="K172" i="2"/>
  <c r="J172" i="2"/>
  <c r="I172" i="2"/>
  <c r="L171" i="2"/>
  <c r="M171" i="2" s="1"/>
  <c r="K171" i="2"/>
  <c r="J171" i="2"/>
  <c r="I171" i="2"/>
  <c r="L170" i="2"/>
  <c r="M170" i="2" s="1"/>
  <c r="K170" i="2"/>
  <c r="J170" i="2"/>
  <c r="I170" i="2"/>
  <c r="L169" i="2"/>
  <c r="M169" i="2" s="1"/>
  <c r="K169" i="2"/>
  <c r="J169" i="2"/>
  <c r="I169" i="2"/>
  <c r="L168" i="2"/>
  <c r="M168" i="2" s="1"/>
  <c r="K168" i="2"/>
  <c r="J168" i="2"/>
  <c r="I168" i="2"/>
  <c r="L167" i="2"/>
  <c r="M167" i="2" s="1"/>
  <c r="K167" i="2"/>
  <c r="J167" i="2"/>
  <c r="I167" i="2"/>
  <c r="L166" i="2"/>
  <c r="M166" i="2" s="1"/>
  <c r="K166" i="2"/>
  <c r="J166" i="2"/>
  <c r="I166" i="2"/>
  <c r="L165" i="2"/>
  <c r="M165" i="2" s="1"/>
  <c r="K165" i="2"/>
  <c r="J165" i="2"/>
  <c r="I165" i="2"/>
  <c r="L164" i="2"/>
  <c r="M164" i="2" s="1"/>
  <c r="K164" i="2"/>
  <c r="J164" i="2"/>
  <c r="I164" i="2"/>
  <c r="L163" i="2"/>
  <c r="M163" i="2" s="1"/>
  <c r="K163" i="2"/>
  <c r="J163" i="2"/>
  <c r="I163" i="2"/>
  <c r="L162" i="2"/>
  <c r="M162" i="2" s="1"/>
  <c r="K162" i="2"/>
  <c r="J162" i="2"/>
  <c r="I162" i="2"/>
  <c r="L161" i="2"/>
  <c r="M161" i="2" s="1"/>
  <c r="K161" i="2"/>
  <c r="J161" i="2"/>
  <c r="I161" i="2"/>
  <c r="L160" i="2"/>
  <c r="M160" i="2" s="1"/>
  <c r="K160" i="2"/>
  <c r="J160" i="2"/>
  <c r="I160" i="2"/>
  <c r="L159" i="2"/>
  <c r="M159" i="2" s="1"/>
  <c r="K159" i="2"/>
  <c r="J159" i="2"/>
  <c r="I159" i="2"/>
  <c r="L158" i="2"/>
  <c r="M158" i="2" s="1"/>
  <c r="K158" i="2"/>
  <c r="J158" i="2"/>
  <c r="I158" i="2"/>
  <c r="L157" i="2"/>
  <c r="M157" i="2" s="1"/>
  <c r="K157" i="2"/>
  <c r="J157" i="2"/>
  <c r="I157" i="2"/>
  <c r="L156" i="2"/>
  <c r="M156" i="2" s="1"/>
  <c r="K156" i="2"/>
  <c r="J156" i="2"/>
  <c r="I156" i="2"/>
  <c r="L155" i="2"/>
  <c r="M155" i="2" s="1"/>
  <c r="K155" i="2"/>
  <c r="J155" i="2"/>
  <c r="I155" i="2"/>
  <c r="L154" i="2"/>
  <c r="M154" i="2" s="1"/>
  <c r="K154" i="2"/>
  <c r="J154" i="2"/>
  <c r="I154" i="2"/>
  <c r="L153" i="2"/>
  <c r="M153" i="2" s="1"/>
  <c r="K153" i="2"/>
  <c r="J153" i="2"/>
  <c r="I153" i="2"/>
  <c r="L152" i="2"/>
  <c r="M152" i="2" s="1"/>
  <c r="K152" i="2"/>
  <c r="J152" i="2"/>
  <c r="I152" i="2"/>
  <c r="L151" i="2"/>
  <c r="M151" i="2" s="1"/>
  <c r="K151" i="2"/>
  <c r="J151" i="2"/>
  <c r="I151" i="2"/>
  <c r="L150" i="2"/>
  <c r="M150" i="2" s="1"/>
  <c r="K150" i="2"/>
  <c r="J150" i="2"/>
  <c r="I150" i="2"/>
  <c r="L149" i="2"/>
  <c r="M149" i="2" s="1"/>
  <c r="K149" i="2"/>
  <c r="J149" i="2"/>
  <c r="I149" i="2"/>
  <c r="L148" i="2"/>
  <c r="M148" i="2" s="1"/>
  <c r="K148" i="2"/>
  <c r="J148" i="2"/>
  <c r="I148" i="2"/>
  <c r="L147" i="2"/>
  <c r="M147" i="2" s="1"/>
  <c r="K147" i="2"/>
  <c r="J147" i="2"/>
  <c r="I147" i="2"/>
  <c r="L146" i="2"/>
  <c r="M146" i="2" s="1"/>
  <c r="K146" i="2"/>
  <c r="J146" i="2"/>
  <c r="I146" i="2"/>
  <c r="L145" i="2"/>
  <c r="M145" i="2" s="1"/>
  <c r="K145" i="2"/>
  <c r="J145" i="2"/>
  <c r="I145" i="2"/>
  <c r="L144" i="2"/>
  <c r="M144" i="2" s="1"/>
  <c r="K144" i="2"/>
  <c r="J144" i="2"/>
  <c r="I144" i="2"/>
  <c r="L143" i="2"/>
  <c r="M143" i="2" s="1"/>
  <c r="K143" i="2"/>
  <c r="J143" i="2"/>
  <c r="I143" i="2"/>
  <c r="L142" i="2"/>
  <c r="M142" i="2" s="1"/>
  <c r="K142" i="2"/>
  <c r="J142" i="2"/>
  <c r="I142" i="2"/>
  <c r="L141" i="2"/>
  <c r="M141" i="2" s="1"/>
  <c r="K141" i="2"/>
  <c r="J141" i="2"/>
  <c r="I141" i="2"/>
  <c r="L140" i="2"/>
  <c r="M140" i="2" s="1"/>
  <c r="K140" i="2"/>
  <c r="J140" i="2"/>
  <c r="I140" i="2"/>
  <c r="L139" i="2"/>
  <c r="M139" i="2" s="1"/>
  <c r="K139" i="2"/>
  <c r="J139" i="2"/>
  <c r="I139" i="2"/>
  <c r="L138" i="2"/>
  <c r="M138" i="2" s="1"/>
  <c r="K138" i="2"/>
  <c r="J138" i="2"/>
  <c r="I138" i="2"/>
  <c r="L137" i="2"/>
  <c r="M137" i="2" s="1"/>
  <c r="K137" i="2"/>
  <c r="J137" i="2"/>
  <c r="I137" i="2"/>
  <c r="L136" i="2"/>
  <c r="M136" i="2" s="1"/>
  <c r="K136" i="2"/>
  <c r="J136" i="2"/>
  <c r="I136" i="2"/>
  <c r="L135" i="2"/>
  <c r="M135" i="2" s="1"/>
  <c r="K135" i="2"/>
  <c r="J135" i="2"/>
  <c r="I135" i="2"/>
  <c r="L134" i="2"/>
  <c r="M134" i="2" s="1"/>
  <c r="K134" i="2"/>
  <c r="J134" i="2"/>
  <c r="I134" i="2"/>
  <c r="L133" i="2"/>
  <c r="M133" i="2" s="1"/>
  <c r="K133" i="2"/>
  <c r="J133" i="2"/>
  <c r="I133" i="2"/>
  <c r="L132" i="2"/>
  <c r="M132" i="2" s="1"/>
  <c r="K132" i="2"/>
  <c r="J132" i="2"/>
  <c r="I132" i="2"/>
  <c r="L131" i="2"/>
  <c r="M131" i="2" s="1"/>
  <c r="K131" i="2"/>
  <c r="J131" i="2"/>
  <c r="I131" i="2"/>
  <c r="L130" i="2"/>
  <c r="M130" i="2" s="1"/>
  <c r="K130" i="2"/>
  <c r="J130" i="2"/>
  <c r="I130" i="2"/>
  <c r="L129" i="2"/>
  <c r="M129" i="2" s="1"/>
  <c r="K129" i="2"/>
  <c r="J129" i="2"/>
  <c r="I129" i="2"/>
  <c r="L128" i="2"/>
  <c r="M128" i="2" s="1"/>
  <c r="K128" i="2"/>
  <c r="J128" i="2"/>
  <c r="I128" i="2"/>
  <c r="L127" i="2"/>
  <c r="M127" i="2" s="1"/>
  <c r="K127" i="2"/>
  <c r="J127" i="2"/>
  <c r="I127" i="2"/>
  <c r="L126" i="2"/>
  <c r="M126" i="2" s="1"/>
  <c r="K126" i="2"/>
  <c r="J126" i="2"/>
  <c r="I126" i="2"/>
  <c r="L125" i="2"/>
  <c r="M125" i="2" s="1"/>
  <c r="K125" i="2"/>
  <c r="J125" i="2"/>
  <c r="I125" i="2"/>
  <c r="L124" i="2"/>
  <c r="M124" i="2" s="1"/>
  <c r="K124" i="2"/>
  <c r="J124" i="2"/>
  <c r="I124" i="2"/>
  <c r="L123" i="2"/>
  <c r="M123" i="2" s="1"/>
  <c r="K123" i="2"/>
  <c r="J123" i="2"/>
  <c r="I123" i="2"/>
  <c r="L122" i="2"/>
  <c r="M122" i="2" s="1"/>
  <c r="K122" i="2"/>
  <c r="J122" i="2"/>
  <c r="I122" i="2"/>
  <c r="L121" i="2"/>
  <c r="M121" i="2" s="1"/>
  <c r="K121" i="2"/>
  <c r="J121" i="2"/>
  <c r="I121" i="2"/>
  <c r="L120" i="2"/>
  <c r="M120" i="2" s="1"/>
  <c r="K120" i="2"/>
  <c r="J120" i="2"/>
  <c r="I120" i="2"/>
  <c r="L119" i="2"/>
  <c r="M119" i="2" s="1"/>
  <c r="K119" i="2"/>
  <c r="J119" i="2"/>
  <c r="I119" i="2"/>
  <c r="L118" i="2"/>
  <c r="M118" i="2" s="1"/>
  <c r="K118" i="2"/>
  <c r="J118" i="2"/>
  <c r="I118" i="2"/>
  <c r="L117" i="2"/>
  <c r="M117" i="2" s="1"/>
  <c r="K117" i="2"/>
  <c r="J117" i="2"/>
  <c r="I117" i="2"/>
  <c r="L116" i="2"/>
  <c r="M116" i="2" s="1"/>
  <c r="K116" i="2"/>
  <c r="J116" i="2"/>
  <c r="I116" i="2"/>
  <c r="L115" i="2"/>
  <c r="M115" i="2" s="1"/>
  <c r="K115" i="2"/>
  <c r="J115" i="2"/>
  <c r="I115" i="2"/>
  <c r="L114" i="2"/>
  <c r="M114" i="2" s="1"/>
  <c r="K114" i="2"/>
  <c r="J114" i="2"/>
  <c r="I114" i="2"/>
  <c r="L113" i="2"/>
  <c r="M113" i="2" s="1"/>
  <c r="K113" i="2"/>
  <c r="J113" i="2"/>
  <c r="I113" i="2"/>
  <c r="L112" i="2"/>
  <c r="M112" i="2" s="1"/>
  <c r="K112" i="2"/>
  <c r="J112" i="2"/>
  <c r="I112" i="2"/>
  <c r="L111" i="2"/>
  <c r="M111" i="2" s="1"/>
  <c r="K111" i="2"/>
  <c r="J111" i="2"/>
  <c r="I111" i="2"/>
  <c r="L110" i="2"/>
  <c r="M110" i="2" s="1"/>
  <c r="K110" i="2"/>
  <c r="J110" i="2"/>
  <c r="I110" i="2"/>
  <c r="L109" i="2"/>
  <c r="M109" i="2" s="1"/>
  <c r="K109" i="2"/>
  <c r="J109" i="2"/>
  <c r="I109" i="2"/>
  <c r="L108" i="2"/>
  <c r="M108" i="2" s="1"/>
  <c r="K108" i="2"/>
  <c r="J108" i="2"/>
  <c r="I108" i="2"/>
  <c r="L107" i="2"/>
  <c r="M107" i="2" s="1"/>
  <c r="K107" i="2"/>
  <c r="J107" i="2"/>
  <c r="I107" i="2"/>
  <c r="L106" i="2"/>
  <c r="M106" i="2" s="1"/>
  <c r="K106" i="2"/>
  <c r="J106" i="2"/>
  <c r="I106" i="2"/>
  <c r="L105" i="2"/>
  <c r="M105" i="2" s="1"/>
  <c r="K105" i="2"/>
  <c r="J105" i="2"/>
  <c r="I105" i="2"/>
  <c r="L104" i="2"/>
  <c r="M104" i="2" s="1"/>
  <c r="K104" i="2"/>
  <c r="J104" i="2"/>
  <c r="I104" i="2"/>
  <c r="L103" i="2"/>
  <c r="M103" i="2" s="1"/>
  <c r="K103" i="2"/>
  <c r="J103" i="2"/>
  <c r="I103" i="2"/>
  <c r="L102" i="2"/>
  <c r="M102" i="2" s="1"/>
  <c r="K102" i="2"/>
  <c r="J102" i="2"/>
  <c r="I102" i="2"/>
  <c r="L101" i="2"/>
  <c r="M101" i="2" s="1"/>
  <c r="K101" i="2"/>
  <c r="J101" i="2"/>
  <c r="I101" i="2"/>
  <c r="L100" i="2"/>
  <c r="M100" i="2" s="1"/>
  <c r="K100" i="2"/>
  <c r="J100" i="2"/>
  <c r="I100" i="2"/>
  <c r="L99" i="2"/>
  <c r="M99" i="2" s="1"/>
  <c r="K99" i="2"/>
  <c r="J99" i="2"/>
  <c r="I99" i="2"/>
  <c r="L98" i="2"/>
  <c r="M98" i="2" s="1"/>
  <c r="K98" i="2"/>
  <c r="J98" i="2"/>
  <c r="I98" i="2"/>
  <c r="L97" i="2"/>
  <c r="M97" i="2" s="1"/>
  <c r="K97" i="2"/>
  <c r="J97" i="2"/>
  <c r="I97" i="2"/>
  <c r="L96" i="2"/>
  <c r="M96" i="2" s="1"/>
  <c r="K96" i="2"/>
  <c r="J96" i="2"/>
  <c r="I96" i="2"/>
  <c r="L95" i="2"/>
  <c r="M95" i="2" s="1"/>
  <c r="K95" i="2"/>
  <c r="J95" i="2"/>
  <c r="I95" i="2"/>
  <c r="L94" i="2"/>
  <c r="M94" i="2" s="1"/>
  <c r="K94" i="2"/>
  <c r="J94" i="2"/>
  <c r="I94" i="2"/>
  <c r="L93" i="2"/>
  <c r="M93" i="2" s="1"/>
  <c r="K93" i="2"/>
  <c r="J93" i="2"/>
  <c r="I93" i="2"/>
  <c r="L92" i="2"/>
  <c r="M92" i="2" s="1"/>
  <c r="K92" i="2"/>
  <c r="J92" i="2"/>
  <c r="I92" i="2"/>
  <c r="L91" i="2"/>
  <c r="M91" i="2" s="1"/>
  <c r="K91" i="2"/>
  <c r="J91" i="2"/>
  <c r="I91" i="2"/>
  <c r="L90" i="2"/>
  <c r="M90" i="2" s="1"/>
  <c r="K90" i="2"/>
  <c r="J90" i="2"/>
  <c r="I90" i="2"/>
  <c r="L89" i="2"/>
  <c r="M89" i="2" s="1"/>
  <c r="K89" i="2"/>
  <c r="J89" i="2"/>
  <c r="I89" i="2"/>
  <c r="L88" i="2"/>
  <c r="M88" i="2" s="1"/>
  <c r="K88" i="2"/>
  <c r="J88" i="2"/>
  <c r="I88" i="2"/>
  <c r="L87" i="2"/>
  <c r="M87" i="2" s="1"/>
  <c r="K87" i="2"/>
  <c r="J87" i="2"/>
  <c r="I87" i="2"/>
  <c r="L86" i="2"/>
  <c r="M86" i="2" s="1"/>
  <c r="K86" i="2"/>
  <c r="J86" i="2"/>
  <c r="I86" i="2"/>
  <c r="L85" i="2"/>
  <c r="M85" i="2" s="1"/>
  <c r="K85" i="2"/>
  <c r="J85" i="2"/>
  <c r="I85" i="2"/>
  <c r="L84" i="2"/>
  <c r="M84" i="2" s="1"/>
  <c r="K84" i="2"/>
  <c r="J84" i="2"/>
  <c r="I84" i="2"/>
  <c r="L83" i="2"/>
  <c r="M83" i="2" s="1"/>
  <c r="K83" i="2"/>
  <c r="J83" i="2"/>
  <c r="I83" i="2"/>
  <c r="L82" i="2"/>
  <c r="M82" i="2" s="1"/>
  <c r="K82" i="2"/>
  <c r="J82" i="2"/>
  <c r="I82" i="2"/>
  <c r="L81" i="2"/>
  <c r="M81" i="2" s="1"/>
  <c r="K81" i="2"/>
  <c r="J81" i="2"/>
  <c r="I81" i="2"/>
  <c r="L80" i="2"/>
  <c r="M80" i="2" s="1"/>
  <c r="K80" i="2"/>
  <c r="J80" i="2"/>
  <c r="I80" i="2"/>
  <c r="L79" i="2"/>
  <c r="M79" i="2" s="1"/>
  <c r="K79" i="2"/>
  <c r="J79" i="2"/>
  <c r="I79" i="2"/>
  <c r="L78" i="2"/>
  <c r="M78" i="2" s="1"/>
  <c r="K78" i="2"/>
  <c r="J78" i="2"/>
  <c r="I78" i="2"/>
  <c r="L77" i="2"/>
  <c r="M77" i="2" s="1"/>
  <c r="K77" i="2"/>
  <c r="J77" i="2"/>
  <c r="I77" i="2"/>
  <c r="L76" i="2"/>
  <c r="M76" i="2" s="1"/>
  <c r="K76" i="2"/>
  <c r="J76" i="2"/>
  <c r="I76" i="2"/>
  <c r="L75" i="2"/>
  <c r="M75" i="2" s="1"/>
  <c r="K75" i="2"/>
  <c r="J75" i="2"/>
  <c r="I75" i="2"/>
  <c r="L74" i="2"/>
  <c r="M74" i="2" s="1"/>
  <c r="K74" i="2"/>
  <c r="J74" i="2"/>
  <c r="I74" i="2"/>
  <c r="L73" i="2"/>
  <c r="M73" i="2" s="1"/>
  <c r="K73" i="2"/>
  <c r="J73" i="2"/>
  <c r="I73" i="2"/>
  <c r="L72" i="2"/>
  <c r="M72" i="2" s="1"/>
  <c r="K72" i="2"/>
  <c r="J72" i="2"/>
  <c r="I72" i="2"/>
  <c r="L71" i="2"/>
  <c r="M71" i="2" s="1"/>
  <c r="K71" i="2"/>
  <c r="J71" i="2"/>
  <c r="I71" i="2"/>
  <c r="L70" i="2"/>
  <c r="M70" i="2" s="1"/>
  <c r="K70" i="2"/>
  <c r="J70" i="2"/>
  <c r="I70" i="2"/>
  <c r="L69" i="2"/>
  <c r="M69" i="2" s="1"/>
  <c r="K69" i="2"/>
  <c r="J69" i="2"/>
  <c r="I69" i="2"/>
  <c r="L68" i="2"/>
  <c r="M68" i="2" s="1"/>
  <c r="K68" i="2"/>
  <c r="J68" i="2"/>
  <c r="I68" i="2"/>
  <c r="L67" i="2"/>
  <c r="M67" i="2" s="1"/>
  <c r="K67" i="2"/>
  <c r="J67" i="2"/>
  <c r="I67" i="2"/>
  <c r="L66" i="2"/>
  <c r="M66" i="2" s="1"/>
  <c r="K66" i="2"/>
  <c r="J66" i="2"/>
  <c r="I66" i="2"/>
  <c r="L65" i="2"/>
  <c r="M65" i="2" s="1"/>
  <c r="K65" i="2"/>
  <c r="J65" i="2"/>
  <c r="I65" i="2"/>
  <c r="L64" i="2"/>
  <c r="M64" i="2" s="1"/>
  <c r="K64" i="2"/>
  <c r="J64" i="2"/>
  <c r="I64" i="2"/>
  <c r="L63" i="2"/>
  <c r="M63" i="2" s="1"/>
  <c r="K63" i="2"/>
  <c r="J63" i="2"/>
  <c r="I63" i="2"/>
  <c r="L62" i="2"/>
  <c r="M62" i="2" s="1"/>
  <c r="K62" i="2"/>
  <c r="J62" i="2"/>
  <c r="I62" i="2"/>
  <c r="L61" i="2"/>
  <c r="M61" i="2" s="1"/>
  <c r="K61" i="2"/>
  <c r="J61" i="2"/>
  <c r="I61" i="2"/>
  <c r="L60" i="2"/>
  <c r="M60" i="2" s="1"/>
  <c r="K60" i="2"/>
  <c r="J60" i="2"/>
  <c r="I60" i="2"/>
  <c r="L59" i="2"/>
  <c r="M59" i="2" s="1"/>
  <c r="K59" i="2"/>
  <c r="J59" i="2"/>
  <c r="I59" i="2"/>
  <c r="L58" i="2"/>
  <c r="M58" i="2" s="1"/>
  <c r="K58" i="2"/>
  <c r="J58" i="2"/>
  <c r="I58" i="2"/>
  <c r="L57" i="2"/>
  <c r="M57" i="2" s="1"/>
  <c r="K57" i="2"/>
  <c r="J57" i="2"/>
  <c r="I57" i="2"/>
  <c r="L56" i="2"/>
  <c r="M56" i="2" s="1"/>
  <c r="K56" i="2"/>
  <c r="J56" i="2"/>
  <c r="I56" i="2"/>
  <c r="L55" i="2"/>
  <c r="M55" i="2" s="1"/>
  <c r="K55" i="2"/>
  <c r="J55" i="2"/>
  <c r="I55" i="2"/>
  <c r="L54" i="2"/>
  <c r="M54" i="2" s="1"/>
  <c r="K54" i="2"/>
  <c r="J54" i="2"/>
  <c r="I54" i="2"/>
  <c r="L53" i="2"/>
  <c r="M53" i="2" s="1"/>
  <c r="K53" i="2"/>
  <c r="J53" i="2"/>
  <c r="I53" i="2"/>
  <c r="L52" i="2"/>
  <c r="M52" i="2" s="1"/>
  <c r="K52" i="2"/>
  <c r="J52" i="2"/>
  <c r="I52" i="2"/>
  <c r="L51" i="2"/>
  <c r="M51" i="2" s="1"/>
  <c r="K51" i="2"/>
  <c r="J51" i="2"/>
  <c r="I51" i="2"/>
  <c r="L50" i="2"/>
  <c r="M50" i="2" s="1"/>
  <c r="K50" i="2"/>
  <c r="J50" i="2"/>
  <c r="I50" i="2"/>
  <c r="L49" i="2"/>
  <c r="M49" i="2" s="1"/>
  <c r="K49" i="2"/>
  <c r="J49" i="2"/>
  <c r="I49" i="2"/>
  <c r="L48" i="2"/>
  <c r="M48" i="2" s="1"/>
  <c r="K48" i="2"/>
  <c r="J48" i="2"/>
  <c r="I48" i="2"/>
  <c r="L47" i="2"/>
  <c r="M47" i="2" s="1"/>
  <c r="K47" i="2"/>
  <c r="J47" i="2"/>
  <c r="I47" i="2"/>
  <c r="L46" i="2"/>
  <c r="M46" i="2" s="1"/>
  <c r="K46" i="2"/>
  <c r="J46" i="2"/>
  <c r="I46" i="2"/>
  <c r="L45" i="2"/>
  <c r="M45" i="2" s="1"/>
  <c r="K45" i="2"/>
  <c r="J45" i="2"/>
  <c r="I45" i="2"/>
  <c r="L44" i="2"/>
  <c r="M44" i="2" s="1"/>
  <c r="K44" i="2"/>
  <c r="J44" i="2"/>
  <c r="I44" i="2"/>
  <c r="L43" i="2"/>
  <c r="M43" i="2" s="1"/>
  <c r="K43" i="2"/>
  <c r="J43" i="2"/>
  <c r="I43" i="2"/>
  <c r="L42" i="2"/>
  <c r="M42" i="2" s="1"/>
  <c r="K42" i="2"/>
  <c r="J42" i="2"/>
  <c r="I42" i="2"/>
  <c r="L41" i="2"/>
  <c r="M41" i="2" s="1"/>
  <c r="K41" i="2"/>
  <c r="J41" i="2"/>
  <c r="I41" i="2"/>
  <c r="L40" i="2"/>
  <c r="M40" i="2" s="1"/>
  <c r="K40" i="2"/>
  <c r="J40" i="2"/>
  <c r="I40" i="2"/>
  <c r="L39" i="2"/>
  <c r="M39" i="2" s="1"/>
  <c r="K39" i="2"/>
  <c r="J39" i="2"/>
  <c r="I39" i="2"/>
  <c r="L38" i="2"/>
  <c r="M38" i="2" s="1"/>
  <c r="K38" i="2"/>
  <c r="J38" i="2"/>
  <c r="I38" i="2"/>
  <c r="L37" i="2"/>
  <c r="M37" i="2" s="1"/>
  <c r="K37" i="2"/>
  <c r="J37" i="2"/>
  <c r="I37" i="2"/>
  <c r="L36" i="2"/>
  <c r="M36" i="2" s="1"/>
  <c r="K36" i="2"/>
  <c r="J36" i="2"/>
  <c r="I36" i="2"/>
  <c r="L35" i="2"/>
  <c r="M35" i="2" s="1"/>
  <c r="K35" i="2"/>
  <c r="J35" i="2"/>
  <c r="I35" i="2"/>
  <c r="L34" i="2"/>
  <c r="M34" i="2" s="1"/>
  <c r="K34" i="2"/>
  <c r="J34" i="2"/>
  <c r="I34" i="2"/>
  <c r="L33" i="2"/>
  <c r="M33" i="2" s="1"/>
  <c r="K33" i="2"/>
  <c r="J33" i="2"/>
  <c r="I33" i="2"/>
  <c r="L32" i="2"/>
  <c r="M32" i="2" s="1"/>
  <c r="K32" i="2"/>
  <c r="J32" i="2"/>
  <c r="I32" i="2"/>
  <c r="L31" i="2"/>
  <c r="M31" i="2" s="1"/>
  <c r="K31" i="2"/>
  <c r="J31" i="2"/>
  <c r="I31" i="2"/>
  <c r="L30" i="2"/>
  <c r="M30" i="2" s="1"/>
  <c r="K30" i="2"/>
  <c r="J30" i="2"/>
  <c r="I30" i="2"/>
  <c r="L29" i="2"/>
  <c r="M29" i="2" s="1"/>
  <c r="K29" i="2"/>
  <c r="J29" i="2"/>
  <c r="I29" i="2"/>
  <c r="L28" i="2"/>
  <c r="M28" i="2" s="1"/>
  <c r="K28" i="2"/>
  <c r="J28" i="2"/>
  <c r="I28" i="2"/>
  <c r="L27" i="2"/>
  <c r="M27" i="2" s="1"/>
  <c r="K27" i="2"/>
  <c r="J27" i="2"/>
  <c r="I27" i="2"/>
  <c r="L26" i="2"/>
  <c r="M26" i="2" s="1"/>
  <c r="K26" i="2"/>
  <c r="J26" i="2"/>
  <c r="I26" i="2"/>
  <c r="L25" i="2"/>
  <c r="M25" i="2" s="1"/>
  <c r="K25" i="2"/>
  <c r="J25" i="2"/>
  <c r="I25" i="2"/>
  <c r="L24" i="2"/>
  <c r="M24" i="2" s="1"/>
  <c r="K24" i="2"/>
  <c r="J24" i="2"/>
  <c r="I24" i="2"/>
  <c r="L23" i="2"/>
  <c r="M23" i="2" s="1"/>
  <c r="K23" i="2"/>
  <c r="J23" i="2"/>
  <c r="I23" i="2"/>
  <c r="L22" i="2"/>
  <c r="M22" i="2" s="1"/>
  <c r="K22" i="2"/>
  <c r="J22" i="2"/>
  <c r="I22" i="2"/>
  <c r="L21" i="2"/>
  <c r="M21" i="2" s="1"/>
  <c r="K21" i="2"/>
  <c r="J21" i="2"/>
  <c r="I21" i="2"/>
  <c r="L20" i="2"/>
  <c r="M20" i="2" s="1"/>
  <c r="K20" i="2"/>
  <c r="J20" i="2"/>
  <c r="I20" i="2"/>
  <c r="L19" i="2"/>
  <c r="M19" i="2" s="1"/>
  <c r="K19" i="2"/>
  <c r="J19" i="2"/>
  <c r="I19" i="2"/>
  <c r="L18" i="2"/>
  <c r="M18" i="2" s="1"/>
  <c r="K18" i="2"/>
  <c r="J18" i="2"/>
  <c r="I18" i="2"/>
  <c r="L17" i="2"/>
  <c r="M17" i="2" s="1"/>
  <c r="K17" i="2"/>
  <c r="J17" i="2"/>
  <c r="I17" i="2"/>
  <c r="L16" i="2"/>
  <c r="M16" i="2" s="1"/>
  <c r="K16" i="2"/>
  <c r="J16" i="2"/>
  <c r="I16" i="2"/>
  <c r="L15" i="2"/>
  <c r="M15" i="2" s="1"/>
  <c r="K15" i="2"/>
  <c r="J15" i="2"/>
  <c r="I15" i="2"/>
  <c r="L14" i="2"/>
  <c r="M14" i="2" s="1"/>
  <c r="K14" i="2"/>
  <c r="J14" i="2"/>
  <c r="I14" i="2"/>
  <c r="L13" i="2"/>
  <c r="M13" i="2" s="1"/>
  <c r="K13" i="2"/>
  <c r="J13" i="2"/>
  <c r="I13" i="2"/>
  <c r="L12" i="2"/>
  <c r="M12" i="2" s="1"/>
  <c r="K12" i="2"/>
  <c r="J12" i="2"/>
  <c r="I12" i="2"/>
  <c r="L11" i="2"/>
  <c r="M11" i="2" s="1"/>
  <c r="K11" i="2"/>
  <c r="J11" i="2"/>
  <c r="I11" i="2"/>
  <c r="L10" i="2"/>
  <c r="M10" i="2" s="1"/>
  <c r="K10" i="2"/>
  <c r="J10" i="2"/>
  <c r="I10" i="2"/>
  <c r="L9" i="2"/>
  <c r="M9" i="2" s="1"/>
  <c r="K9" i="2"/>
  <c r="J9" i="2"/>
  <c r="I9" i="2"/>
  <c r="L8" i="2"/>
  <c r="M8" i="2" s="1"/>
  <c r="K8" i="2"/>
  <c r="J8" i="2"/>
  <c r="I8" i="2"/>
  <c r="L7" i="2"/>
  <c r="M7" i="2" s="1"/>
  <c r="K7" i="2"/>
  <c r="J7" i="2"/>
  <c r="I7" i="2"/>
  <c r="L6" i="2"/>
  <c r="M6" i="2" s="1"/>
  <c r="K6" i="2"/>
  <c r="J6" i="2"/>
  <c r="I6" i="2"/>
  <c r="L5" i="2"/>
  <c r="M5" i="2" s="1"/>
  <c r="K5" i="2"/>
  <c r="J5" i="2"/>
  <c r="I5" i="2"/>
  <c r="L4" i="2"/>
  <c r="M4" i="2" s="1"/>
  <c r="K4" i="2"/>
  <c r="J4" i="2"/>
  <c r="I4" i="2"/>
  <c r="L3" i="2"/>
  <c r="M3" i="2" s="1"/>
  <c r="K3" i="2"/>
  <c r="J3" i="2"/>
  <c r="I3" i="2"/>
  <c r="L2" i="2"/>
  <c r="M2" i="2" s="1"/>
  <c r="K2" i="2"/>
  <c r="J2" i="2"/>
  <c r="I2" i="2"/>
  <c r="L346" i="1"/>
  <c r="M346" i="1" s="1"/>
  <c r="K346" i="1"/>
  <c r="J346" i="1"/>
  <c r="I346" i="1"/>
  <c r="M345" i="1"/>
  <c r="L345" i="1"/>
  <c r="K345" i="1"/>
  <c r="J345" i="1"/>
  <c r="I345" i="1"/>
  <c r="L344" i="1"/>
  <c r="M344" i="1" s="1"/>
  <c r="K344" i="1"/>
  <c r="J344" i="1"/>
  <c r="I344" i="1"/>
  <c r="L343" i="1"/>
  <c r="M343" i="1" s="1"/>
  <c r="K343" i="1"/>
  <c r="J343" i="1"/>
  <c r="I343" i="1"/>
  <c r="L342" i="1"/>
  <c r="M342" i="1" s="1"/>
  <c r="K342" i="1"/>
  <c r="J342" i="1"/>
  <c r="I342" i="1"/>
  <c r="L341" i="1"/>
  <c r="M341" i="1" s="1"/>
  <c r="K341" i="1"/>
  <c r="J341" i="1"/>
  <c r="I341" i="1"/>
  <c r="L340" i="1"/>
  <c r="M340" i="1" s="1"/>
  <c r="K340" i="1"/>
  <c r="J340" i="1"/>
  <c r="I340" i="1"/>
  <c r="L339" i="1"/>
  <c r="M339" i="1" s="1"/>
  <c r="K339" i="1"/>
  <c r="J339" i="1"/>
  <c r="I339" i="1"/>
  <c r="L338" i="1"/>
  <c r="M338" i="1" s="1"/>
  <c r="K338" i="1"/>
  <c r="J338" i="1"/>
  <c r="I338" i="1"/>
  <c r="M337" i="1"/>
  <c r="L337" i="1"/>
  <c r="K337" i="1"/>
  <c r="J337" i="1"/>
  <c r="I337" i="1"/>
  <c r="L336" i="1"/>
  <c r="M336" i="1" s="1"/>
  <c r="K336" i="1"/>
  <c r="J336" i="1"/>
  <c r="I336" i="1"/>
  <c r="L335" i="1"/>
  <c r="M335" i="1" s="1"/>
  <c r="K335" i="1"/>
  <c r="J335" i="1"/>
  <c r="I335" i="1"/>
  <c r="L334" i="1"/>
  <c r="M334" i="1" s="1"/>
  <c r="K334" i="1"/>
  <c r="J334" i="1"/>
  <c r="I334" i="1"/>
  <c r="L333" i="1"/>
  <c r="M333" i="1" s="1"/>
  <c r="K333" i="1"/>
  <c r="J333" i="1"/>
  <c r="I333" i="1"/>
  <c r="L332" i="1"/>
  <c r="M332" i="1" s="1"/>
  <c r="K332" i="1"/>
  <c r="J332" i="1"/>
  <c r="I332" i="1"/>
  <c r="L331" i="1"/>
  <c r="M331" i="1" s="1"/>
  <c r="K331" i="1"/>
  <c r="J331" i="1"/>
  <c r="I331" i="1"/>
  <c r="M330" i="1"/>
  <c r="L330" i="1"/>
  <c r="K330" i="1"/>
  <c r="J330" i="1"/>
  <c r="I330" i="1"/>
  <c r="L329" i="1"/>
  <c r="M329" i="1" s="1"/>
  <c r="K329" i="1"/>
  <c r="J329" i="1"/>
  <c r="I329" i="1"/>
  <c r="L328" i="1"/>
  <c r="M328" i="1" s="1"/>
  <c r="K328" i="1"/>
  <c r="J328" i="1"/>
  <c r="I328" i="1"/>
  <c r="L327" i="1"/>
  <c r="M327" i="1" s="1"/>
  <c r="K327" i="1"/>
  <c r="J327" i="1"/>
  <c r="I327" i="1"/>
  <c r="L326" i="1"/>
  <c r="M326" i="1" s="1"/>
  <c r="K326" i="1"/>
  <c r="J326" i="1"/>
  <c r="I326" i="1"/>
  <c r="L325" i="1"/>
  <c r="M325" i="1" s="1"/>
  <c r="K325" i="1"/>
  <c r="J325" i="1"/>
  <c r="I325" i="1"/>
  <c r="L324" i="1"/>
  <c r="M324" i="1" s="1"/>
  <c r="K324" i="1"/>
  <c r="J324" i="1"/>
  <c r="I324" i="1"/>
  <c r="L323" i="1"/>
  <c r="M323" i="1" s="1"/>
  <c r="K323" i="1"/>
  <c r="J323" i="1"/>
  <c r="I323" i="1"/>
  <c r="L322" i="1"/>
  <c r="M322" i="1" s="1"/>
  <c r="K322" i="1"/>
  <c r="J322" i="1"/>
  <c r="I322" i="1"/>
  <c r="M321" i="1"/>
  <c r="L321" i="1"/>
  <c r="K321" i="1"/>
  <c r="J321" i="1"/>
  <c r="I321" i="1"/>
  <c r="L320" i="1"/>
  <c r="M320" i="1" s="1"/>
  <c r="K320" i="1"/>
  <c r="J320" i="1"/>
  <c r="I320" i="1"/>
  <c r="L319" i="1"/>
  <c r="M319" i="1" s="1"/>
  <c r="K319" i="1"/>
  <c r="J319" i="1"/>
  <c r="I319" i="1"/>
  <c r="L318" i="1"/>
  <c r="M318" i="1" s="1"/>
  <c r="K318" i="1"/>
  <c r="J318" i="1"/>
  <c r="I318" i="1"/>
  <c r="L317" i="1"/>
  <c r="M317" i="1" s="1"/>
  <c r="K317" i="1"/>
  <c r="J317" i="1"/>
  <c r="I317" i="1"/>
  <c r="L316" i="1"/>
  <c r="M316" i="1" s="1"/>
  <c r="K316" i="1"/>
  <c r="J316" i="1"/>
  <c r="I316" i="1"/>
  <c r="L315" i="1"/>
  <c r="M315" i="1" s="1"/>
  <c r="K315" i="1"/>
  <c r="J315" i="1"/>
  <c r="I315" i="1"/>
  <c r="L314" i="1"/>
  <c r="M314" i="1" s="1"/>
  <c r="K314" i="1"/>
  <c r="J314" i="1"/>
  <c r="I314" i="1"/>
  <c r="L313" i="1"/>
  <c r="M313" i="1" s="1"/>
  <c r="K313" i="1"/>
  <c r="J313" i="1"/>
  <c r="I313" i="1"/>
  <c r="L312" i="1"/>
  <c r="M312" i="1" s="1"/>
  <c r="K312" i="1"/>
  <c r="J312" i="1"/>
  <c r="I312" i="1"/>
  <c r="L311" i="1"/>
  <c r="M311" i="1" s="1"/>
  <c r="K311" i="1"/>
  <c r="J311" i="1"/>
  <c r="I311" i="1"/>
  <c r="M310" i="1"/>
  <c r="L310" i="1"/>
  <c r="K310" i="1"/>
  <c r="J310" i="1"/>
  <c r="I310" i="1"/>
  <c r="L309" i="1"/>
  <c r="M309" i="1" s="1"/>
  <c r="K309" i="1"/>
  <c r="J309" i="1"/>
  <c r="I309" i="1"/>
  <c r="L308" i="1"/>
  <c r="M308" i="1" s="1"/>
  <c r="K308" i="1"/>
  <c r="J308" i="1"/>
  <c r="I308" i="1"/>
  <c r="L307" i="1"/>
  <c r="M307" i="1" s="1"/>
  <c r="K307" i="1"/>
  <c r="J307" i="1"/>
  <c r="I307" i="1"/>
  <c r="L306" i="1"/>
  <c r="M306" i="1" s="1"/>
  <c r="K306" i="1"/>
  <c r="J306" i="1"/>
  <c r="I306" i="1"/>
  <c r="L305" i="1"/>
  <c r="M305" i="1" s="1"/>
  <c r="K305" i="1"/>
  <c r="J305" i="1"/>
  <c r="I305" i="1"/>
  <c r="L304" i="1"/>
  <c r="M304" i="1" s="1"/>
  <c r="K304" i="1"/>
  <c r="J304" i="1"/>
  <c r="I304" i="1"/>
  <c r="L303" i="1"/>
  <c r="M303" i="1" s="1"/>
  <c r="K303" i="1"/>
  <c r="J303" i="1"/>
  <c r="I303" i="1"/>
  <c r="L302" i="1"/>
  <c r="M302" i="1" s="1"/>
  <c r="K302" i="1"/>
  <c r="J302" i="1"/>
  <c r="I302" i="1"/>
  <c r="L301" i="1"/>
  <c r="M301" i="1" s="1"/>
  <c r="K301" i="1"/>
  <c r="J301" i="1"/>
  <c r="I301" i="1"/>
  <c r="L300" i="1"/>
  <c r="M300" i="1" s="1"/>
  <c r="K300" i="1"/>
  <c r="J300" i="1"/>
  <c r="I300" i="1"/>
  <c r="M299" i="1"/>
  <c r="L299" i="1"/>
  <c r="K299" i="1"/>
  <c r="J299" i="1"/>
  <c r="I299" i="1"/>
  <c r="L298" i="1"/>
  <c r="M298" i="1" s="1"/>
  <c r="K298" i="1"/>
  <c r="J298" i="1"/>
  <c r="I298" i="1"/>
  <c r="L297" i="1"/>
  <c r="M297" i="1" s="1"/>
  <c r="K297" i="1"/>
  <c r="J297" i="1"/>
  <c r="I297" i="1"/>
  <c r="L296" i="1"/>
  <c r="M296" i="1" s="1"/>
  <c r="K296" i="1"/>
  <c r="J296" i="1"/>
  <c r="I296" i="1"/>
  <c r="L295" i="1"/>
  <c r="M295" i="1" s="1"/>
  <c r="K295" i="1"/>
  <c r="J295" i="1"/>
  <c r="I295" i="1"/>
  <c r="L294" i="1"/>
  <c r="M294" i="1" s="1"/>
  <c r="K294" i="1"/>
  <c r="J294" i="1"/>
  <c r="I294" i="1"/>
  <c r="L293" i="1"/>
  <c r="M293" i="1" s="1"/>
  <c r="K293" i="1"/>
  <c r="J293" i="1"/>
  <c r="I293" i="1"/>
  <c r="L292" i="1"/>
  <c r="M292" i="1" s="1"/>
  <c r="K292" i="1"/>
  <c r="J292" i="1"/>
  <c r="I292" i="1"/>
  <c r="L291" i="1"/>
  <c r="M291" i="1" s="1"/>
  <c r="K291" i="1"/>
  <c r="J291" i="1"/>
  <c r="I291" i="1"/>
  <c r="L290" i="1"/>
  <c r="M290" i="1" s="1"/>
  <c r="K290" i="1"/>
  <c r="J290" i="1"/>
  <c r="I290" i="1"/>
  <c r="M289" i="1"/>
  <c r="L289" i="1"/>
  <c r="K289" i="1"/>
  <c r="J289" i="1"/>
  <c r="I289" i="1"/>
  <c r="L288" i="1"/>
  <c r="M288" i="1" s="1"/>
  <c r="K288" i="1"/>
  <c r="J288" i="1"/>
  <c r="I288" i="1"/>
  <c r="L287" i="1"/>
  <c r="M287" i="1" s="1"/>
  <c r="K287" i="1"/>
  <c r="J287" i="1"/>
  <c r="I287" i="1"/>
  <c r="L286" i="1"/>
  <c r="M286" i="1" s="1"/>
  <c r="K286" i="1"/>
  <c r="J286" i="1"/>
  <c r="I286" i="1"/>
  <c r="L285" i="1"/>
  <c r="M285" i="1" s="1"/>
  <c r="K285" i="1"/>
  <c r="J285" i="1"/>
  <c r="I285" i="1"/>
  <c r="L284" i="1"/>
  <c r="M284" i="1" s="1"/>
  <c r="K284" i="1"/>
  <c r="J284" i="1"/>
  <c r="I284" i="1"/>
  <c r="L283" i="1"/>
  <c r="M283" i="1" s="1"/>
  <c r="K283" i="1"/>
  <c r="J283" i="1"/>
  <c r="I283" i="1"/>
  <c r="L282" i="1"/>
  <c r="M282" i="1" s="1"/>
  <c r="K282" i="1"/>
  <c r="J282" i="1"/>
  <c r="I282" i="1"/>
  <c r="L281" i="1"/>
  <c r="M281" i="1" s="1"/>
  <c r="K281" i="1"/>
  <c r="J281" i="1"/>
  <c r="I281" i="1"/>
  <c r="L280" i="1"/>
  <c r="M280" i="1" s="1"/>
  <c r="K280" i="1"/>
  <c r="J280" i="1"/>
  <c r="I280" i="1"/>
  <c r="L279" i="1"/>
  <c r="M279" i="1" s="1"/>
  <c r="K279" i="1"/>
  <c r="J279" i="1"/>
  <c r="I279" i="1"/>
  <c r="M278" i="1"/>
  <c r="L278" i="1"/>
  <c r="K278" i="1"/>
  <c r="J278" i="1"/>
  <c r="I278" i="1"/>
  <c r="L277" i="1"/>
  <c r="M277" i="1" s="1"/>
  <c r="K277" i="1"/>
  <c r="J277" i="1"/>
  <c r="I277" i="1"/>
  <c r="L276" i="1"/>
  <c r="M276" i="1" s="1"/>
  <c r="K276" i="1"/>
  <c r="J276" i="1"/>
  <c r="I276" i="1"/>
  <c r="L275" i="1"/>
  <c r="M275" i="1" s="1"/>
  <c r="K275" i="1"/>
  <c r="J275" i="1"/>
  <c r="I275" i="1"/>
  <c r="L274" i="1"/>
  <c r="M274" i="1" s="1"/>
  <c r="K274" i="1"/>
  <c r="J274" i="1"/>
  <c r="I274" i="1"/>
  <c r="L273" i="1"/>
  <c r="M273" i="1" s="1"/>
  <c r="K273" i="1"/>
  <c r="J273" i="1"/>
  <c r="I273" i="1"/>
  <c r="L272" i="1"/>
  <c r="M272" i="1" s="1"/>
  <c r="K272" i="1"/>
  <c r="J272" i="1"/>
  <c r="I272" i="1"/>
  <c r="L271" i="1"/>
  <c r="M271" i="1" s="1"/>
  <c r="K271" i="1"/>
  <c r="J271" i="1"/>
  <c r="I271" i="1"/>
  <c r="L270" i="1"/>
  <c r="M270" i="1" s="1"/>
  <c r="K270" i="1"/>
  <c r="J270" i="1"/>
  <c r="I270" i="1"/>
  <c r="L269" i="1"/>
  <c r="M269" i="1" s="1"/>
  <c r="K269" i="1"/>
  <c r="J269" i="1"/>
  <c r="I269" i="1"/>
  <c r="L268" i="1"/>
  <c r="M268" i="1" s="1"/>
  <c r="K268" i="1"/>
  <c r="J268" i="1"/>
  <c r="I268" i="1"/>
  <c r="M267" i="1"/>
  <c r="L267" i="1"/>
  <c r="K267" i="1"/>
  <c r="J267" i="1"/>
  <c r="I267" i="1"/>
  <c r="L266" i="1"/>
  <c r="M266" i="1" s="1"/>
  <c r="K266" i="1"/>
  <c r="J266" i="1"/>
  <c r="I266" i="1"/>
  <c r="L265" i="1"/>
  <c r="M265" i="1" s="1"/>
  <c r="K265" i="1"/>
  <c r="J265" i="1"/>
  <c r="I265" i="1"/>
  <c r="L264" i="1"/>
  <c r="M264" i="1" s="1"/>
  <c r="K264" i="1"/>
  <c r="J264" i="1"/>
  <c r="I264" i="1"/>
  <c r="L263" i="1"/>
  <c r="M263" i="1" s="1"/>
  <c r="K263" i="1"/>
  <c r="J263" i="1"/>
  <c r="I263" i="1"/>
  <c r="L262" i="1"/>
  <c r="M262" i="1" s="1"/>
  <c r="K262" i="1"/>
  <c r="J262" i="1"/>
  <c r="I262" i="1"/>
  <c r="L261" i="1"/>
  <c r="M261" i="1" s="1"/>
  <c r="K261" i="1"/>
  <c r="J261" i="1"/>
  <c r="I261" i="1"/>
  <c r="L260" i="1"/>
  <c r="M260" i="1" s="1"/>
  <c r="K260" i="1"/>
  <c r="J260" i="1"/>
  <c r="I260" i="1"/>
  <c r="L259" i="1"/>
  <c r="M259" i="1" s="1"/>
  <c r="K259" i="1"/>
  <c r="J259" i="1"/>
  <c r="I259" i="1"/>
  <c r="L258" i="1"/>
  <c r="M258" i="1" s="1"/>
  <c r="K258" i="1"/>
  <c r="J258" i="1"/>
  <c r="I258" i="1"/>
  <c r="M257" i="1"/>
  <c r="L257" i="1"/>
  <c r="K257" i="1"/>
  <c r="J257" i="1"/>
  <c r="I257" i="1"/>
  <c r="L256" i="1"/>
  <c r="M256" i="1" s="1"/>
  <c r="K256" i="1"/>
  <c r="J256" i="1"/>
  <c r="I256" i="1"/>
  <c r="L255" i="1"/>
  <c r="M255" i="1" s="1"/>
  <c r="K255" i="1"/>
  <c r="J255" i="1"/>
  <c r="I255" i="1"/>
  <c r="L254" i="1"/>
  <c r="M254" i="1" s="1"/>
  <c r="K254" i="1"/>
  <c r="J254" i="1"/>
  <c r="I254" i="1"/>
  <c r="L253" i="1"/>
  <c r="M253" i="1" s="1"/>
  <c r="K253" i="1"/>
  <c r="J253" i="1"/>
  <c r="I253" i="1"/>
  <c r="L252" i="1"/>
  <c r="M252" i="1" s="1"/>
  <c r="K252" i="1"/>
  <c r="J252" i="1"/>
  <c r="I252" i="1"/>
  <c r="L251" i="1"/>
  <c r="M251" i="1" s="1"/>
  <c r="K251" i="1"/>
  <c r="J251" i="1"/>
  <c r="I251" i="1"/>
  <c r="L250" i="1"/>
  <c r="M250" i="1" s="1"/>
  <c r="K250" i="1"/>
  <c r="J250" i="1"/>
  <c r="I250" i="1"/>
  <c r="L249" i="1"/>
  <c r="M249" i="1" s="1"/>
  <c r="K249" i="1"/>
  <c r="J249" i="1"/>
  <c r="I249" i="1"/>
  <c r="L248" i="1"/>
  <c r="M248" i="1" s="1"/>
  <c r="K248" i="1"/>
  <c r="J248" i="1"/>
  <c r="I248" i="1"/>
  <c r="L247" i="1"/>
  <c r="M247" i="1" s="1"/>
  <c r="K247" i="1"/>
  <c r="J247" i="1"/>
  <c r="I247" i="1"/>
  <c r="M246" i="1"/>
  <c r="L246" i="1"/>
  <c r="K246" i="1"/>
  <c r="J246" i="1"/>
  <c r="I246" i="1"/>
  <c r="L245" i="1"/>
  <c r="M245" i="1" s="1"/>
  <c r="K245" i="1"/>
  <c r="J245" i="1"/>
  <c r="I245" i="1"/>
  <c r="L244" i="1"/>
  <c r="M244" i="1" s="1"/>
  <c r="K244" i="1"/>
  <c r="J244" i="1"/>
  <c r="I244" i="1"/>
  <c r="L243" i="1"/>
  <c r="M243" i="1" s="1"/>
  <c r="K243" i="1"/>
  <c r="J243" i="1"/>
  <c r="I243" i="1"/>
  <c r="L242" i="1"/>
  <c r="M242" i="1" s="1"/>
  <c r="K242" i="1"/>
  <c r="J242" i="1"/>
  <c r="I242" i="1"/>
  <c r="L241" i="1"/>
  <c r="M241" i="1" s="1"/>
  <c r="K241" i="1"/>
  <c r="J241" i="1"/>
  <c r="I241" i="1"/>
  <c r="L240" i="1"/>
  <c r="M240" i="1" s="1"/>
  <c r="K240" i="1"/>
  <c r="J240" i="1"/>
  <c r="I240" i="1"/>
  <c r="L239" i="1"/>
  <c r="M239" i="1" s="1"/>
  <c r="K239" i="1"/>
  <c r="J239" i="1"/>
  <c r="I239" i="1"/>
  <c r="L238" i="1"/>
  <c r="M238" i="1" s="1"/>
  <c r="K238" i="1"/>
  <c r="J238" i="1"/>
  <c r="I238" i="1"/>
  <c r="L237" i="1"/>
  <c r="M237" i="1" s="1"/>
  <c r="K237" i="1"/>
  <c r="J237" i="1"/>
  <c r="I237" i="1"/>
  <c r="L236" i="1"/>
  <c r="M236" i="1" s="1"/>
  <c r="K236" i="1"/>
  <c r="J236" i="1"/>
  <c r="I236" i="1"/>
  <c r="M235" i="1"/>
  <c r="L235" i="1"/>
  <c r="K235" i="1"/>
  <c r="J235" i="1"/>
  <c r="I235" i="1"/>
  <c r="L234" i="1"/>
  <c r="M234" i="1" s="1"/>
  <c r="K234" i="1"/>
  <c r="J234" i="1"/>
  <c r="I234" i="1"/>
  <c r="L233" i="1"/>
  <c r="M233" i="1" s="1"/>
  <c r="K233" i="1"/>
  <c r="J233" i="1"/>
  <c r="I233" i="1"/>
  <c r="L232" i="1"/>
  <c r="M232" i="1" s="1"/>
  <c r="K232" i="1"/>
  <c r="J232" i="1"/>
  <c r="I232" i="1"/>
  <c r="L231" i="1"/>
  <c r="M231" i="1" s="1"/>
  <c r="K231" i="1"/>
  <c r="J231" i="1"/>
  <c r="I231" i="1"/>
  <c r="L230" i="1"/>
  <c r="M230" i="1" s="1"/>
  <c r="K230" i="1"/>
  <c r="J230" i="1"/>
  <c r="I230" i="1"/>
  <c r="L229" i="1"/>
  <c r="M229" i="1" s="1"/>
  <c r="K229" i="1"/>
  <c r="J229" i="1"/>
  <c r="I229" i="1"/>
  <c r="L228" i="1"/>
  <c r="M228" i="1" s="1"/>
  <c r="K228" i="1"/>
  <c r="J228" i="1"/>
  <c r="I228" i="1"/>
  <c r="L227" i="1"/>
  <c r="M227" i="1" s="1"/>
  <c r="K227" i="1"/>
  <c r="J227" i="1"/>
  <c r="I227" i="1"/>
  <c r="L226" i="1"/>
  <c r="M226" i="1" s="1"/>
  <c r="K226" i="1"/>
  <c r="J226" i="1"/>
  <c r="I226" i="1"/>
  <c r="M225" i="1"/>
  <c r="L225" i="1"/>
  <c r="K225" i="1"/>
  <c r="J225" i="1"/>
  <c r="I225" i="1"/>
  <c r="L224" i="1"/>
  <c r="M224" i="1" s="1"/>
  <c r="K224" i="1"/>
  <c r="J224" i="1"/>
  <c r="I224" i="1"/>
  <c r="L223" i="1"/>
  <c r="M223" i="1" s="1"/>
  <c r="K223" i="1"/>
  <c r="J223" i="1"/>
  <c r="I223" i="1"/>
  <c r="L222" i="1"/>
  <c r="M222" i="1" s="1"/>
  <c r="K222" i="1"/>
  <c r="J222" i="1"/>
  <c r="I222" i="1"/>
  <c r="L221" i="1"/>
  <c r="M221" i="1" s="1"/>
  <c r="K221" i="1"/>
  <c r="J221" i="1"/>
  <c r="I221" i="1"/>
  <c r="L220" i="1"/>
  <c r="M220" i="1" s="1"/>
  <c r="K220" i="1"/>
  <c r="J220" i="1"/>
  <c r="I220" i="1"/>
  <c r="L219" i="1"/>
  <c r="M219" i="1" s="1"/>
  <c r="K219" i="1"/>
  <c r="J219" i="1"/>
  <c r="I219" i="1"/>
  <c r="L218" i="1"/>
  <c r="M218" i="1" s="1"/>
  <c r="K218" i="1"/>
  <c r="J218" i="1"/>
  <c r="I218" i="1"/>
  <c r="L217" i="1"/>
  <c r="M217" i="1" s="1"/>
  <c r="K217" i="1"/>
  <c r="J217" i="1"/>
  <c r="I217" i="1"/>
  <c r="L216" i="1"/>
  <c r="M216" i="1" s="1"/>
  <c r="K216" i="1"/>
  <c r="J216" i="1"/>
  <c r="I216" i="1"/>
  <c r="L215" i="1"/>
  <c r="M215" i="1" s="1"/>
  <c r="K215" i="1"/>
  <c r="J215" i="1"/>
  <c r="I215" i="1"/>
  <c r="M214" i="1"/>
  <c r="L214" i="1"/>
  <c r="K214" i="1"/>
  <c r="J214" i="1"/>
  <c r="I214" i="1"/>
  <c r="L213" i="1"/>
  <c r="M213" i="1" s="1"/>
  <c r="K213" i="1"/>
  <c r="J213" i="1"/>
  <c r="I213" i="1"/>
  <c r="L212" i="1"/>
  <c r="M212" i="1" s="1"/>
  <c r="K212" i="1"/>
  <c r="J212" i="1"/>
  <c r="I212" i="1"/>
  <c r="L211" i="1"/>
  <c r="M211" i="1" s="1"/>
  <c r="K211" i="1"/>
  <c r="J211" i="1"/>
  <c r="I211" i="1"/>
  <c r="L210" i="1"/>
  <c r="M210" i="1" s="1"/>
  <c r="K210" i="1"/>
  <c r="J210" i="1"/>
  <c r="I210" i="1"/>
  <c r="L209" i="1"/>
  <c r="M209" i="1" s="1"/>
  <c r="K209" i="1"/>
  <c r="J209" i="1"/>
  <c r="I209" i="1"/>
  <c r="L208" i="1"/>
  <c r="M208" i="1" s="1"/>
  <c r="K208" i="1"/>
  <c r="J208" i="1"/>
  <c r="I208" i="1"/>
  <c r="L207" i="1"/>
  <c r="M207" i="1" s="1"/>
  <c r="K207" i="1"/>
  <c r="J207" i="1"/>
  <c r="I207" i="1"/>
  <c r="L206" i="1"/>
  <c r="M206" i="1" s="1"/>
  <c r="K206" i="1"/>
  <c r="J206" i="1"/>
  <c r="I206" i="1"/>
  <c r="L205" i="1"/>
  <c r="M205" i="1" s="1"/>
  <c r="K205" i="1"/>
  <c r="J205" i="1"/>
  <c r="I205" i="1"/>
  <c r="L204" i="1"/>
  <c r="M204" i="1" s="1"/>
  <c r="K204" i="1"/>
  <c r="J204" i="1"/>
  <c r="I204" i="1"/>
  <c r="M203" i="1"/>
  <c r="L203" i="1"/>
  <c r="K203" i="1"/>
  <c r="J203" i="1"/>
  <c r="I203" i="1"/>
  <c r="L202" i="1"/>
  <c r="M202" i="1" s="1"/>
  <c r="K202" i="1"/>
  <c r="J202" i="1"/>
  <c r="I202" i="1"/>
  <c r="L201" i="1"/>
  <c r="M201" i="1" s="1"/>
  <c r="K201" i="1"/>
  <c r="J201" i="1"/>
  <c r="I201" i="1"/>
  <c r="L200" i="1"/>
  <c r="M200" i="1" s="1"/>
  <c r="K200" i="1"/>
  <c r="J200" i="1"/>
  <c r="I200" i="1"/>
  <c r="L199" i="1"/>
  <c r="M199" i="1" s="1"/>
  <c r="K199" i="1"/>
  <c r="J199" i="1"/>
  <c r="I199" i="1"/>
  <c r="L198" i="1"/>
  <c r="M198" i="1" s="1"/>
  <c r="K198" i="1"/>
  <c r="J198" i="1"/>
  <c r="I198" i="1"/>
  <c r="L197" i="1"/>
  <c r="M197" i="1" s="1"/>
  <c r="K197" i="1"/>
  <c r="J197" i="1"/>
  <c r="I197" i="1"/>
  <c r="L196" i="1"/>
  <c r="M196" i="1" s="1"/>
  <c r="K196" i="1"/>
  <c r="J196" i="1"/>
  <c r="I196" i="1"/>
  <c r="L195" i="1"/>
  <c r="M195" i="1" s="1"/>
  <c r="K195" i="1"/>
  <c r="J195" i="1"/>
  <c r="I195" i="1"/>
  <c r="L194" i="1"/>
  <c r="M194" i="1" s="1"/>
  <c r="K194" i="1"/>
  <c r="J194" i="1"/>
  <c r="I194" i="1"/>
  <c r="M193" i="1"/>
  <c r="L193" i="1"/>
  <c r="K193" i="1"/>
  <c r="J193" i="1"/>
  <c r="I193" i="1"/>
  <c r="L192" i="1"/>
  <c r="M192" i="1" s="1"/>
  <c r="K192" i="1"/>
  <c r="J192" i="1"/>
  <c r="I192" i="1"/>
  <c r="L191" i="1"/>
  <c r="M191" i="1" s="1"/>
  <c r="K191" i="1"/>
  <c r="J191" i="1"/>
  <c r="I191" i="1"/>
  <c r="L190" i="1"/>
  <c r="M190" i="1" s="1"/>
  <c r="K190" i="1"/>
  <c r="J190" i="1"/>
  <c r="I190" i="1"/>
  <c r="L189" i="1"/>
  <c r="M189" i="1" s="1"/>
  <c r="K189" i="1"/>
  <c r="J189" i="1"/>
  <c r="I189" i="1"/>
  <c r="L188" i="1"/>
  <c r="M188" i="1" s="1"/>
  <c r="K188" i="1"/>
  <c r="J188" i="1"/>
  <c r="I188" i="1"/>
  <c r="L187" i="1"/>
  <c r="M187" i="1" s="1"/>
  <c r="K187" i="1"/>
  <c r="J187" i="1"/>
  <c r="I187" i="1"/>
  <c r="L186" i="1"/>
  <c r="M186" i="1" s="1"/>
  <c r="K186" i="1"/>
  <c r="J186" i="1"/>
  <c r="I186" i="1"/>
  <c r="L185" i="1"/>
  <c r="M185" i="1" s="1"/>
  <c r="K185" i="1"/>
  <c r="J185" i="1"/>
  <c r="I185" i="1"/>
  <c r="L184" i="1"/>
  <c r="M184" i="1" s="1"/>
  <c r="K184" i="1"/>
  <c r="J184" i="1"/>
  <c r="I184" i="1"/>
  <c r="L183" i="1"/>
  <c r="M183" i="1" s="1"/>
  <c r="K183" i="1"/>
  <c r="J183" i="1"/>
  <c r="I183" i="1"/>
  <c r="M182" i="1"/>
  <c r="L182" i="1"/>
  <c r="K182" i="1"/>
  <c r="J182" i="1"/>
  <c r="I182" i="1"/>
  <c r="L181" i="1"/>
  <c r="M181" i="1" s="1"/>
  <c r="K181" i="1"/>
  <c r="J181" i="1"/>
  <c r="I181" i="1"/>
  <c r="L180" i="1"/>
  <c r="M180" i="1" s="1"/>
  <c r="K180" i="1"/>
  <c r="J180" i="1"/>
  <c r="I180" i="1"/>
  <c r="L179" i="1"/>
  <c r="M179" i="1" s="1"/>
  <c r="K179" i="1"/>
  <c r="J179" i="1"/>
  <c r="I179" i="1"/>
  <c r="L178" i="1"/>
  <c r="M178" i="1" s="1"/>
  <c r="K178" i="1"/>
  <c r="J178" i="1"/>
  <c r="I178" i="1"/>
  <c r="L177" i="1"/>
  <c r="M177" i="1" s="1"/>
  <c r="K177" i="1"/>
  <c r="J177" i="1"/>
  <c r="I177" i="1"/>
  <c r="L176" i="1"/>
  <c r="M176" i="1" s="1"/>
  <c r="K176" i="1"/>
  <c r="J176" i="1"/>
  <c r="I176" i="1"/>
  <c r="L175" i="1"/>
  <c r="M175" i="1" s="1"/>
  <c r="K175" i="1"/>
  <c r="J175" i="1"/>
  <c r="I175" i="1"/>
  <c r="L174" i="1"/>
  <c r="M174" i="1" s="1"/>
  <c r="K174" i="1"/>
  <c r="J174" i="1"/>
  <c r="I174" i="1"/>
  <c r="L173" i="1"/>
  <c r="M173" i="1" s="1"/>
  <c r="K173" i="1"/>
  <c r="J173" i="1"/>
  <c r="I173" i="1"/>
  <c r="L172" i="1"/>
  <c r="M172" i="1" s="1"/>
  <c r="K172" i="1"/>
  <c r="J172" i="1"/>
  <c r="I172" i="1"/>
  <c r="M171" i="1"/>
  <c r="L171" i="1"/>
  <c r="K171" i="1"/>
  <c r="J171" i="1"/>
  <c r="I171" i="1"/>
  <c r="L170" i="1"/>
  <c r="M170" i="1" s="1"/>
  <c r="K170" i="1"/>
  <c r="J170" i="1"/>
  <c r="I170" i="1"/>
  <c r="L169" i="1"/>
  <c r="M169" i="1" s="1"/>
  <c r="K169" i="1"/>
  <c r="J169" i="1"/>
  <c r="I169" i="1"/>
  <c r="L168" i="1"/>
  <c r="M168" i="1" s="1"/>
  <c r="K168" i="1"/>
  <c r="J168" i="1"/>
  <c r="I168" i="1"/>
  <c r="L167" i="1"/>
  <c r="M167" i="1" s="1"/>
  <c r="K167" i="1"/>
  <c r="J167" i="1"/>
  <c r="I167" i="1"/>
  <c r="L166" i="1"/>
  <c r="M166" i="1" s="1"/>
  <c r="K166" i="1"/>
  <c r="J166" i="1"/>
  <c r="I166" i="1"/>
  <c r="L165" i="1"/>
  <c r="M165" i="1" s="1"/>
  <c r="K165" i="1"/>
  <c r="J165" i="1"/>
  <c r="I165" i="1"/>
  <c r="L164" i="1"/>
  <c r="M164" i="1" s="1"/>
  <c r="K164" i="1"/>
  <c r="J164" i="1"/>
  <c r="I164" i="1"/>
  <c r="L163" i="1"/>
  <c r="M163" i="1" s="1"/>
  <c r="K163" i="1"/>
  <c r="J163" i="1"/>
  <c r="I163" i="1"/>
  <c r="L162" i="1"/>
  <c r="M162" i="1" s="1"/>
  <c r="K162" i="1"/>
  <c r="J162" i="1"/>
  <c r="I162" i="1"/>
  <c r="M161" i="1"/>
  <c r="L161" i="1"/>
  <c r="K161" i="1"/>
  <c r="J161" i="1"/>
  <c r="I161" i="1"/>
  <c r="L160" i="1"/>
  <c r="M160" i="1" s="1"/>
  <c r="K160" i="1"/>
  <c r="J160" i="1"/>
  <c r="I160" i="1"/>
  <c r="L159" i="1"/>
  <c r="M159" i="1" s="1"/>
  <c r="K159" i="1"/>
  <c r="J159" i="1"/>
  <c r="I159" i="1"/>
  <c r="L158" i="1"/>
  <c r="M158" i="1" s="1"/>
  <c r="K158" i="1"/>
  <c r="J158" i="1"/>
  <c r="I158" i="1"/>
  <c r="L157" i="1"/>
  <c r="M157" i="1" s="1"/>
  <c r="K157" i="1"/>
  <c r="J157" i="1"/>
  <c r="I157" i="1"/>
  <c r="L156" i="1"/>
  <c r="M156" i="1" s="1"/>
  <c r="K156" i="1"/>
  <c r="J156" i="1"/>
  <c r="I156" i="1"/>
  <c r="L155" i="1"/>
  <c r="M155" i="1" s="1"/>
  <c r="K155" i="1"/>
  <c r="J155" i="1"/>
  <c r="I155" i="1"/>
  <c r="L154" i="1"/>
  <c r="M154" i="1" s="1"/>
  <c r="K154" i="1"/>
  <c r="J154" i="1"/>
  <c r="I154" i="1"/>
  <c r="L153" i="1"/>
  <c r="M153" i="1" s="1"/>
  <c r="K153" i="1"/>
  <c r="J153" i="1"/>
  <c r="I153" i="1"/>
  <c r="L152" i="1"/>
  <c r="M152" i="1" s="1"/>
  <c r="K152" i="1"/>
  <c r="J152" i="1"/>
  <c r="I152" i="1"/>
  <c r="L151" i="1"/>
  <c r="M151" i="1" s="1"/>
  <c r="K151" i="1"/>
  <c r="J151" i="1"/>
  <c r="I151" i="1"/>
  <c r="M150" i="1"/>
  <c r="L150" i="1"/>
  <c r="K150" i="1"/>
  <c r="J150" i="1"/>
  <c r="I150" i="1"/>
  <c r="L149" i="1"/>
  <c r="M149" i="1" s="1"/>
  <c r="K149" i="1"/>
  <c r="J149" i="1"/>
  <c r="I149" i="1"/>
  <c r="L148" i="1"/>
  <c r="M148" i="1" s="1"/>
  <c r="K148" i="1"/>
  <c r="J148" i="1"/>
  <c r="I148" i="1"/>
  <c r="L147" i="1"/>
  <c r="M147" i="1" s="1"/>
  <c r="K147" i="1"/>
  <c r="J147" i="1"/>
  <c r="I147" i="1"/>
  <c r="L146" i="1"/>
  <c r="M146" i="1" s="1"/>
  <c r="K146" i="1"/>
  <c r="J146" i="1"/>
  <c r="I146" i="1"/>
  <c r="L145" i="1"/>
  <c r="M145" i="1" s="1"/>
  <c r="K145" i="1"/>
  <c r="J145" i="1"/>
  <c r="I145" i="1"/>
  <c r="L144" i="1"/>
  <c r="M144" i="1" s="1"/>
  <c r="K144" i="1"/>
  <c r="J144" i="1"/>
  <c r="I144" i="1"/>
  <c r="L143" i="1"/>
  <c r="M143" i="1" s="1"/>
  <c r="K143" i="1"/>
  <c r="J143" i="1"/>
  <c r="I143" i="1"/>
  <c r="L142" i="1"/>
  <c r="M142" i="1" s="1"/>
  <c r="K142" i="1"/>
  <c r="J142" i="1"/>
  <c r="I142" i="1"/>
  <c r="L141" i="1"/>
  <c r="M141" i="1" s="1"/>
  <c r="K141" i="1"/>
  <c r="J141" i="1"/>
  <c r="I141" i="1"/>
  <c r="L140" i="1"/>
  <c r="M140" i="1" s="1"/>
  <c r="K140" i="1"/>
  <c r="J140" i="1"/>
  <c r="I140" i="1"/>
  <c r="M139" i="1"/>
  <c r="L139" i="1"/>
  <c r="K139" i="1"/>
  <c r="J139" i="1"/>
  <c r="I139" i="1"/>
  <c r="L138" i="1"/>
  <c r="M138" i="1" s="1"/>
  <c r="K138" i="1"/>
  <c r="J138" i="1"/>
  <c r="I138" i="1"/>
  <c r="L137" i="1"/>
  <c r="M137" i="1" s="1"/>
  <c r="K137" i="1"/>
  <c r="J137" i="1"/>
  <c r="I137" i="1"/>
  <c r="L136" i="1"/>
  <c r="M136" i="1" s="1"/>
  <c r="K136" i="1"/>
  <c r="J136" i="1"/>
  <c r="I136" i="1"/>
  <c r="L135" i="1"/>
  <c r="M135" i="1" s="1"/>
  <c r="K135" i="1"/>
  <c r="J135" i="1"/>
  <c r="I135" i="1"/>
  <c r="L134" i="1"/>
  <c r="M134" i="1" s="1"/>
  <c r="K134" i="1"/>
  <c r="J134" i="1"/>
  <c r="I134" i="1"/>
  <c r="L133" i="1"/>
  <c r="M133" i="1" s="1"/>
  <c r="K133" i="1"/>
  <c r="J133" i="1"/>
  <c r="I133" i="1"/>
  <c r="L132" i="1"/>
  <c r="M132" i="1" s="1"/>
  <c r="K132" i="1"/>
  <c r="J132" i="1"/>
  <c r="I132" i="1"/>
  <c r="L131" i="1"/>
  <c r="M131" i="1" s="1"/>
  <c r="K131" i="1"/>
  <c r="J131" i="1"/>
  <c r="I131" i="1"/>
  <c r="L130" i="1"/>
  <c r="M130" i="1" s="1"/>
  <c r="K130" i="1"/>
  <c r="J130" i="1"/>
  <c r="I130" i="1"/>
  <c r="M129" i="1"/>
  <c r="L129" i="1"/>
  <c r="K129" i="1"/>
  <c r="J129" i="1"/>
  <c r="I129" i="1"/>
  <c r="L128" i="1"/>
  <c r="M128" i="1" s="1"/>
  <c r="K128" i="1"/>
  <c r="J128" i="1"/>
  <c r="I128" i="1"/>
  <c r="L127" i="1"/>
  <c r="M127" i="1" s="1"/>
  <c r="K127" i="1"/>
  <c r="J127" i="1"/>
  <c r="I127" i="1"/>
  <c r="L126" i="1"/>
  <c r="M126" i="1" s="1"/>
  <c r="K126" i="1"/>
  <c r="J126" i="1"/>
  <c r="I126" i="1"/>
  <c r="L125" i="1"/>
  <c r="M125" i="1" s="1"/>
  <c r="K125" i="1"/>
  <c r="J125" i="1"/>
  <c r="I125" i="1"/>
  <c r="L124" i="1"/>
  <c r="M124" i="1" s="1"/>
  <c r="K124" i="1"/>
  <c r="J124" i="1"/>
  <c r="I124" i="1"/>
  <c r="L123" i="1"/>
  <c r="M123" i="1" s="1"/>
  <c r="K123" i="1"/>
  <c r="J123" i="1"/>
  <c r="I123" i="1"/>
  <c r="L122" i="1"/>
  <c r="M122" i="1" s="1"/>
  <c r="K122" i="1"/>
  <c r="J122" i="1"/>
  <c r="I122" i="1"/>
  <c r="L121" i="1"/>
  <c r="M121" i="1" s="1"/>
  <c r="K121" i="1"/>
  <c r="J121" i="1"/>
  <c r="I121" i="1"/>
  <c r="L120" i="1"/>
  <c r="M120" i="1" s="1"/>
  <c r="K120" i="1"/>
  <c r="J120" i="1"/>
  <c r="I120" i="1"/>
  <c r="L119" i="1"/>
  <c r="M119" i="1" s="1"/>
  <c r="K119" i="1"/>
  <c r="J119" i="1"/>
  <c r="I119" i="1"/>
  <c r="M118" i="1"/>
  <c r="L118" i="1"/>
  <c r="K118" i="1"/>
  <c r="J118" i="1"/>
  <c r="I118" i="1"/>
  <c r="L117" i="1"/>
  <c r="M117" i="1" s="1"/>
  <c r="K117" i="1"/>
  <c r="J117" i="1"/>
  <c r="I117" i="1"/>
  <c r="L116" i="1"/>
  <c r="M116" i="1" s="1"/>
  <c r="K116" i="1"/>
  <c r="J116" i="1"/>
  <c r="I116" i="1"/>
  <c r="L115" i="1"/>
  <c r="M115" i="1" s="1"/>
  <c r="K115" i="1"/>
  <c r="J115" i="1"/>
  <c r="I115" i="1"/>
  <c r="L114" i="1"/>
  <c r="M114" i="1" s="1"/>
  <c r="K114" i="1"/>
  <c r="J114" i="1"/>
  <c r="I114" i="1"/>
  <c r="L113" i="1"/>
  <c r="M113" i="1" s="1"/>
  <c r="K113" i="1"/>
  <c r="J113" i="1"/>
  <c r="I113" i="1"/>
  <c r="L112" i="1"/>
  <c r="M112" i="1" s="1"/>
  <c r="K112" i="1"/>
  <c r="J112" i="1"/>
  <c r="I112" i="1"/>
  <c r="L111" i="1"/>
  <c r="M111" i="1" s="1"/>
  <c r="K111" i="1"/>
  <c r="J111" i="1"/>
  <c r="I111" i="1"/>
  <c r="L110" i="1"/>
  <c r="M110" i="1" s="1"/>
  <c r="K110" i="1"/>
  <c r="J110" i="1"/>
  <c r="I110" i="1"/>
  <c r="L109" i="1"/>
  <c r="M109" i="1" s="1"/>
  <c r="K109" i="1"/>
  <c r="J109" i="1"/>
  <c r="I109" i="1"/>
  <c r="L108" i="1"/>
  <c r="M108" i="1" s="1"/>
  <c r="K108" i="1"/>
  <c r="J108" i="1"/>
  <c r="I108" i="1"/>
  <c r="M107" i="1"/>
  <c r="L107" i="1"/>
  <c r="K107" i="1"/>
  <c r="J107" i="1"/>
  <c r="I107" i="1"/>
  <c r="L106" i="1"/>
  <c r="M106" i="1" s="1"/>
  <c r="K106" i="1"/>
  <c r="J106" i="1"/>
  <c r="I106" i="1"/>
  <c r="L105" i="1"/>
  <c r="M105" i="1" s="1"/>
  <c r="K105" i="1"/>
  <c r="J105" i="1"/>
  <c r="I105" i="1"/>
  <c r="L104" i="1"/>
  <c r="M104" i="1" s="1"/>
  <c r="K104" i="1"/>
  <c r="J104" i="1"/>
  <c r="I104" i="1"/>
  <c r="L103" i="1"/>
  <c r="M103" i="1" s="1"/>
  <c r="K103" i="1"/>
  <c r="J103" i="1"/>
  <c r="I103" i="1"/>
  <c r="L102" i="1"/>
  <c r="M102" i="1" s="1"/>
  <c r="K102" i="1"/>
  <c r="J102" i="1"/>
  <c r="I102" i="1"/>
  <c r="L101" i="1"/>
  <c r="M101" i="1" s="1"/>
  <c r="K101" i="1"/>
  <c r="J101" i="1"/>
  <c r="I101" i="1"/>
  <c r="L100" i="1"/>
  <c r="M100" i="1" s="1"/>
  <c r="K100" i="1"/>
  <c r="J100" i="1"/>
  <c r="I100" i="1"/>
  <c r="L99" i="1"/>
  <c r="M99" i="1" s="1"/>
  <c r="K99" i="1"/>
  <c r="J99" i="1"/>
  <c r="I99" i="1"/>
  <c r="L98" i="1"/>
  <c r="M98" i="1" s="1"/>
  <c r="K98" i="1"/>
  <c r="J98" i="1"/>
  <c r="I98" i="1"/>
  <c r="M97" i="1"/>
  <c r="L97" i="1"/>
  <c r="K97" i="1"/>
  <c r="J97" i="1"/>
  <c r="I97" i="1"/>
  <c r="L96" i="1"/>
  <c r="M96" i="1" s="1"/>
  <c r="K96" i="1"/>
  <c r="J96" i="1"/>
  <c r="I96" i="1"/>
  <c r="L95" i="1"/>
  <c r="M95" i="1" s="1"/>
  <c r="K95" i="1"/>
  <c r="J95" i="1"/>
  <c r="I95" i="1"/>
  <c r="L94" i="1"/>
  <c r="M94" i="1" s="1"/>
  <c r="K94" i="1"/>
  <c r="J94" i="1"/>
  <c r="I94" i="1"/>
  <c r="L93" i="1"/>
  <c r="M93" i="1" s="1"/>
  <c r="K93" i="1"/>
  <c r="J93" i="1"/>
  <c r="I93" i="1"/>
  <c r="L92" i="1"/>
  <c r="M92" i="1" s="1"/>
  <c r="K92" i="1"/>
  <c r="J92" i="1"/>
  <c r="I92" i="1"/>
  <c r="L91" i="1"/>
  <c r="M91" i="1" s="1"/>
  <c r="K91" i="1"/>
  <c r="J91" i="1"/>
  <c r="I91" i="1"/>
  <c r="L90" i="1"/>
  <c r="M90" i="1" s="1"/>
  <c r="K90" i="1"/>
  <c r="J90" i="1"/>
  <c r="I90" i="1"/>
  <c r="L89" i="1"/>
  <c r="M89" i="1" s="1"/>
  <c r="K89" i="1"/>
  <c r="J89" i="1"/>
  <c r="I89" i="1"/>
  <c r="L88" i="1"/>
  <c r="M88" i="1" s="1"/>
  <c r="K88" i="1"/>
  <c r="J88" i="1"/>
  <c r="I88" i="1"/>
  <c r="L87" i="1"/>
  <c r="M87" i="1" s="1"/>
  <c r="K87" i="1"/>
  <c r="J87" i="1"/>
  <c r="I87" i="1"/>
  <c r="M86" i="1"/>
  <c r="L86" i="1"/>
  <c r="K86" i="1"/>
  <c r="J86" i="1"/>
  <c r="I86" i="1"/>
  <c r="L85" i="1"/>
  <c r="M85" i="1" s="1"/>
  <c r="K85" i="1"/>
  <c r="J85" i="1"/>
  <c r="I85" i="1"/>
  <c r="L84" i="1"/>
  <c r="M84" i="1" s="1"/>
  <c r="K84" i="1"/>
  <c r="J84" i="1"/>
  <c r="I84" i="1"/>
  <c r="L83" i="1"/>
  <c r="M83" i="1" s="1"/>
  <c r="K83" i="1"/>
  <c r="J83" i="1"/>
  <c r="I83" i="1"/>
  <c r="L82" i="1"/>
  <c r="M82" i="1" s="1"/>
  <c r="K82" i="1"/>
  <c r="J82" i="1"/>
  <c r="I82" i="1"/>
  <c r="L81" i="1"/>
  <c r="M81" i="1" s="1"/>
  <c r="K81" i="1"/>
  <c r="J81" i="1"/>
  <c r="I81" i="1"/>
  <c r="L80" i="1"/>
  <c r="M80" i="1" s="1"/>
  <c r="K80" i="1"/>
  <c r="J80" i="1"/>
  <c r="I80" i="1"/>
  <c r="L79" i="1"/>
  <c r="M79" i="1" s="1"/>
  <c r="K79" i="1"/>
  <c r="J79" i="1"/>
  <c r="I79" i="1"/>
  <c r="L78" i="1"/>
  <c r="M78" i="1" s="1"/>
  <c r="K78" i="1"/>
  <c r="J78" i="1"/>
  <c r="I78" i="1"/>
  <c r="L77" i="1"/>
  <c r="M77" i="1" s="1"/>
  <c r="K77" i="1"/>
  <c r="J77" i="1"/>
  <c r="I77" i="1"/>
  <c r="L76" i="1"/>
  <c r="M76" i="1" s="1"/>
  <c r="K76" i="1"/>
  <c r="J76" i="1"/>
  <c r="I76" i="1"/>
  <c r="M75" i="1"/>
  <c r="L75" i="1"/>
  <c r="K75" i="1"/>
  <c r="J75" i="1"/>
  <c r="I75" i="1"/>
  <c r="L74" i="1"/>
  <c r="M74" i="1" s="1"/>
  <c r="K74" i="1"/>
  <c r="J74" i="1"/>
  <c r="I74" i="1"/>
  <c r="L73" i="1"/>
  <c r="M73" i="1" s="1"/>
  <c r="K73" i="1"/>
  <c r="J73" i="1"/>
  <c r="I73" i="1"/>
  <c r="L72" i="1"/>
  <c r="M72" i="1" s="1"/>
  <c r="K72" i="1"/>
  <c r="J72" i="1"/>
  <c r="I72" i="1"/>
  <c r="L71" i="1"/>
  <c r="M71" i="1" s="1"/>
  <c r="K71" i="1"/>
  <c r="J71" i="1"/>
  <c r="I71" i="1"/>
  <c r="L70" i="1"/>
  <c r="M70" i="1" s="1"/>
  <c r="K70" i="1"/>
  <c r="J70" i="1"/>
  <c r="I70" i="1"/>
  <c r="L69" i="1"/>
  <c r="M69" i="1" s="1"/>
  <c r="K69" i="1"/>
  <c r="J69" i="1"/>
  <c r="I69" i="1"/>
  <c r="L68" i="1"/>
  <c r="M68" i="1" s="1"/>
  <c r="K68" i="1"/>
  <c r="J68" i="1"/>
  <c r="I68" i="1"/>
  <c r="L67" i="1"/>
  <c r="M67" i="1" s="1"/>
  <c r="K67" i="1"/>
  <c r="J67" i="1"/>
  <c r="I67" i="1"/>
  <c r="L66" i="1"/>
  <c r="M66" i="1" s="1"/>
  <c r="K66" i="1"/>
  <c r="J66" i="1"/>
  <c r="I66" i="1"/>
  <c r="M65" i="1"/>
  <c r="L65" i="1"/>
  <c r="K65" i="1"/>
  <c r="J65" i="1"/>
  <c r="I65" i="1"/>
  <c r="L64" i="1"/>
  <c r="M64" i="1" s="1"/>
  <c r="K64" i="1"/>
  <c r="J64" i="1"/>
  <c r="I64" i="1"/>
  <c r="L63" i="1"/>
  <c r="M63" i="1" s="1"/>
  <c r="K63" i="1"/>
  <c r="J63" i="1"/>
  <c r="I63" i="1"/>
  <c r="L62" i="1"/>
  <c r="M62" i="1" s="1"/>
  <c r="K62" i="1"/>
  <c r="J62" i="1"/>
  <c r="I62" i="1"/>
  <c r="L61" i="1"/>
  <c r="M61" i="1" s="1"/>
  <c r="K61" i="1"/>
  <c r="J61" i="1"/>
  <c r="I61" i="1"/>
  <c r="L60" i="1"/>
  <c r="M60" i="1" s="1"/>
  <c r="K60" i="1"/>
  <c r="J60" i="1"/>
  <c r="I60" i="1"/>
  <c r="L59" i="1"/>
  <c r="M59" i="1" s="1"/>
  <c r="K59" i="1"/>
  <c r="J59" i="1"/>
  <c r="I59" i="1"/>
  <c r="L58" i="1"/>
  <c r="M58" i="1" s="1"/>
  <c r="K58" i="1"/>
  <c r="J58" i="1"/>
  <c r="I58" i="1"/>
  <c r="L57" i="1"/>
  <c r="M57" i="1" s="1"/>
  <c r="K57" i="1"/>
  <c r="J57" i="1"/>
  <c r="I57" i="1"/>
  <c r="L56" i="1"/>
  <c r="M56" i="1" s="1"/>
  <c r="K56" i="1"/>
  <c r="J56" i="1"/>
  <c r="I56" i="1"/>
  <c r="L55" i="1"/>
  <c r="M55" i="1" s="1"/>
  <c r="K55" i="1"/>
  <c r="J55" i="1"/>
  <c r="I55" i="1"/>
  <c r="M54" i="1"/>
  <c r="L54" i="1"/>
  <c r="K54" i="1"/>
  <c r="J54" i="1"/>
  <c r="I54" i="1"/>
  <c r="L53" i="1"/>
  <c r="M53" i="1" s="1"/>
  <c r="K53" i="1"/>
  <c r="J53" i="1"/>
  <c r="I53" i="1"/>
  <c r="L52" i="1"/>
  <c r="M52" i="1" s="1"/>
  <c r="K52" i="1"/>
  <c r="J52" i="1"/>
  <c r="I52" i="1"/>
  <c r="L51" i="1"/>
  <c r="M51" i="1" s="1"/>
  <c r="K51" i="1"/>
  <c r="J51" i="1"/>
  <c r="I51" i="1"/>
  <c r="L50" i="1"/>
  <c r="M50" i="1" s="1"/>
  <c r="K50" i="1"/>
  <c r="J50" i="1"/>
  <c r="I50" i="1"/>
  <c r="L49" i="1"/>
  <c r="M49" i="1" s="1"/>
  <c r="K49" i="1"/>
  <c r="J49" i="1"/>
  <c r="I49" i="1"/>
  <c r="L48" i="1"/>
  <c r="M48" i="1" s="1"/>
  <c r="K48" i="1"/>
  <c r="J48" i="1"/>
  <c r="I48" i="1"/>
  <c r="L47" i="1"/>
  <c r="M47" i="1" s="1"/>
  <c r="K47" i="1"/>
  <c r="J47" i="1"/>
  <c r="I47" i="1"/>
  <c r="L46" i="1"/>
  <c r="M46" i="1" s="1"/>
  <c r="K46" i="1"/>
  <c r="J46" i="1"/>
  <c r="I46" i="1"/>
  <c r="L45" i="1"/>
  <c r="M45" i="1" s="1"/>
  <c r="K45" i="1"/>
  <c r="J45" i="1"/>
  <c r="I45" i="1"/>
  <c r="L44" i="1"/>
  <c r="M44" i="1" s="1"/>
  <c r="K44" i="1"/>
  <c r="J44" i="1"/>
  <c r="I44" i="1"/>
  <c r="M43" i="1"/>
  <c r="L43" i="1"/>
  <c r="K43" i="1"/>
  <c r="J43" i="1"/>
  <c r="I43" i="1"/>
  <c r="L42" i="1"/>
  <c r="M42" i="1" s="1"/>
  <c r="K42" i="1"/>
  <c r="J42" i="1"/>
  <c r="I42" i="1"/>
  <c r="L41" i="1"/>
  <c r="M41" i="1" s="1"/>
  <c r="K41" i="1"/>
  <c r="J41" i="1"/>
  <c r="I41" i="1"/>
  <c r="L40" i="1"/>
  <c r="M40" i="1" s="1"/>
  <c r="K40" i="1"/>
  <c r="J40" i="1"/>
  <c r="I40" i="1"/>
  <c r="L39" i="1"/>
  <c r="M39" i="1" s="1"/>
  <c r="K39" i="1"/>
  <c r="J39" i="1"/>
  <c r="I39" i="1"/>
  <c r="L38" i="1"/>
  <c r="M38" i="1" s="1"/>
  <c r="K38" i="1"/>
  <c r="J38" i="1"/>
  <c r="I38" i="1"/>
  <c r="L37" i="1"/>
  <c r="M37" i="1" s="1"/>
  <c r="K37" i="1"/>
  <c r="J37" i="1"/>
  <c r="I37" i="1"/>
  <c r="L36" i="1"/>
  <c r="M36" i="1" s="1"/>
  <c r="K36" i="1"/>
  <c r="J36" i="1"/>
  <c r="I36" i="1"/>
  <c r="L35" i="1"/>
  <c r="M35" i="1" s="1"/>
  <c r="K35" i="1"/>
  <c r="J35" i="1"/>
  <c r="I35" i="1"/>
  <c r="L34" i="1"/>
  <c r="M34" i="1" s="1"/>
  <c r="K34" i="1"/>
  <c r="J34" i="1"/>
  <c r="I34" i="1"/>
  <c r="M33" i="1"/>
  <c r="L33" i="1"/>
  <c r="K33" i="1"/>
  <c r="J33" i="1"/>
  <c r="I33" i="1"/>
  <c r="L32" i="1"/>
  <c r="M32" i="1" s="1"/>
  <c r="K32" i="1"/>
  <c r="J32" i="1"/>
  <c r="I32" i="1"/>
  <c r="L31" i="1"/>
  <c r="M31" i="1" s="1"/>
  <c r="K31" i="1"/>
  <c r="J31" i="1"/>
  <c r="I31" i="1"/>
  <c r="L30" i="1"/>
  <c r="M30" i="1" s="1"/>
  <c r="K30" i="1"/>
  <c r="J30" i="1"/>
  <c r="I30" i="1"/>
  <c r="L29" i="1"/>
  <c r="M29" i="1" s="1"/>
  <c r="K29" i="1"/>
  <c r="J29" i="1"/>
  <c r="I29" i="1"/>
  <c r="L28" i="1"/>
  <c r="M28" i="1" s="1"/>
  <c r="K28" i="1"/>
  <c r="J28" i="1"/>
  <c r="I28" i="1"/>
  <c r="L27" i="1"/>
  <c r="M27" i="1" s="1"/>
  <c r="K27" i="1"/>
  <c r="J27" i="1"/>
  <c r="I27" i="1"/>
  <c r="L26" i="1"/>
  <c r="M26" i="1" s="1"/>
  <c r="K26" i="1"/>
  <c r="J26" i="1"/>
  <c r="I26" i="1"/>
  <c r="L25" i="1"/>
  <c r="M25" i="1" s="1"/>
  <c r="K25" i="1"/>
  <c r="J25" i="1"/>
  <c r="I25" i="1"/>
  <c r="L24" i="1"/>
  <c r="M24" i="1" s="1"/>
  <c r="K24" i="1"/>
  <c r="J24" i="1"/>
  <c r="I24" i="1"/>
  <c r="L23" i="1"/>
  <c r="M23" i="1" s="1"/>
  <c r="K23" i="1"/>
  <c r="J23" i="1"/>
  <c r="I23" i="1"/>
  <c r="M22" i="1"/>
  <c r="L22" i="1"/>
  <c r="K22" i="1"/>
  <c r="J22" i="1"/>
  <c r="I22" i="1"/>
  <c r="L21" i="1"/>
  <c r="M21" i="1" s="1"/>
  <c r="K21" i="1"/>
  <c r="J21" i="1"/>
  <c r="I21" i="1"/>
  <c r="L20" i="1"/>
  <c r="M20" i="1" s="1"/>
  <c r="K20" i="1"/>
  <c r="J20" i="1"/>
  <c r="I20" i="1"/>
  <c r="L19" i="1"/>
  <c r="M19" i="1" s="1"/>
  <c r="K19" i="1"/>
  <c r="J19" i="1"/>
  <c r="I19" i="1"/>
  <c r="L18" i="1"/>
  <c r="M18" i="1" s="1"/>
  <c r="K18" i="1"/>
  <c r="J18" i="1"/>
  <c r="I18" i="1"/>
  <c r="L17" i="1"/>
  <c r="M17" i="1" s="1"/>
  <c r="K17" i="1"/>
  <c r="J17" i="1"/>
  <c r="I17" i="1"/>
  <c r="L16" i="1"/>
  <c r="M16" i="1" s="1"/>
  <c r="K16" i="1"/>
  <c r="J16" i="1"/>
  <c r="I16" i="1"/>
  <c r="L15" i="1"/>
  <c r="M15" i="1" s="1"/>
  <c r="K15" i="1"/>
  <c r="J15" i="1"/>
  <c r="I15" i="1"/>
  <c r="L14" i="1"/>
  <c r="M14" i="1" s="1"/>
  <c r="K14" i="1"/>
  <c r="J14" i="1"/>
  <c r="I14" i="1"/>
  <c r="L13" i="1"/>
  <c r="M13" i="1" s="1"/>
  <c r="K13" i="1"/>
  <c r="J13" i="1"/>
  <c r="I13" i="1"/>
  <c r="L12" i="1"/>
  <c r="M12" i="1" s="1"/>
  <c r="K12" i="1"/>
  <c r="J12" i="1"/>
  <c r="I12" i="1"/>
  <c r="M11" i="1"/>
  <c r="L11" i="1"/>
  <c r="K11" i="1"/>
  <c r="J11" i="1"/>
  <c r="I11" i="1"/>
  <c r="L10" i="1"/>
  <c r="M10" i="1" s="1"/>
  <c r="K10" i="1"/>
  <c r="J10" i="1"/>
  <c r="I10" i="1"/>
  <c r="L9" i="1"/>
  <c r="M9" i="1" s="1"/>
  <c r="K9" i="1"/>
  <c r="J9" i="1"/>
  <c r="I9" i="1"/>
  <c r="L8" i="1"/>
  <c r="M8" i="1" s="1"/>
  <c r="K8" i="1"/>
  <c r="J8" i="1"/>
  <c r="I8" i="1"/>
  <c r="L7" i="1"/>
  <c r="M7" i="1" s="1"/>
  <c r="K7" i="1"/>
  <c r="J7" i="1"/>
  <c r="I7" i="1"/>
  <c r="L6" i="1"/>
  <c r="M6" i="1" s="1"/>
  <c r="K6" i="1"/>
  <c r="J6" i="1"/>
  <c r="I6" i="1"/>
  <c r="L5" i="1"/>
  <c r="M5" i="1" s="1"/>
  <c r="K5" i="1"/>
  <c r="J5" i="1"/>
  <c r="I5" i="1"/>
  <c r="L4" i="1"/>
  <c r="M4" i="1" s="1"/>
  <c r="K4" i="1"/>
  <c r="J4" i="1"/>
  <c r="I4" i="1"/>
  <c r="L3" i="1"/>
  <c r="M3" i="1" s="1"/>
  <c r="K3" i="1"/>
  <c r="J3" i="1"/>
  <c r="I3" i="1"/>
  <c r="L2" i="1"/>
  <c r="M2" i="1" s="1"/>
  <c r="K2" i="1"/>
  <c r="J2" i="1"/>
  <c r="I2" i="1"/>
</calcChain>
</file>

<file path=xl/sharedStrings.xml><?xml version="1.0" encoding="utf-8"?>
<sst xmlns="http://schemas.openxmlformats.org/spreadsheetml/2006/main" count="19684" uniqueCount="3947">
  <si>
    <t>1J04 WTT</t>
  </si>
  <si>
    <t>0126½ (0127)</t>
  </si>
  <si>
    <t>0130½ (0130)</t>
  </si>
  <si>
    <t>SE</t>
  </si>
  <si>
    <t>1J06 WTT</t>
  </si>
  <si>
    <t>0132½ (0133)</t>
  </si>
  <si>
    <t>0136½ (0136)</t>
  </si>
  <si>
    <t>1L05 WTT</t>
  </si>
  <si>
    <t>0134 (0134)</t>
  </si>
  <si>
    <t>0138 (0138)</t>
  </si>
  <si>
    <t>1J34 WTT</t>
  </si>
  <si>
    <t>0142 (0142)</t>
  </si>
  <si>
    <t>1H05 WTT</t>
  </si>
  <si>
    <t>0146 (0146)</t>
  </si>
  <si>
    <t>1J36 WTT</t>
  </si>
  <si>
    <t>0144 (0144)</t>
  </si>
  <si>
    <t>0148 (0148)</t>
  </si>
  <si>
    <t>1F06 WTT</t>
  </si>
  <si>
    <t>0150 (0150)</t>
  </si>
  <si>
    <t>Faversham</t>
  </si>
  <si>
    <t>0154 (0154)</t>
  </si>
  <si>
    <t>1F08 WTT</t>
  </si>
  <si>
    <t>0200½ (0201)</t>
  </si>
  <si>
    <t>0204½ (0204)</t>
  </si>
  <si>
    <t>1N02 WTT</t>
  </si>
  <si>
    <t>0208 (0208)</t>
  </si>
  <si>
    <t>1N01 WTT</t>
  </si>
  <si>
    <t>0216 (0216)</t>
  </si>
  <si>
    <t>1N04 WTT</t>
  </si>
  <si>
    <t>0238 (0238)</t>
  </si>
  <si>
    <t>1N03 WTT</t>
  </si>
  <si>
    <t>0246 (0246)</t>
  </si>
  <si>
    <t>1N06 WTT</t>
  </si>
  <si>
    <t>0308 (0308)</t>
  </si>
  <si>
    <t>1N05 WTT</t>
  </si>
  <si>
    <t>0316 (0316)</t>
  </si>
  <si>
    <t>1N08 WTT</t>
  </si>
  <si>
    <t>0338 (0338)</t>
  </si>
  <si>
    <t>1N07 WTT</t>
  </si>
  <si>
    <t>0346 (0346)</t>
  </si>
  <si>
    <t>1N10 WTT</t>
  </si>
  <si>
    <t>0408 (0408)</t>
  </si>
  <si>
    <t>1N09 WTT</t>
  </si>
  <si>
    <t>0416 (0416)</t>
  </si>
  <si>
    <t>1N12 WTT</t>
  </si>
  <si>
    <t>0438 (0438)</t>
  </si>
  <si>
    <t>1N11 WTT</t>
  </si>
  <si>
    <t>0446 (0446)</t>
  </si>
  <si>
    <t>1N14 WTT</t>
  </si>
  <si>
    <t>0508 (0508)</t>
  </si>
  <si>
    <t>1N13 WTT</t>
  </si>
  <si>
    <t>0516 (0516)</t>
  </si>
  <si>
    <t>1J08 WTT</t>
  </si>
  <si>
    <t>0538 (0538)</t>
  </si>
  <si>
    <t>0542 (0542)</t>
  </si>
  <si>
    <t>1J03 WTT</t>
  </si>
  <si>
    <t>0543½ (0544)</t>
  </si>
  <si>
    <t>0544½ (0544)</t>
  </si>
  <si>
    <t>1L06 WTT</t>
  </si>
  <si>
    <t>0610 (0610)</t>
  </si>
  <si>
    <t>0614 (0614)</t>
  </si>
  <si>
    <t>1J05 WTT</t>
  </si>
  <si>
    <t>Ramsgate</t>
  </si>
  <si>
    <t>0617 (0617)</t>
  </si>
  <si>
    <t>1F07 WTT</t>
  </si>
  <si>
    <t>0633 (0633)</t>
  </si>
  <si>
    <t>Broadstairs</t>
  </si>
  <si>
    <t>0637 (0637)</t>
  </si>
  <si>
    <t>1H06 WTT</t>
  </si>
  <si>
    <t>0638 (0638)</t>
  </si>
  <si>
    <t>0642 (0642)</t>
  </si>
  <si>
    <t>1J07 WTT</t>
  </si>
  <si>
    <t>0644½ (0645)</t>
  </si>
  <si>
    <t>0648½ (0648)</t>
  </si>
  <si>
    <t>1L07 WTT</t>
  </si>
  <si>
    <t>0651 (0651)</t>
  </si>
  <si>
    <t>0655 (0655)</t>
  </si>
  <si>
    <t>1F09 WTT</t>
  </si>
  <si>
    <t>0659 (0659)</t>
  </si>
  <si>
    <t>0700 (0700)</t>
  </si>
  <si>
    <t>1H08 WTT</t>
  </si>
  <si>
    <t>0703 (0703)</t>
  </si>
  <si>
    <t>1J01 WTT</t>
  </si>
  <si>
    <t>0704 (0704)</t>
  </si>
  <si>
    <t>Margate</t>
  </si>
  <si>
    <t>0708 (0708)</t>
  </si>
  <si>
    <t>1J10 WTT</t>
  </si>
  <si>
    <t>0710 (0710)</t>
  </si>
  <si>
    <t>0714 (0714)</t>
  </si>
  <si>
    <t>1H07 WTT</t>
  </si>
  <si>
    <t>0712 (0712)</t>
  </si>
  <si>
    <t>0716 (0716)</t>
  </si>
  <si>
    <t>1H10 WTT</t>
  </si>
  <si>
    <t>0717 (0717)</t>
  </si>
  <si>
    <t>0721 (0721)</t>
  </si>
  <si>
    <t>1J09 WTT</t>
  </si>
  <si>
    <t>0719 (0719)</t>
  </si>
  <si>
    <t>0723 (0723)</t>
  </si>
  <si>
    <t>1F10 WTT</t>
  </si>
  <si>
    <t>0724 (0724)</t>
  </si>
  <si>
    <t>0728 (0728)</t>
  </si>
  <si>
    <t>1F11 WTT</t>
  </si>
  <si>
    <t>0729 (0729)</t>
  </si>
  <si>
    <t>0731 (0731)</t>
  </si>
  <si>
    <t>1L10 WTT</t>
  </si>
  <si>
    <t>0735 (0735)</t>
  </si>
  <si>
    <t>1H09 WTT</t>
  </si>
  <si>
    <t>0737 (0737)</t>
  </si>
  <si>
    <t>1F12 WTT</t>
  </si>
  <si>
    <t>0738 (0738)</t>
  </si>
  <si>
    <t>0742 (0742)</t>
  </si>
  <si>
    <t>1J11 WTT</t>
  </si>
  <si>
    <t>0744½ (0745)</t>
  </si>
  <si>
    <t>0748½ (0748)</t>
  </si>
  <si>
    <t>1J12 WTT</t>
  </si>
  <si>
    <t>0745 (0745)</t>
  </si>
  <si>
    <t>0749 (0749)</t>
  </si>
  <si>
    <t>1H11 WTT</t>
  </si>
  <si>
    <t>0751 (0751)</t>
  </si>
  <si>
    <t>0755 (0755)</t>
  </si>
  <si>
    <t>1L12 WTT</t>
  </si>
  <si>
    <t>0752 (0752)</t>
  </si>
  <si>
    <t>0756 (0756)</t>
  </si>
  <si>
    <t>1F13 WTT</t>
  </si>
  <si>
    <t>0759 (0759)</t>
  </si>
  <si>
    <t>0803 (0803)</t>
  </si>
  <si>
    <t>1H12 WTT</t>
  </si>
  <si>
    <t>1L13 WTT</t>
  </si>
  <si>
    <t>0805 (0805)</t>
  </si>
  <si>
    <t>0809 (0809)</t>
  </si>
  <si>
    <t>1J14 WTT</t>
  </si>
  <si>
    <t>0810 (0810)</t>
  </si>
  <si>
    <t>0814 (0814)</t>
  </si>
  <si>
    <t>1H13 WTT</t>
  </si>
  <si>
    <t>0812 (0812)</t>
  </si>
  <si>
    <t>0816 (0816)</t>
  </si>
  <si>
    <t>1H14 WTT</t>
  </si>
  <si>
    <t>0817 (0817)</t>
  </si>
  <si>
    <t>0821 (0821)</t>
  </si>
  <si>
    <t>1J13 WTT</t>
  </si>
  <si>
    <t>0819 (0819)</t>
  </si>
  <si>
    <t>0823 (0823)</t>
  </si>
  <si>
    <t>1F14 WTT</t>
  </si>
  <si>
    <t>0824 (0824)</t>
  </si>
  <si>
    <t>0828 (0828)</t>
  </si>
  <si>
    <t>1L15 WTT</t>
  </si>
  <si>
    <t>0826 (0826)</t>
  </si>
  <si>
    <t>0830 (0830)</t>
  </si>
  <si>
    <t>1L14 WTT</t>
  </si>
  <si>
    <t>0831 (0831)</t>
  </si>
  <si>
    <t>0835 (0835)</t>
  </si>
  <si>
    <t>1F15 WTT</t>
  </si>
  <si>
    <t>0833 (0833)</t>
  </si>
  <si>
    <t>0837 (0837)</t>
  </si>
  <si>
    <t>1F16 WTT</t>
  </si>
  <si>
    <t>0838 (0838)</t>
  </si>
  <si>
    <t>0842 (0842)</t>
  </si>
  <si>
    <t>1J15 WTT</t>
  </si>
  <si>
    <t>0844½ (0845)</t>
  </si>
  <si>
    <t>0848½ (0848)</t>
  </si>
  <si>
    <t>1J16 WTT</t>
  </si>
  <si>
    <t>0845 (0845)</t>
  </si>
  <si>
    <t>0849 (0849)</t>
  </si>
  <si>
    <t>1H15 WTT</t>
  </si>
  <si>
    <t>0851 (0851)</t>
  </si>
  <si>
    <t>0855 (0855)</t>
  </si>
  <si>
    <t>1L16 WTT</t>
  </si>
  <si>
    <t>0852 (0852)</t>
  </si>
  <si>
    <t>0856 (0856)</t>
  </si>
  <si>
    <t>1F17 WTT</t>
  </si>
  <si>
    <t>0858 (0858)</t>
  </si>
  <si>
    <t>0902 (0902)</t>
  </si>
  <si>
    <t>1H16 WTT</t>
  </si>
  <si>
    <t>0859 (0859)</t>
  </si>
  <si>
    <t>0903 (0903)</t>
  </si>
  <si>
    <t>ID</t>
  </si>
  <si>
    <t>ARRTIME</t>
  </si>
  <si>
    <t>DEPTIME</t>
  </si>
  <si>
    <t>TOC</t>
  </si>
  <si>
    <t>PLAT&amp;LINE</t>
  </si>
  <si>
    <t>1H89 WTT</t>
  </si>
  <si>
    <t>0026 (0026)</t>
  </si>
  <si>
    <t>0030 (0030)</t>
  </si>
  <si>
    <t>1L92 WTT</t>
  </si>
  <si>
    <t>0026½ (0027)</t>
  </si>
  <si>
    <t>0030½ (0030)</t>
  </si>
  <si>
    <t>1H91 WTT</t>
  </si>
  <si>
    <t>0031 (0031)</t>
  </si>
  <si>
    <t>0035 (0035)</t>
  </si>
  <si>
    <t>1H92 WTT</t>
  </si>
  <si>
    <t>0032½ (0033)</t>
  </si>
  <si>
    <t>0036½ (0036)</t>
  </si>
  <si>
    <t>1L91 WTT</t>
  </si>
  <si>
    <t>0040 (0040)</t>
  </si>
  <si>
    <t>1L94 WTT</t>
  </si>
  <si>
    <t>0038 (0038)</t>
  </si>
  <si>
    <t>0042 (0042)</t>
  </si>
  <si>
    <t>1H93 WTT</t>
  </si>
  <si>
    <t>0041 (0041)</t>
  </si>
  <si>
    <t>0045 (0045)</t>
  </si>
  <si>
    <t>1H94 WTT</t>
  </si>
  <si>
    <t>0046 (0046)</t>
  </si>
  <si>
    <t>1L93 WTT</t>
  </si>
  <si>
    <t>0050 (0050)</t>
  </si>
  <si>
    <t>1J94 WTT</t>
  </si>
  <si>
    <t>0046½ (0047)</t>
  </si>
  <si>
    <t>0050½ (0050)</t>
  </si>
  <si>
    <t>1L95 WTT</t>
  </si>
  <si>
    <t>0051 (0051)</t>
  </si>
  <si>
    <t>0055 (0055)</t>
  </si>
  <si>
    <t>1L98 WTT</t>
  </si>
  <si>
    <t>0053 (0053)</t>
  </si>
  <si>
    <t>0057 (0057)</t>
  </si>
  <si>
    <t>1H95 WTT</t>
  </si>
  <si>
    <t>0056 (0056)</t>
  </si>
  <si>
    <t>0100 (0100)</t>
  </si>
  <si>
    <t>1L00 WTT</t>
  </si>
  <si>
    <t>0056½ (0057)</t>
  </si>
  <si>
    <t>0100½ (0100)</t>
  </si>
  <si>
    <t>1L97 WTT</t>
  </si>
  <si>
    <t>0101 (0101)</t>
  </si>
  <si>
    <t>0105 (0105)</t>
  </si>
  <si>
    <t>1J96 WTT</t>
  </si>
  <si>
    <t>0102½ (0103)</t>
  </si>
  <si>
    <t>0106½ (0106)</t>
  </si>
  <si>
    <t>1H97 WTT</t>
  </si>
  <si>
    <t>0106 (0106)</t>
  </si>
  <si>
    <t>0110 (0110)</t>
  </si>
  <si>
    <t>1H98 WTT</t>
  </si>
  <si>
    <t>0108 (0108)</t>
  </si>
  <si>
    <t>0112 (0112)</t>
  </si>
  <si>
    <t>1L01 WTT</t>
  </si>
  <si>
    <t>0116 (0116)</t>
  </si>
  <si>
    <t>1J98 WTT</t>
  </si>
  <si>
    <t>1J02 WTT</t>
  </si>
  <si>
    <t>0116½ (0117)</t>
  </si>
  <si>
    <t>0120½ (0120)</t>
  </si>
  <si>
    <t>1H03 WTT</t>
  </si>
  <si>
    <t>0118 (0118)</t>
  </si>
  <si>
    <t>0122 (0122)</t>
  </si>
  <si>
    <t>1F02 WTT</t>
  </si>
  <si>
    <t>0122½ (0123)</t>
  </si>
  <si>
    <t>0126½ (0126)</t>
  </si>
  <si>
    <t>1L03 WTT</t>
  </si>
  <si>
    <t>0125 (0125)</t>
  </si>
  <si>
    <t>0129 (0129)</t>
  </si>
  <si>
    <t>1H86 WTT</t>
  </si>
  <si>
    <t>2357 (2357)</t>
  </si>
  <si>
    <t>0001 (0001)</t>
  </si>
  <si>
    <t>1L85 WTT</t>
  </si>
  <si>
    <t>0005 (0005)</t>
  </si>
  <si>
    <t>1L86 WTT</t>
  </si>
  <si>
    <t>0001½ (0002)</t>
  </si>
  <si>
    <t>0005½ (0005)</t>
  </si>
  <si>
    <t>1H85 WTT</t>
  </si>
  <si>
    <t>0010 (0010)</t>
  </si>
  <si>
    <t>1H88 WTT</t>
  </si>
  <si>
    <t>0008 (0008)</t>
  </si>
  <si>
    <t>0012 (0012)</t>
  </si>
  <si>
    <t>1H87 WTT</t>
  </si>
  <si>
    <t>0011 (0011)</t>
  </si>
  <si>
    <t>0015 (0015)</t>
  </si>
  <si>
    <t>1L88 WTT</t>
  </si>
  <si>
    <t>0016 (0016)</t>
  </si>
  <si>
    <t>1L87 WTT</t>
  </si>
  <si>
    <t>0020 (0020)</t>
  </si>
  <si>
    <t>1L90 WTT</t>
  </si>
  <si>
    <t>0016½ (0017)</t>
  </si>
  <si>
    <t>0020½ (0020)</t>
  </si>
  <si>
    <t>1L89 WTT</t>
  </si>
  <si>
    <t>0021 (0021)</t>
  </si>
  <si>
    <t>0025 (0025)</t>
  </si>
  <si>
    <t>1H90 WTT</t>
  </si>
  <si>
    <t>0023 (0023)</t>
  </si>
  <si>
    <t>0027 (0027)</t>
  </si>
  <si>
    <t>1L17 WTT</t>
  </si>
  <si>
    <t>0905 (0905)</t>
  </si>
  <si>
    <t>0909 (0909)</t>
  </si>
  <si>
    <t>1J18 WTT</t>
  </si>
  <si>
    <t>0910 (0910)</t>
  </si>
  <si>
    <t>0914 (0914)</t>
  </si>
  <si>
    <t>1H17 WTT</t>
  </si>
  <si>
    <t>0912 (0912)</t>
  </si>
  <si>
    <t>0916 (0916)</t>
  </si>
  <si>
    <t>1H18 WTT</t>
  </si>
  <si>
    <t>0917 (0917)</t>
  </si>
  <si>
    <t>0921 (0921)</t>
  </si>
  <si>
    <t>1J17 WTT</t>
  </si>
  <si>
    <t>0919 (0919)</t>
  </si>
  <si>
    <t>0923 (0923)</t>
  </si>
  <si>
    <t>1F18 WTT</t>
  </si>
  <si>
    <t>0924 (0924)</t>
  </si>
  <si>
    <t>0928 (0928)</t>
  </si>
  <si>
    <t>1L19 WTT</t>
  </si>
  <si>
    <t>0926 (0926)</t>
  </si>
  <si>
    <t>0930 (0930)</t>
  </si>
  <si>
    <t>1L18 WTT</t>
  </si>
  <si>
    <t>0931 (0931)</t>
  </si>
  <si>
    <t>0935 (0935)</t>
  </si>
  <si>
    <t>1F19 WTT</t>
  </si>
  <si>
    <t>0933 (0933)</t>
  </si>
  <si>
    <t>0937 (0937)</t>
  </si>
  <si>
    <t>1F20 WTT</t>
  </si>
  <si>
    <t>0938 (0938)</t>
  </si>
  <si>
    <t>0942 (0942)</t>
  </si>
  <si>
    <t>1J19 WTT</t>
  </si>
  <si>
    <t>0944½ (0945)</t>
  </si>
  <si>
    <t>0948½ (0948)</t>
  </si>
  <si>
    <t>1J20 WTT</t>
  </si>
  <si>
    <t>0945 (0945)</t>
  </si>
  <si>
    <t>0949 (0949)</t>
  </si>
  <si>
    <t>1H19 WTT</t>
  </si>
  <si>
    <t>0951 (0951)</t>
  </si>
  <si>
    <t>0955 (0955)</t>
  </si>
  <si>
    <t>1L20 WTT</t>
  </si>
  <si>
    <t>0952 (0952)</t>
  </si>
  <si>
    <t>0956 (0956)</t>
  </si>
  <si>
    <t>1F21 WTT</t>
  </si>
  <si>
    <t>0958 (0958)</t>
  </si>
  <si>
    <t>1002 (1002)</t>
  </si>
  <si>
    <t>1H20 WTT</t>
  </si>
  <si>
    <t>0959 (0959)</t>
  </si>
  <si>
    <t>1003 (1003)</t>
  </si>
  <si>
    <t>1L21 WTT</t>
  </si>
  <si>
    <t>1005 (1005)</t>
  </si>
  <si>
    <t>1009 (1009)</t>
  </si>
  <si>
    <t>1J22 WTT</t>
  </si>
  <si>
    <t>1010 (1010)</t>
  </si>
  <si>
    <t>1014 (1014)</t>
  </si>
  <si>
    <t>1H21 WTT</t>
  </si>
  <si>
    <t>1012 (1012)</t>
  </si>
  <si>
    <t>1016 (1016)</t>
  </si>
  <si>
    <t>1H22 WTT</t>
  </si>
  <si>
    <t>1017 (1017)</t>
  </si>
  <si>
    <t>1021 (1021)</t>
  </si>
  <si>
    <t>1J21 WTT</t>
  </si>
  <si>
    <t>1019 (1019)</t>
  </si>
  <si>
    <t>1023 (1023)</t>
  </si>
  <si>
    <t>1F22 WTT</t>
  </si>
  <si>
    <t>1024 (1024)</t>
  </si>
  <si>
    <t>1028 (1028)</t>
  </si>
  <si>
    <t>1L23 WTT</t>
  </si>
  <si>
    <t>1026 (1026)</t>
  </si>
  <si>
    <t>1030 (1030)</t>
  </si>
  <si>
    <t>1L22 WTT</t>
  </si>
  <si>
    <t>1031 (1031)</t>
  </si>
  <si>
    <t>1035 (1035)</t>
  </si>
  <si>
    <t>1F23 WTT</t>
  </si>
  <si>
    <t>1033 (1033)</t>
  </si>
  <si>
    <t>1037 (1037)</t>
  </si>
  <si>
    <t>1F24 WTT</t>
  </si>
  <si>
    <t>1038 (1038)</t>
  </si>
  <si>
    <t>1042 (1042)</t>
  </si>
  <si>
    <t>1J23 WTT</t>
  </si>
  <si>
    <t>1044½ (1045)</t>
  </si>
  <si>
    <t>1048½ (1048)</t>
  </si>
  <si>
    <t>1J24 WTT</t>
  </si>
  <si>
    <t>1045 (1045)</t>
  </si>
  <si>
    <t>1049 (1049)</t>
  </si>
  <si>
    <t>1H23 WTT</t>
  </si>
  <si>
    <t>1051 (1051)</t>
  </si>
  <si>
    <t>1055 (1055)</t>
  </si>
  <si>
    <t>1L24 WTT</t>
  </si>
  <si>
    <t>1052 (1052)</t>
  </si>
  <si>
    <t>1056 (1056)</t>
  </si>
  <si>
    <t>1F25 WTT</t>
  </si>
  <si>
    <t>1058 (1058)</t>
  </si>
  <si>
    <t>1102 (1102)</t>
  </si>
  <si>
    <t>1H24 WTT</t>
  </si>
  <si>
    <t>1059 (1059)</t>
  </si>
  <si>
    <t>1103 (1103)</t>
  </si>
  <si>
    <t>1L25 WTT</t>
  </si>
  <si>
    <t>1105 (1105)</t>
  </si>
  <si>
    <t>1109 (1109)</t>
  </si>
  <si>
    <t>1J26 WTT</t>
  </si>
  <si>
    <t>1110 (1110)</t>
  </si>
  <si>
    <t>1114 (1114)</t>
  </si>
  <si>
    <t>1H25 WTT</t>
  </si>
  <si>
    <t>1112 (1112)</t>
  </si>
  <si>
    <t>1116 (1116)</t>
  </si>
  <si>
    <t>1H26 WTT</t>
  </si>
  <si>
    <t>1117 (1117)</t>
  </si>
  <si>
    <t>1121 (1121)</t>
  </si>
  <si>
    <t>1J25 WTT</t>
  </si>
  <si>
    <t>1119 (1119)</t>
  </si>
  <si>
    <t>1123 (1123)</t>
  </si>
  <si>
    <t>1F26 WTT</t>
  </si>
  <si>
    <t>1124 (1124)</t>
  </si>
  <si>
    <t>1128 (1128)</t>
  </si>
  <si>
    <t>1L27 WTT</t>
  </si>
  <si>
    <t>1126 (1126)</t>
  </si>
  <si>
    <t>1130 (1130)</t>
  </si>
  <si>
    <t>1L26 WTT</t>
  </si>
  <si>
    <t>1131 (1131)</t>
  </si>
  <si>
    <t>1135 (1135)</t>
  </si>
  <si>
    <t>1F27 WTT</t>
  </si>
  <si>
    <t>1133 (1133)</t>
  </si>
  <si>
    <t>1137 (1137)</t>
  </si>
  <si>
    <t>1F28 WTT</t>
  </si>
  <si>
    <t>1138 (1138)</t>
  </si>
  <si>
    <t>1142 (1142)</t>
  </si>
  <si>
    <t>1J27 WTT</t>
  </si>
  <si>
    <t>1144½ (1145)</t>
  </si>
  <si>
    <t>1148½ (1148)</t>
  </si>
  <si>
    <t>1J28 WTT</t>
  </si>
  <si>
    <t>1145 (1145)</t>
  </si>
  <si>
    <t>1149 (1149)</t>
  </si>
  <si>
    <t>1H27 WTT</t>
  </si>
  <si>
    <t>1151 (1151)</t>
  </si>
  <si>
    <t>1155 (1155)</t>
  </si>
  <si>
    <t>1L28 WTT</t>
  </si>
  <si>
    <t>1152 (1152)</t>
  </si>
  <si>
    <t>1156 (1156)</t>
  </si>
  <si>
    <t>1F29 WTT</t>
  </si>
  <si>
    <t>1158 (1158)</t>
  </si>
  <si>
    <t>1202 (1202)</t>
  </si>
  <si>
    <t>1H28 WTT</t>
  </si>
  <si>
    <t>1159 (1159)</t>
  </si>
  <si>
    <t>1203 (1203)</t>
  </si>
  <si>
    <t>1L29 WTT</t>
  </si>
  <si>
    <t>1205 (1205)</t>
  </si>
  <si>
    <t>1209 (1209)</t>
  </si>
  <si>
    <t>1J30 WTT</t>
  </si>
  <si>
    <t>1210 (1210)</t>
  </si>
  <si>
    <t>1214 (1214)</t>
  </si>
  <si>
    <t>1H29 WTT</t>
  </si>
  <si>
    <t>1212 (1212)</t>
  </si>
  <si>
    <t>1216 (1216)</t>
  </si>
  <si>
    <t>1H30 WTT</t>
  </si>
  <si>
    <t>1217 (1217)</t>
  </si>
  <si>
    <t>1221 (1221)</t>
  </si>
  <si>
    <t>1J29 WTT</t>
  </si>
  <si>
    <t>1219 (1219)</t>
  </si>
  <si>
    <t>1223 (1223)</t>
  </si>
  <si>
    <t>1F30 WTT</t>
  </si>
  <si>
    <t>1224 (1224)</t>
  </si>
  <si>
    <t>1228 (1228)</t>
  </si>
  <si>
    <t>1L31 WTT</t>
  </si>
  <si>
    <t>1226 (1226)</t>
  </si>
  <si>
    <t>1230 (1230)</t>
  </si>
  <si>
    <t>1L30 WTT</t>
  </si>
  <si>
    <t>1231 (1231)</t>
  </si>
  <si>
    <t>1235 (1235)</t>
  </si>
  <si>
    <t>1F31 WTT</t>
  </si>
  <si>
    <t>1233 (1233)</t>
  </si>
  <si>
    <t>1237 (1237)</t>
  </si>
  <si>
    <t>1F32 WTT</t>
  </si>
  <si>
    <t>1238 (1238)</t>
  </si>
  <si>
    <t>1242 (1242)</t>
  </si>
  <si>
    <t>1J31 WTT</t>
  </si>
  <si>
    <t>1244½ (1245)</t>
  </si>
  <si>
    <t>1248½ (1248)</t>
  </si>
  <si>
    <t>1J32 WTT</t>
  </si>
  <si>
    <t>1245 (1245)</t>
  </si>
  <si>
    <t>1249 (1249)</t>
  </si>
  <si>
    <t>1H31 WTT</t>
  </si>
  <si>
    <t>1251 (1251)</t>
  </si>
  <si>
    <t>1255 (1255)</t>
  </si>
  <si>
    <t>1L32 WTT</t>
  </si>
  <si>
    <t>1252 (1252)</t>
  </si>
  <si>
    <t>1256 (1256)</t>
  </si>
  <si>
    <t>1F33 WTT</t>
  </si>
  <si>
    <t>1258 (1258)</t>
  </si>
  <si>
    <t>1302 (1302)</t>
  </si>
  <si>
    <t>1H32 WTT</t>
  </si>
  <si>
    <t>1259 (1259)</t>
  </si>
  <si>
    <t>1303 (1303)</t>
  </si>
  <si>
    <t>1L33 WTT</t>
  </si>
  <si>
    <t>1305 (1305)</t>
  </si>
  <si>
    <t>1309 (1309)</t>
  </si>
  <si>
    <t>1310 (1310)</t>
  </si>
  <si>
    <t>1314 (1314)</t>
  </si>
  <si>
    <t>1H33 WTT</t>
  </si>
  <si>
    <t>1312 (1312)</t>
  </si>
  <si>
    <t>1316 (1316)</t>
  </si>
  <si>
    <t>1H34 WTT</t>
  </si>
  <si>
    <t>1317 (1317)</t>
  </si>
  <si>
    <t>1321 (1321)</t>
  </si>
  <si>
    <t>1J33 WTT</t>
  </si>
  <si>
    <t>1319 (1319)</t>
  </si>
  <si>
    <t>1323 (1323)</t>
  </si>
  <si>
    <t>1F34 WTT</t>
  </si>
  <si>
    <t>1324 (1324)</t>
  </si>
  <si>
    <t>1328 (1328)</t>
  </si>
  <si>
    <t>1L35 WTT</t>
  </si>
  <si>
    <t>1326 (1326)</t>
  </si>
  <si>
    <t>1330 (1330)</t>
  </si>
  <si>
    <t>PLAT</t>
  </si>
  <si>
    <t>working column</t>
  </si>
  <si>
    <t>Plat 3, DNCTRL</t>
  </si>
  <si>
    <t>Plat 4, DNCTRL</t>
  </si>
  <si>
    <t>Plat 2, UPCTRL</t>
  </si>
  <si>
    <t>Plat 1, UPCTRL</t>
  </si>
  <si>
    <t>1L34 WTT</t>
  </si>
  <si>
    <t>1331 (1331)</t>
  </si>
  <si>
    <t>1335 (1335)</t>
  </si>
  <si>
    <t>1F35 WTT</t>
  </si>
  <si>
    <t>1333 (1333)</t>
  </si>
  <si>
    <t>1337 (1337)</t>
  </si>
  <si>
    <t>1F36 WTT</t>
  </si>
  <si>
    <t>1338 (1338)</t>
  </si>
  <si>
    <t>1342 (1342)</t>
  </si>
  <si>
    <t>1J35 WTT</t>
  </si>
  <si>
    <t>1344½ (1345)</t>
  </si>
  <si>
    <t>1348½ (1348)</t>
  </si>
  <si>
    <t>1345 (1345)</t>
  </si>
  <si>
    <t>1349 (1349)</t>
  </si>
  <si>
    <t>1H35 WTT</t>
  </si>
  <si>
    <t>1351 (1351)</t>
  </si>
  <si>
    <t>1355 (1355)</t>
  </si>
  <si>
    <t>1L36 WTT</t>
  </si>
  <si>
    <t>1352 (1352)</t>
  </si>
  <si>
    <t>1356 (1356)</t>
  </si>
  <si>
    <t>1F37 WTT</t>
  </si>
  <si>
    <t>1358 (1358)</t>
  </si>
  <si>
    <t>1402 (1402)</t>
  </si>
  <si>
    <t>1H36 WTT</t>
  </si>
  <si>
    <t>1359 (1359)</t>
  </si>
  <si>
    <t>1403 (1403)</t>
  </si>
  <si>
    <t>1L37 WTT</t>
  </si>
  <si>
    <t>1405 (1405)</t>
  </si>
  <si>
    <t>1409 (1409)</t>
  </si>
  <si>
    <t>1J38 WTT</t>
  </si>
  <si>
    <t>1410 (1410)</t>
  </si>
  <si>
    <t>1414 (1414)</t>
  </si>
  <si>
    <t>1H37 WTT</t>
  </si>
  <si>
    <t>1412 (1412)</t>
  </si>
  <si>
    <t>1416 (1416)</t>
  </si>
  <si>
    <t>1H38 WTT</t>
  </si>
  <si>
    <t>1417 (1417)</t>
  </si>
  <si>
    <t>1421 (1421)</t>
  </si>
  <si>
    <t>1J37 WTT</t>
  </si>
  <si>
    <t>1419 (1419)</t>
  </si>
  <si>
    <t>1423 (1423)</t>
  </si>
  <si>
    <t>1F38 WTT</t>
  </si>
  <si>
    <t>1424 (1424)</t>
  </si>
  <si>
    <t>1428 (1428)</t>
  </si>
  <si>
    <t>1L39 WTT</t>
  </si>
  <si>
    <t>1426 (1426)</t>
  </si>
  <si>
    <t>1430 (1430)</t>
  </si>
  <si>
    <t>1L38 WTT</t>
  </si>
  <si>
    <t>1431 (1431)</t>
  </si>
  <si>
    <t>1435 (1435)</t>
  </si>
  <si>
    <t>1F39 WTT</t>
  </si>
  <si>
    <t>1433 (1433)</t>
  </si>
  <si>
    <t>1437 (1437)</t>
  </si>
  <si>
    <t>1F40 WTT</t>
  </si>
  <si>
    <t>1438 (1438)</t>
  </si>
  <si>
    <t>1442 (1442)</t>
  </si>
  <si>
    <t>1J39 WTT</t>
  </si>
  <si>
    <t>1444½ (1445)</t>
  </si>
  <si>
    <t>1448½ (1448)</t>
  </si>
  <si>
    <t>1J40 WTT</t>
  </si>
  <si>
    <t>1445 (1445)</t>
  </si>
  <si>
    <t>1449 (1449)</t>
  </si>
  <si>
    <t>1H39 WTT</t>
  </si>
  <si>
    <t>1451 (1451)</t>
  </si>
  <si>
    <t>1455 (1455)</t>
  </si>
  <si>
    <t>1L40 WTT</t>
  </si>
  <si>
    <t>1452 (1452)</t>
  </si>
  <si>
    <t>1456 (1456)</t>
  </si>
  <si>
    <t>1F41 WTT</t>
  </si>
  <si>
    <t>1458 (1458)</t>
  </si>
  <si>
    <t>1502 (1502)</t>
  </si>
  <si>
    <t>1H40 WTT</t>
  </si>
  <si>
    <t>1459 (1459)</t>
  </si>
  <si>
    <t>1503 (1503)</t>
  </si>
  <si>
    <t>1L41 WTT</t>
  </si>
  <si>
    <t>1505 (1505)</t>
  </si>
  <si>
    <t>1509 (1509)</t>
  </si>
  <si>
    <t>1J42 WTT</t>
  </si>
  <si>
    <t>1510 (1510)</t>
  </si>
  <si>
    <t>1514 (1514)</t>
  </si>
  <si>
    <t>1H41 WTT</t>
  </si>
  <si>
    <t>1512 (1512)</t>
  </si>
  <si>
    <t>1516 (1516)</t>
  </si>
  <si>
    <t>1H42 WTT</t>
  </si>
  <si>
    <t>1517 (1517)</t>
  </si>
  <si>
    <t>1521 (1521)</t>
  </si>
  <si>
    <t>1J41 WTT</t>
  </si>
  <si>
    <t>1519 (1519)</t>
  </si>
  <si>
    <t>1523 (1523)</t>
  </si>
  <si>
    <t>1F42 WTT</t>
  </si>
  <si>
    <t>1524 (1524)</t>
  </si>
  <si>
    <t>1528 (1528)</t>
  </si>
  <si>
    <t>1L43 WTT</t>
  </si>
  <si>
    <t>1526 (1526)</t>
  </si>
  <si>
    <t>1530 (1530)</t>
  </si>
  <si>
    <t>1L42 WTT</t>
  </si>
  <si>
    <t>1531 (1531)</t>
  </si>
  <si>
    <t>1535 (1535)</t>
  </si>
  <si>
    <t>1F43 WTT</t>
  </si>
  <si>
    <t>1533 (1533)</t>
  </si>
  <si>
    <t>1537 (1537)</t>
  </si>
  <si>
    <t>1F44 WTT</t>
  </si>
  <si>
    <t>1538 (1538)</t>
  </si>
  <si>
    <t>1542 (1542)</t>
  </si>
  <si>
    <t>1J43 WTT</t>
  </si>
  <si>
    <t>1544½ (1545)</t>
  </si>
  <si>
    <t>1548½ (1548)</t>
  </si>
  <si>
    <t>1J44 WTT</t>
  </si>
  <si>
    <t>1545 (1545)</t>
  </si>
  <si>
    <t>1549 (1549)</t>
  </si>
  <si>
    <t>1H43 WTT</t>
  </si>
  <si>
    <t>1550 (1551)</t>
  </si>
  <si>
    <t>1555 (1555)</t>
  </si>
  <si>
    <t>1L44 WTT</t>
  </si>
  <si>
    <t>1552 (1552)</t>
  </si>
  <si>
    <t>1556 (1556)</t>
  </si>
  <si>
    <t>1F45 WTT</t>
  </si>
  <si>
    <t>1558 (1558)</t>
  </si>
  <si>
    <t>1602 (1602)</t>
  </si>
  <si>
    <t>1H44 WTT</t>
  </si>
  <si>
    <t>1559 (1559)</t>
  </si>
  <si>
    <t>1603 (1603)</t>
  </si>
  <si>
    <t>1L45 WTT</t>
  </si>
  <si>
    <t>1605 (1605)</t>
  </si>
  <si>
    <t>1610 (1610)</t>
  </si>
  <si>
    <t>1J46 WTT</t>
  </si>
  <si>
    <t>1614 (1614)</t>
  </si>
  <si>
    <t>1H45 WTT</t>
  </si>
  <si>
    <t>1612 (1612)</t>
  </si>
  <si>
    <t>1616 (1616)</t>
  </si>
  <si>
    <t>1H46 WTT</t>
  </si>
  <si>
    <t>1617 (1617)</t>
  </si>
  <si>
    <t>1621 (1621)</t>
  </si>
  <si>
    <t>1J45 WTT</t>
  </si>
  <si>
    <t>1619 (1619)</t>
  </si>
  <si>
    <t>1623 (1623)</t>
  </si>
  <si>
    <t>1F46 WTT</t>
  </si>
  <si>
    <t>1624 (1624)</t>
  </si>
  <si>
    <t>1628 (1628)</t>
  </si>
  <si>
    <t>1L47 WTT</t>
  </si>
  <si>
    <t>1626 (1626)</t>
  </si>
  <si>
    <t>1630 (1630)</t>
  </si>
  <si>
    <t>London St Pancras</t>
  </si>
  <si>
    <t>Ebbsfleet Intl</t>
  </si>
  <si>
    <t>Ashford Intl</t>
  </si>
  <si>
    <t>Starts</t>
  </si>
  <si>
    <t>Terminates</t>
  </si>
  <si>
    <t>DEP_TO</t>
  </si>
  <si>
    <t>ARR_FROM</t>
  </si>
  <si>
    <t>ROUTE_CODE</t>
  </si>
  <si>
    <t>ARRTIME_ACTUAL</t>
  </si>
  <si>
    <t>DEPTIME_ACTUAL</t>
  </si>
  <si>
    <t>1L46 WTT</t>
  </si>
  <si>
    <t>1631 (1631)</t>
  </si>
  <si>
    <t>1635 (1635)</t>
  </si>
  <si>
    <t>1F47 WTT</t>
  </si>
  <si>
    <t>1633 (1633)</t>
  </si>
  <si>
    <t>1637 (1637)</t>
  </si>
  <si>
    <t>1F48 WTT</t>
  </si>
  <si>
    <t>1638 (1638)</t>
  </si>
  <si>
    <t>1642 (1642)</t>
  </si>
  <si>
    <t>1J47 WTT</t>
  </si>
  <si>
    <t>1644½ (1645)</t>
  </si>
  <si>
    <t>1648½ (1648)</t>
  </si>
  <si>
    <t>1J48 WTT</t>
  </si>
  <si>
    <t>1645 (1645)</t>
  </si>
  <si>
    <t>1649 (1649)</t>
  </si>
  <si>
    <t>1H47 WTT</t>
  </si>
  <si>
    <t>1651 (1651)</t>
  </si>
  <si>
    <t>1655 (1655)</t>
  </si>
  <si>
    <t>1L48 WTT</t>
  </si>
  <si>
    <t>1652 (1652)</t>
  </si>
  <si>
    <t>1656 (1656)</t>
  </si>
  <si>
    <t>1F49 WTT</t>
  </si>
  <si>
    <t>1658 (1658)</t>
  </si>
  <si>
    <t>1702 (1702)</t>
  </si>
  <si>
    <t>1H48 WTT</t>
  </si>
  <si>
    <t>1659 (1659)</t>
  </si>
  <si>
    <t>1703 (1703)</t>
  </si>
  <si>
    <t>1L49 WTT</t>
  </si>
  <si>
    <t>1705 (1705)</t>
  </si>
  <si>
    <t>1709 (1709)</t>
  </si>
  <si>
    <t>1J50 WTT</t>
  </si>
  <si>
    <t>1710 (1710)</t>
  </si>
  <si>
    <t>1714 (1714)</t>
  </si>
  <si>
    <t>1H49 WTT</t>
  </si>
  <si>
    <t>1712 (1712)</t>
  </si>
  <si>
    <t>1716 (1716)</t>
  </si>
  <si>
    <t>1H50 WTT</t>
  </si>
  <si>
    <t>1717 (1717)</t>
  </si>
  <si>
    <t>1721 (1721)</t>
  </si>
  <si>
    <t>1J49 WTT</t>
  </si>
  <si>
    <t>1719 (1719)</t>
  </si>
  <si>
    <t>1723 (1723)</t>
  </si>
  <si>
    <t>1F50 WTT</t>
  </si>
  <si>
    <t>1724 (1724)</t>
  </si>
  <si>
    <t>1728 (1728)</t>
  </si>
  <si>
    <t>1L51 WTT</t>
  </si>
  <si>
    <t>1726 (1726)</t>
  </si>
  <si>
    <t>1730 (1730)</t>
  </si>
  <si>
    <t>1L50 WTT</t>
  </si>
  <si>
    <t>1731 (1731)</t>
  </si>
  <si>
    <t>1735 (1735)</t>
  </si>
  <si>
    <t>1F51 WTT</t>
  </si>
  <si>
    <t>1733 (1733)</t>
  </si>
  <si>
    <t>1737 (1737)</t>
  </si>
  <si>
    <t>1F52 WTT</t>
  </si>
  <si>
    <t>1738 (1738)</t>
  </si>
  <si>
    <t>1742 (1742)</t>
  </si>
  <si>
    <t>1J51 WTT</t>
  </si>
  <si>
    <t>1744½ (1745)</t>
  </si>
  <si>
    <t>1748½ (1748)</t>
  </si>
  <si>
    <t>1J52 WTT</t>
  </si>
  <si>
    <t>1745 (1745)</t>
  </si>
  <si>
    <t>1749 (1749)</t>
  </si>
  <si>
    <t>1H51 WTT</t>
  </si>
  <si>
    <t>1751 (1751)</t>
  </si>
  <si>
    <t>1755 (1755)</t>
  </si>
  <si>
    <t>1L52 WTT</t>
  </si>
  <si>
    <t>1752 (1752)</t>
  </si>
  <si>
    <t>1756 (1756)</t>
  </si>
  <si>
    <t>1F53 WTT</t>
  </si>
  <si>
    <t>1758 (1758)</t>
  </si>
  <si>
    <t>1802 (1802)</t>
  </si>
  <si>
    <t>1H52 WTT</t>
  </si>
  <si>
    <t>1759 (1759)</t>
  </si>
  <si>
    <t>1803 (1803)</t>
  </si>
  <si>
    <t>1L53 WTT</t>
  </si>
  <si>
    <t>1805 (1805)</t>
  </si>
  <si>
    <t>1809 (1809)</t>
  </si>
  <si>
    <t>1J54 WTT</t>
  </si>
  <si>
    <t>1810 (1810)</t>
  </si>
  <si>
    <t>1814 (1814)</t>
  </si>
  <si>
    <t>1H53 WTT</t>
  </si>
  <si>
    <t>1812 (1812)</t>
  </si>
  <si>
    <t>1816 (1816)</t>
  </si>
  <si>
    <t>1H54 WTT</t>
  </si>
  <si>
    <t>1817 (1817)</t>
  </si>
  <si>
    <t>1821 (1821)</t>
  </si>
  <si>
    <t>1J53 WTT</t>
  </si>
  <si>
    <t>1819 (1819)</t>
  </si>
  <si>
    <t>1823 (1823)</t>
  </si>
  <si>
    <t>1F54 WTT</t>
  </si>
  <si>
    <t>1824 (1824)</t>
  </si>
  <si>
    <t>1828 (1828)</t>
  </si>
  <si>
    <t>1L55 WTT</t>
  </si>
  <si>
    <t>1826 (1826)</t>
  </si>
  <si>
    <t>1830 (1830)</t>
  </si>
  <si>
    <t>1L54 WTT</t>
  </si>
  <si>
    <t>1831 (1831)</t>
  </si>
  <si>
    <t>1835 (1835)</t>
  </si>
  <si>
    <t>1F55 WTT</t>
  </si>
  <si>
    <t>1833 (1833)</t>
  </si>
  <si>
    <t>1837 (1837)</t>
  </si>
  <si>
    <t>1F56 WTT</t>
  </si>
  <si>
    <t>1838 (1838)</t>
  </si>
  <si>
    <t>1842 (1842)</t>
  </si>
  <si>
    <t>1J55 WTT</t>
  </si>
  <si>
    <t>1844½ (1845)</t>
  </si>
  <si>
    <t>1848½ (1848)</t>
  </si>
  <si>
    <t>1J56 WTT</t>
  </si>
  <si>
    <t>1845 (1845)</t>
  </si>
  <si>
    <t>1849 (1849)</t>
  </si>
  <si>
    <t>1H55 WTT</t>
  </si>
  <si>
    <t>1851 (1851)</t>
  </si>
  <si>
    <t>1855 (1855)</t>
  </si>
  <si>
    <t>1L56 WTT</t>
  </si>
  <si>
    <t>1852 (1852)</t>
  </si>
  <si>
    <t>1856 (1856)</t>
  </si>
  <si>
    <t>1F57 WTT</t>
  </si>
  <si>
    <t>1858 (1858)</t>
  </si>
  <si>
    <t>1902 (1902)</t>
  </si>
  <si>
    <t>1H56 WTT</t>
  </si>
  <si>
    <t>1859 (1859)</t>
  </si>
  <si>
    <t>1903 (1903)</t>
  </si>
  <si>
    <t>1L57 WTT</t>
  </si>
  <si>
    <t>1905 (1905)</t>
  </si>
  <si>
    <t>1909 (1909)</t>
  </si>
  <si>
    <t>1J58 WTT</t>
  </si>
  <si>
    <t>1910 (1910)</t>
  </si>
  <si>
    <t>1914 (1914)</t>
  </si>
  <si>
    <t>1H57 WTT</t>
  </si>
  <si>
    <t>1912 (1912)</t>
  </si>
  <si>
    <t>1916 (1916)</t>
  </si>
  <si>
    <t>1H58 WTT</t>
  </si>
  <si>
    <t>1917 (1917)</t>
  </si>
  <si>
    <t>1921 (1921)</t>
  </si>
  <si>
    <t>1J57 WTT</t>
  </si>
  <si>
    <t>1919 (1919)</t>
  </si>
  <si>
    <t>1923 (1923)</t>
  </si>
  <si>
    <t>1F58 WTT</t>
  </si>
  <si>
    <t>1924 (1924)</t>
  </si>
  <si>
    <t>1928 (1928)</t>
  </si>
  <si>
    <t>1L59 WTT</t>
  </si>
  <si>
    <t>1926 (1926)</t>
  </si>
  <si>
    <t>1930 (1930)</t>
  </si>
  <si>
    <t>1L58 WTT</t>
  </si>
  <si>
    <t>1931 (1931)</t>
  </si>
  <si>
    <t>1935 (1935)</t>
  </si>
  <si>
    <t>1F59 WTT</t>
  </si>
  <si>
    <t>1933 (1933)</t>
  </si>
  <si>
    <t>1937 (1937)</t>
  </si>
  <si>
    <t>1F60 WTT</t>
  </si>
  <si>
    <t>1938 (1938)</t>
  </si>
  <si>
    <t>1942 (1942)</t>
  </si>
  <si>
    <t>1J59 WTT</t>
  </si>
  <si>
    <t>1944½ (1945)</t>
  </si>
  <si>
    <t>1948½ (1948)</t>
  </si>
  <si>
    <t>1J60 WTT</t>
  </si>
  <si>
    <t>1945 (1945)</t>
  </si>
  <si>
    <t>1949 (1949)</t>
  </si>
  <si>
    <t>1H59 WTT</t>
  </si>
  <si>
    <t>1951 (1951)</t>
  </si>
  <si>
    <t>1955 (1955)</t>
  </si>
  <si>
    <t>1L60 WTT</t>
  </si>
  <si>
    <t>1952 (1952)</t>
  </si>
  <si>
    <t>1956 (1956)</t>
  </si>
  <si>
    <t>1F61 WTT</t>
  </si>
  <si>
    <t>1958 (1958)</t>
  </si>
  <si>
    <t>2002 (2002)</t>
  </si>
  <si>
    <t>1H60 WTT</t>
  </si>
  <si>
    <t>1959 (1959)</t>
  </si>
  <si>
    <t>2003 (2003)</t>
  </si>
  <si>
    <t>1L61 WTT</t>
  </si>
  <si>
    <t>2005 (2005)</t>
  </si>
  <si>
    <t>2009 (2009)</t>
  </si>
  <si>
    <t>1J62 WTT</t>
  </si>
  <si>
    <t>2010 (2010)</t>
  </si>
  <si>
    <t>2014 (2014)</t>
  </si>
  <si>
    <t>1H61 WTT</t>
  </si>
  <si>
    <t>2012 (2012)</t>
  </si>
  <si>
    <t>2016 (2016)</t>
  </si>
  <si>
    <t>1H62 WTT</t>
  </si>
  <si>
    <t>2017 (2017)</t>
  </si>
  <si>
    <t>2021 (2021)</t>
  </si>
  <si>
    <t>1J61 WTT</t>
  </si>
  <si>
    <t>2019 (2019)</t>
  </si>
  <si>
    <t>2023 (2023)</t>
  </si>
  <si>
    <t>1F62 WTT</t>
  </si>
  <si>
    <t>2024 (2024)</t>
  </si>
  <si>
    <t>2028 (2028)</t>
  </si>
  <si>
    <t>1L63 WTT</t>
  </si>
  <si>
    <t>2026 (2026)</t>
  </si>
  <si>
    <t>2030 (2030)</t>
  </si>
  <si>
    <t>1L62 WTT</t>
  </si>
  <si>
    <t>2031 (2031)</t>
  </si>
  <si>
    <t>2035 (2035)</t>
  </si>
  <si>
    <t>1F63 WTT</t>
  </si>
  <si>
    <t>2033 (2033)</t>
  </si>
  <si>
    <t>2037 (2037)</t>
  </si>
  <si>
    <t>1F64 WTT</t>
  </si>
  <si>
    <t>2038 (2038)</t>
  </si>
  <si>
    <t>2042 (2042)</t>
  </si>
  <si>
    <t>1J63 WTT</t>
  </si>
  <si>
    <t>2044½ (2045)</t>
  </si>
  <si>
    <t>2048½ (2048)</t>
  </si>
  <si>
    <t>1J64 WTT</t>
  </si>
  <si>
    <t>2045 (2045)</t>
  </si>
  <si>
    <t>2049 (2049)</t>
  </si>
  <si>
    <t>1H63 WTT</t>
  </si>
  <si>
    <t>2051 (2051)</t>
  </si>
  <si>
    <t>2055 (2055)</t>
  </si>
  <si>
    <t>1L64 WTT</t>
  </si>
  <si>
    <t>2052 (2052)</t>
  </si>
  <si>
    <t>2056 (2056)</t>
  </si>
  <si>
    <t>1F65 WTT</t>
  </si>
  <si>
    <t>2058 (2058)</t>
  </si>
  <si>
    <t>2102 (2102)</t>
  </si>
  <si>
    <t>1H64 WTT</t>
  </si>
  <si>
    <t>2059 (2059)</t>
  </si>
  <si>
    <t>2103 (2103)</t>
  </si>
  <si>
    <t>1L65 WTT</t>
  </si>
  <si>
    <t>2105 (2105)</t>
  </si>
  <si>
    <t>2109 (2109)</t>
  </si>
  <si>
    <t>1J66 WTT</t>
  </si>
  <si>
    <t>2110 (2110)</t>
  </si>
  <si>
    <t>2114 (2114)</t>
  </si>
  <si>
    <t>1H65 WTT</t>
  </si>
  <si>
    <t>2112 (2112)</t>
  </si>
  <si>
    <t>2116 (2116)</t>
  </si>
  <si>
    <t>1H66 WTT</t>
  </si>
  <si>
    <t>2117 (2117)</t>
  </si>
  <si>
    <t>2121 (2121)</t>
  </si>
  <si>
    <t>1J65 WTT</t>
  </si>
  <si>
    <t>2119 (2119)</t>
  </si>
  <si>
    <t>2123 (2123)</t>
  </si>
  <si>
    <t>1F66 WTT</t>
  </si>
  <si>
    <t>2124 (2124)</t>
  </si>
  <si>
    <t>2128 (2128)</t>
  </si>
  <si>
    <t>1L67 WTT</t>
  </si>
  <si>
    <t>2126 (2126)</t>
  </si>
  <si>
    <t>2130 (2130)</t>
  </si>
  <si>
    <t>1L66 WTT</t>
  </si>
  <si>
    <t>2131 (2131)</t>
  </si>
  <si>
    <t>2135 (2135)</t>
  </si>
  <si>
    <t>1F67 WTT</t>
  </si>
  <si>
    <t>2133 (2133)</t>
  </si>
  <si>
    <t>2137 (2137)</t>
  </si>
  <si>
    <t>1F68 WTT</t>
  </si>
  <si>
    <t>2138 (2138)</t>
  </si>
  <si>
    <t>2142 (2142)</t>
  </si>
  <si>
    <t>1J67 WTT</t>
  </si>
  <si>
    <t>2144½ (2145)</t>
  </si>
  <si>
    <t>2148½ (2148)</t>
  </si>
  <si>
    <t>1J68 WTT</t>
  </si>
  <si>
    <t>2145 (2145)</t>
  </si>
  <si>
    <t>2149 (2149)</t>
  </si>
  <si>
    <t>1H67 WTT</t>
  </si>
  <si>
    <t>2151 (2151)</t>
  </si>
  <si>
    <t>2155 (2155)</t>
  </si>
  <si>
    <t>1L68 WTT</t>
  </si>
  <si>
    <t>2152 (2152)</t>
  </si>
  <si>
    <t>2156 (2156)</t>
  </si>
  <si>
    <t>1F69 WTT</t>
  </si>
  <si>
    <t>2158 (2158)</t>
  </si>
  <si>
    <t>2202 (2202)</t>
  </si>
  <si>
    <t>1H68 WTT</t>
  </si>
  <si>
    <t>2159 (2159)</t>
  </si>
  <si>
    <t>2203 (2203)</t>
  </si>
  <si>
    <t>1L69 WTT</t>
  </si>
  <si>
    <t>2205 (2205)</t>
  </si>
  <si>
    <t>2209 (2209)</t>
  </si>
  <si>
    <t>1J70 WTT</t>
  </si>
  <si>
    <t>2210 (2210)</t>
  </si>
  <si>
    <t>2214 (2214)</t>
  </si>
  <si>
    <t>1H69 WTT</t>
  </si>
  <si>
    <t>2212 (2212)</t>
  </si>
  <si>
    <t>2216 (2216)</t>
  </si>
  <si>
    <t>1H70 WTT</t>
  </si>
  <si>
    <t>2217 (2217)</t>
  </si>
  <si>
    <t>2221 (2221)</t>
  </si>
  <si>
    <t>1J69 WTT</t>
  </si>
  <si>
    <t>2219 (2219)</t>
  </si>
  <si>
    <t>2223 (2223)</t>
  </si>
  <si>
    <t>1L70 WTT</t>
  </si>
  <si>
    <t>2224 (2224)</t>
  </si>
  <si>
    <t>2228 (2228)</t>
  </si>
  <si>
    <t>1L71 WTT</t>
  </si>
  <si>
    <t>2226 (2226)</t>
  </si>
  <si>
    <t>2230 (2230)</t>
  </si>
  <si>
    <t>1L72 WTT</t>
  </si>
  <si>
    <t>2231 (2231)</t>
  </si>
  <si>
    <t>2235 (2235)</t>
  </si>
  <si>
    <t>1F71 WTT</t>
  </si>
  <si>
    <t>2233 (2233)</t>
  </si>
  <si>
    <t>2237 (2237)</t>
  </si>
  <si>
    <t>1H72 WTT</t>
  </si>
  <si>
    <t>2238 (2238)</t>
  </si>
  <si>
    <t>2242 (2242)</t>
  </si>
  <si>
    <t>1H74 WTT</t>
  </si>
  <si>
    <t>2245 (2245)</t>
  </si>
  <si>
    <t>2247 (2247)</t>
  </si>
  <si>
    <t>1J71 WTT</t>
  </si>
  <si>
    <t>2244½ (2245)</t>
  </si>
  <si>
    <t>2248½ (2248)</t>
  </si>
  <si>
    <t>1H71 WTT</t>
  </si>
  <si>
    <t>2251 (2251)</t>
  </si>
  <si>
    <t>2255 (2255)</t>
  </si>
  <si>
    <t>1L74 WTT</t>
  </si>
  <si>
    <t>2252 (2252)</t>
  </si>
  <si>
    <t>2256 (2256)</t>
  </si>
  <si>
    <t>1F73 WTT</t>
  </si>
  <si>
    <t>2257½ (2258)</t>
  </si>
  <si>
    <t>2301½ (2301)</t>
  </si>
  <si>
    <t>1L76 WTT</t>
  </si>
  <si>
    <t>2258 (2258)</t>
  </si>
  <si>
    <t>2302 (2302)</t>
  </si>
  <si>
    <t>1L73 WTT</t>
  </si>
  <si>
    <t>2301 (2301)</t>
  </si>
  <si>
    <t>2305 (2305)</t>
  </si>
  <si>
    <t>1L75 WTT</t>
  </si>
  <si>
    <t>2306 (2306)</t>
  </si>
  <si>
    <t>2309 (2309)</t>
  </si>
  <si>
    <t>1H76 WTT</t>
  </si>
  <si>
    <t>2310 (2310)</t>
  </si>
  <si>
    <t>2314 (2314)</t>
  </si>
  <si>
    <t>1H73 WTT</t>
  </si>
  <si>
    <t>2311 (2311)</t>
  </si>
  <si>
    <t>2315 (2315)</t>
  </si>
  <si>
    <t>1J73 WTT</t>
  </si>
  <si>
    <t>2316 (2316)</t>
  </si>
  <si>
    <t>2320 (2320)</t>
  </si>
  <si>
    <t>1H80 WTT</t>
  </si>
  <si>
    <t>2317 (2317)</t>
  </si>
  <si>
    <t>2321 (2321)</t>
  </si>
  <si>
    <t>1H75 WTT</t>
  </si>
  <si>
    <t>2323 (2323)</t>
  </si>
  <si>
    <t>2325 (2325)</t>
  </si>
  <si>
    <t>1L78 WTT</t>
  </si>
  <si>
    <t>2322 (2322)</t>
  </si>
  <si>
    <t>2326 (2326)</t>
  </si>
  <si>
    <t>1L77 WTT</t>
  </si>
  <si>
    <t>2330 (2330)</t>
  </si>
  <si>
    <t>1L80 WTT</t>
  </si>
  <si>
    <t>2326½ (2327)</t>
  </si>
  <si>
    <t>2330½ (2330)</t>
  </si>
  <si>
    <t>1L79 WTT</t>
  </si>
  <si>
    <t>2331 (2331)</t>
  </si>
  <si>
    <t>2335 (2335)</t>
  </si>
  <si>
    <t>1H78 WTT</t>
  </si>
  <si>
    <t>2331½ (2332)</t>
  </si>
  <si>
    <t>2335½ (2335)</t>
  </si>
  <si>
    <t>1L81 WTT</t>
  </si>
  <si>
    <t>2336 (2336)</t>
  </si>
  <si>
    <t>2340 (2340)</t>
  </si>
  <si>
    <t>1H82 WTT</t>
  </si>
  <si>
    <t>2338 (2338)</t>
  </si>
  <si>
    <t>2342 (2342)</t>
  </si>
  <si>
    <t>1J75 WTT</t>
  </si>
  <si>
    <t>2345 (2345)</t>
  </si>
  <si>
    <t>1L82 WTT</t>
  </si>
  <si>
    <t>2346 (2346)</t>
  </si>
  <si>
    <t>1H81 WTT</t>
  </si>
  <si>
    <t>2345½ (2346)</t>
  </si>
  <si>
    <t>2350 (2350)</t>
  </si>
  <si>
    <t>1L84 WTT</t>
  </si>
  <si>
    <t>2346½ (2347)</t>
  </si>
  <si>
    <t>2350½ (2350)</t>
  </si>
  <si>
    <t>1H83 WTT</t>
  </si>
  <si>
    <t>2351 (2351)</t>
  </si>
  <si>
    <t>2355 (2355)</t>
  </si>
  <si>
    <t>1H84 WTT</t>
  </si>
  <si>
    <t>2353 (2353)</t>
  </si>
  <si>
    <t>1L83 WTT</t>
  </si>
  <si>
    <t>2356 (2356)</t>
  </si>
  <si>
    <t>2359 (2359)</t>
  </si>
  <si>
    <t>CALLS1</t>
  </si>
  <si>
    <t>CALLS2</t>
  </si>
  <si>
    <t>CALLS3</t>
  </si>
  <si>
    <t>CALLS4</t>
  </si>
  <si>
    <t>CALLS5</t>
  </si>
  <si>
    <t>CALLS6</t>
  </si>
  <si>
    <t>CALLS7</t>
  </si>
  <si>
    <t>CALLS8</t>
  </si>
  <si>
    <t>CALLS9</t>
  </si>
  <si>
    <t>Gravesend</t>
  </si>
  <si>
    <t>Strood</t>
  </si>
  <si>
    <t>Rochester</t>
  </si>
  <si>
    <t>Chatham</t>
  </si>
  <si>
    <t>Gillingham</t>
  </si>
  <si>
    <t>Rainham</t>
  </si>
  <si>
    <t>Sittingbourne</t>
  </si>
  <si>
    <t>SFA</t>
  </si>
  <si>
    <t>2Y75 WTT</t>
  </si>
  <si>
    <t>Starts here</t>
  </si>
  <si>
    <t>Plat 1, NLL</t>
  </si>
  <si>
    <t>Clapham Junction</t>
  </si>
  <si>
    <t>LO</t>
  </si>
  <si>
    <t>2W22 WTT</t>
  </si>
  <si>
    <t>2358½ (2359)</t>
  </si>
  <si>
    <t>Plat 8, EL</t>
  </si>
  <si>
    <t>Shenfield</t>
  </si>
  <si>
    <t>0003½ (0003)</t>
  </si>
  <si>
    <t>LE</t>
  </si>
  <si>
    <t>Plat 9, ML</t>
  </si>
  <si>
    <t>2L88 WTT</t>
  </si>
  <si>
    <t>0004 (0009)</t>
  </si>
  <si>
    <t>Plat 1</t>
  </si>
  <si>
    <t>Terminates here</t>
  </si>
  <si>
    <t>2W07 WTT</t>
  </si>
  <si>
    <t>0002 (0002)</t>
  </si>
  <si>
    <t>Plat 5, EL</t>
  </si>
  <si>
    <t>0004 (0004)</t>
  </si>
  <si>
    <t>1K32 WTT</t>
  </si>
  <si>
    <t>0003 (0003)</t>
  </si>
  <si>
    <t>Southend Victoria</t>
  </si>
  <si>
    <t>0007 (0007)</t>
  </si>
  <si>
    <t>2N49 WTT</t>
  </si>
  <si>
    <t>Plat 2, NLL</t>
  </si>
  <si>
    <t>Camden Road</t>
  </si>
  <si>
    <t>1K57 WTT</t>
  </si>
  <si>
    <t>0006 (0006)</t>
  </si>
  <si>
    <t>1P76 WTT</t>
  </si>
  <si>
    <t>Norwich</t>
  </si>
  <si>
    <t>0010½ (0010)</t>
  </si>
  <si>
    <t>2C85 WTT</t>
  </si>
  <si>
    <t>2W24 WTT</t>
  </si>
  <si>
    <t>0008½ (0009)</t>
  </si>
  <si>
    <t>0013½ (0013)</t>
  </si>
  <si>
    <t>2N40 WTT</t>
  </si>
  <si>
    <t>0014 (0016)</t>
  </si>
  <si>
    <t>Richmond</t>
  </si>
  <si>
    <t>Plat 2</t>
  </si>
  <si>
    <t>2M76 WTT</t>
  </si>
  <si>
    <t>Willesden Junction Low Level</t>
  </si>
  <si>
    <t>2O26 WTT</t>
  </si>
  <si>
    <t>Hertford East</t>
  </si>
  <si>
    <t>2L89 WTT</t>
  </si>
  <si>
    <t>0019 (0024)</t>
  </si>
  <si>
    <t>2W09 WTT</t>
  </si>
  <si>
    <t>0017 (0017)</t>
  </si>
  <si>
    <t>2N51 WTT</t>
  </si>
  <si>
    <t>0022 (0022)</t>
  </si>
  <si>
    <t>2W26 WTT</t>
  </si>
  <si>
    <t>0018½ (0019)</t>
  </si>
  <si>
    <t>0023½ (0023)</t>
  </si>
  <si>
    <t>1F70 WTT</t>
  </si>
  <si>
    <t>0019½ (0020)</t>
  </si>
  <si>
    <t>Colchester</t>
  </si>
  <si>
    <t>0024½ (0024)</t>
  </si>
  <si>
    <t>1K34 WTT</t>
  </si>
  <si>
    <t>2N42 WTT</t>
  </si>
  <si>
    <t>0029 (0033)</t>
  </si>
  <si>
    <t>2H76 WTT</t>
  </si>
  <si>
    <t>Cambridge</t>
  </si>
  <si>
    <t>2C87 WTT</t>
  </si>
  <si>
    <t>2M77 WTT</t>
  </si>
  <si>
    <t>0032 (0032)</t>
  </si>
  <si>
    <t>2W28 WTT</t>
  </si>
  <si>
    <t>0028½ (0029)</t>
  </si>
  <si>
    <t>0033½ (0033)</t>
  </si>
  <si>
    <t>2L90 WTT</t>
  </si>
  <si>
    <t>0035 (0040)</t>
  </si>
  <si>
    <t>2N53 WTT</t>
  </si>
  <si>
    <t>0037 (0037)</t>
  </si>
  <si>
    <t>2W11 WTT</t>
  </si>
  <si>
    <t>1P78 WTT</t>
  </si>
  <si>
    <t>0040½ (0040)</t>
  </si>
  <si>
    <t>2W30 WTT</t>
  </si>
  <si>
    <t>0038½ (0039)</t>
  </si>
  <si>
    <t>0043½ (0043)</t>
  </si>
  <si>
    <t>2N44 WTT</t>
  </si>
  <si>
    <t>0044 (0046)</t>
  </si>
  <si>
    <t>2M78 WTT</t>
  </si>
  <si>
    <t>2L91 WTT</t>
  </si>
  <si>
    <t>0049 (0054)</t>
  </si>
  <si>
    <t>2W13 VAR</t>
  </si>
  <si>
    <t>0047 (0047)</t>
  </si>
  <si>
    <t>1K36 WTT</t>
  </si>
  <si>
    <t>0048 (0048)</t>
  </si>
  <si>
    <t>0052 (0052)</t>
  </si>
  <si>
    <t>2N55 WTT</t>
  </si>
  <si>
    <t>2W32 WTT</t>
  </si>
  <si>
    <t>0048½ (0049)</t>
  </si>
  <si>
    <t>0053½ (0053)</t>
  </si>
  <si>
    <t>2N46 WTT</t>
  </si>
  <si>
    <t>0059 (0103)</t>
  </si>
  <si>
    <t>2M79 WTT</t>
  </si>
  <si>
    <t>1F72 VAR</t>
  </si>
  <si>
    <t>0054½ (0055)</t>
  </si>
  <si>
    <t>2C89 WTT</t>
  </si>
  <si>
    <t>2W34 WTT</t>
  </si>
  <si>
    <t>0058½ (0059)</t>
  </si>
  <si>
    <t>0103½ (0103)</t>
  </si>
  <si>
    <t>2L92 WTT</t>
  </si>
  <si>
    <t>0104 (0109)</t>
  </si>
  <si>
    <t>2W15 WTT</t>
  </si>
  <si>
    <t>0102 (0102)</t>
  </si>
  <si>
    <t>2W36 WTT</t>
  </si>
  <si>
    <t>0108½ (0109)</t>
  </si>
  <si>
    <t>0113½ (0113)</t>
  </si>
  <si>
    <t>2W17 WTT</t>
  </si>
  <si>
    <t>0117 (0117)</t>
  </si>
  <si>
    <t>0120 (0120)</t>
  </si>
  <si>
    <t>1K38 WTT</t>
  </si>
  <si>
    <t>2W38 VAR</t>
  </si>
  <si>
    <t>0118½ (0119)</t>
  </si>
  <si>
    <t>0123½ (0123)</t>
  </si>
  <si>
    <t>2C91 WTT</t>
  </si>
  <si>
    <t>0130 (0130)</t>
  </si>
  <si>
    <t>2W40 WTT</t>
  </si>
  <si>
    <t>0128½ (0129)</t>
  </si>
  <si>
    <t>0133½ (0133)</t>
  </si>
  <si>
    <t>Plat10, ML</t>
  </si>
  <si>
    <t>2C93 VAR</t>
  </si>
  <si>
    <t>0140 (0140)</t>
  </si>
  <si>
    <t>2C42 WTT</t>
  </si>
  <si>
    <t>0138½ (0139)</t>
  </si>
  <si>
    <t>Gidea Park</t>
  </si>
  <si>
    <t>0143½ (0143)</t>
  </si>
  <si>
    <t>2C95 VAR</t>
  </si>
  <si>
    <t>2W44 VAR</t>
  </si>
  <si>
    <t>0148½ (0149)</t>
  </si>
  <si>
    <t>0153½ (0153)</t>
  </si>
  <si>
    <t>2C46 WTT</t>
  </si>
  <si>
    <t>0158½ (0159)</t>
  </si>
  <si>
    <t>0203½ (0203)</t>
  </si>
  <si>
    <t>2W48 VAR</t>
  </si>
  <si>
    <t>0208½ (0209)</t>
  </si>
  <si>
    <t>0213½ (0213)</t>
  </si>
  <si>
    <t>2C50 VAR</t>
  </si>
  <si>
    <t>0218½ (0219)</t>
  </si>
  <si>
    <t>0223½ (0223)</t>
  </si>
  <si>
    <t>2K01 WTT</t>
  </si>
  <si>
    <t>0509½ (0510)</t>
  </si>
  <si>
    <t>0510½ (0510)</t>
  </si>
  <si>
    <t>2C01 WTT</t>
  </si>
  <si>
    <t>0517 (0517)</t>
  </si>
  <si>
    <t>Ilford</t>
  </si>
  <si>
    <t>0518½ (0518)</t>
  </si>
  <si>
    <t>2N04 WTT</t>
  </si>
  <si>
    <t>0529½ (0530)</t>
  </si>
  <si>
    <t>Clacton-on-sea</t>
  </si>
  <si>
    <t>0530 (0530)</t>
  </si>
  <si>
    <t>2K02 WTT</t>
  </si>
  <si>
    <t>0534½ (0535)</t>
  </si>
  <si>
    <t>0535 (0535)</t>
  </si>
  <si>
    <t>2K03 WTT</t>
  </si>
  <si>
    <t>0539½ (0540)</t>
  </si>
  <si>
    <t>0540½ (0540)</t>
  </si>
  <si>
    <t>2F01 WTT</t>
  </si>
  <si>
    <t>0541½ (0542)</t>
  </si>
  <si>
    <t>2W02 WTT</t>
  </si>
  <si>
    <t>0545½ (0545)</t>
  </si>
  <si>
    <t>2N01 WTT</t>
  </si>
  <si>
    <t>0547 (0547)</t>
  </si>
  <si>
    <t>2C03 WTT</t>
  </si>
  <si>
    <t>0546½ (0547)</t>
  </si>
  <si>
    <t>0548½ (0548)</t>
  </si>
  <si>
    <t>1K05 WTT</t>
  </si>
  <si>
    <t>0549 (0549)</t>
  </si>
  <si>
    <t>0549½ (0549)</t>
  </si>
  <si>
    <t>2H01 VAR</t>
  </si>
  <si>
    <t>0559 (0559)</t>
  </si>
  <si>
    <t>0559½</t>
  </si>
  <si>
    <t>2Y03 WTT</t>
  </si>
  <si>
    <t>0600 (0600)</t>
  </si>
  <si>
    <t>1K04 WTT</t>
  </si>
  <si>
    <t>0601½ (0602)</t>
  </si>
  <si>
    <t>0602 (0602)</t>
  </si>
  <si>
    <t>2O60 WTT</t>
  </si>
  <si>
    <t>0601 (0601)</t>
  </si>
  <si>
    <t>0603 (0603)</t>
  </si>
  <si>
    <t>2W01 WTT</t>
  </si>
  <si>
    <t>0604 (0604)</t>
  </si>
  <si>
    <t>2N05 WTT</t>
  </si>
  <si>
    <t>0607 (0607)</t>
  </si>
  <si>
    <t>1F01 WTT</t>
  </si>
  <si>
    <t>0607½ (0607)</t>
  </si>
  <si>
    <t>2W04 WTT</t>
  </si>
  <si>
    <t>0606½ (0607)</t>
  </si>
  <si>
    <t>0608½ (0608)</t>
  </si>
  <si>
    <t>0608½ (0609)</t>
  </si>
  <si>
    <t>0609 (0609)</t>
  </si>
  <si>
    <t>1K07 WTT</t>
  </si>
  <si>
    <t>0610½ (0610)</t>
  </si>
  <si>
    <t>2Y04 WTT</t>
  </si>
  <si>
    <t>0615 (0615)</t>
  </si>
  <si>
    <t>2W06 WTT</t>
  </si>
  <si>
    <t>0616½ (0617)</t>
  </si>
  <si>
    <t>0618½ (0618)</t>
  </si>
  <si>
    <t>2W03 WTT</t>
  </si>
  <si>
    <t>0619 (0619)</t>
  </si>
  <si>
    <t>0618½ (0619)</t>
  </si>
  <si>
    <t>Braintree</t>
  </si>
  <si>
    <t>1K06 WTT</t>
  </si>
  <si>
    <t>0621½ (0622)</t>
  </si>
  <si>
    <t>0622 (0622)</t>
  </si>
  <si>
    <t>1Y01 WTT</t>
  </si>
  <si>
    <t>Ipswich</t>
  </si>
  <si>
    <t>0622½</t>
  </si>
  <si>
    <t>2N07 WTT</t>
  </si>
  <si>
    <t>0623 (0623)</t>
  </si>
  <si>
    <t>2W08 WTT</t>
  </si>
  <si>
    <t>0626½ (0627)</t>
  </si>
  <si>
    <t>0628½ (0628)</t>
  </si>
  <si>
    <t>2C05 WTT</t>
  </si>
  <si>
    <t>0627 (0627)</t>
  </si>
  <si>
    <t>0629 (0629)</t>
  </si>
  <si>
    <t>2S03 WTT</t>
  </si>
  <si>
    <t>0630 (0632)</t>
  </si>
  <si>
    <t>Bishops Stortford</t>
  </si>
  <si>
    <t>1K09 WTT</t>
  </si>
  <si>
    <t>0631 (0629)</t>
  </si>
  <si>
    <t>0631½ (0629)</t>
  </si>
  <si>
    <t>2N00 WTT</t>
  </si>
  <si>
    <t>0632 (0636)</t>
  </si>
  <si>
    <t>1P04 WTT</t>
  </si>
  <si>
    <t>0632½</t>
  </si>
  <si>
    <t>0633½ (0633)</t>
  </si>
  <si>
    <t>2Y05 WTT</t>
  </si>
  <si>
    <t>0634 (0634)</t>
  </si>
  <si>
    <t>2S04 WTT</t>
  </si>
  <si>
    <t>0635 (0635)</t>
  </si>
  <si>
    <t>2N77 WTT</t>
  </si>
  <si>
    <t>0636 (0640)</t>
  </si>
  <si>
    <t>2W10 WTT</t>
  </si>
  <si>
    <t>0636½ (0637)</t>
  </si>
  <si>
    <t>0638½ (0638)</t>
  </si>
  <si>
    <t>2W05 WTT</t>
  </si>
  <si>
    <t>0639 (0639)</t>
  </si>
  <si>
    <t>0639½ (0639)</t>
  </si>
  <si>
    <t>2N09 WTT</t>
  </si>
  <si>
    <t>0640 (0640)</t>
  </si>
  <si>
    <t>1K08 WTT</t>
  </si>
  <si>
    <t>0641½ (0642)</t>
  </si>
  <si>
    <t>2L00 WTT</t>
  </si>
  <si>
    <t>0643 (0648)</t>
  </si>
  <si>
    <t>2H99 WTT</t>
  </si>
  <si>
    <t>0643 (0645)</t>
  </si>
  <si>
    <t>1P01 WTT</t>
  </si>
  <si>
    <t>0644 (0644)</t>
  </si>
  <si>
    <t>1A04 WTT</t>
  </si>
  <si>
    <t>Harwich Town</t>
  </si>
  <si>
    <t>0645 (0645)</t>
  </si>
  <si>
    <t>2Y06 WTT</t>
  </si>
  <si>
    <t>2W12 WTT</t>
  </si>
  <si>
    <t>0646½ (0647)</t>
  </si>
  <si>
    <t>2N78 WTT</t>
  </si>
  <si>
    <t>0649 (0653)</t>
  </si>
  <si>
    <t>0647 (0647)</t>
  </si>
  <si>
    <t>0649 (0649)</t>
  </si>
  <si>
    <t>1K11 WTT</t>
  </si>
  <si>
    <t>0649½ (0649)</t>
  </si>
  <si>
    <t>2O88 WTT</t>
  </si>
  <si>
    <t>Broxbourne</t>
  </si>
  <si>
    <t>0650 (0650)</t>
  </si>
  <si>
    <t>2N11 WTT</t>
  </si>
  <si>
    <t>0652 (0652)</t>
  </si>
  <si>
    <t>1F04 WTT</t>
  </si>
  <si>
    <t>0654½ (0655)</t>
  </si>
  <si>
    <t>Colchester Town</t>
  </si>
  <si>
    <t>2N02 WTT</t>
  </si>
  <si>
    <t>0655 (0700)</t>
  </si>
  <si>
    <t>1F05 WTT</t>
  </si>
  <si>
    <t>0657 (0657)</t>
  </si>
  <si>
    <t>Witham (Essex)</t>
  </si>
  <si>
    <t>2W14 WTT</t>
  </si>
  <si>
    <t>0656½ (0657)</t>
  </si>
  <si>
    <t>0658½ (0658)</t>
  </si>
  <si>
    <t>2Y07 WTT</t>
  </si>
  <si>
    <t>1K10 WTT</t>
  </si>
  <si>
    <t>0701½ (0702)</t>
  </si>
  <si>
    <t>0702 (0702)</t>
  </si>
  <si>
    <t>1K13 WTT</t>
  </si>
  <si>
    <t>0702½</t>
  </si>
  <si>
    <t>2N74 WTT</t>
  </si>
  <si>
    <t>0703 (0707)</t>
  </si>
  <si>
    <t>0702½ (0703)</t>
  </si>
  <si>
    <t>0703½ (0703)</t>
  </si>
  <si>
    <t>2N13 WTT</t>
  </si>
  <si>
    <t>0707 (0707)</t>
  </si>
  <si>
    <t>0706 (0706)</t>
  </si>
  <si>
    <t>2W16 WTT</t>
  </si>
  <si>
    <t>0706½ (0707)</t>
  </si>
  <si>
    <t>0708½ (0708)</t>
  </si>
  <si>
    <t>0708½ (0709)</t>
  </si>
  <si>
    <t>0709 (0709)</t>
  </si>
  <si>
    <t>Southminster</t>
  </si>
  <si>
    <t>2O05 WTT</t>
  </si>
  <si>
    <t>0711 (0713)</t>
  </si>
  <si>
    <t>2C07 WTT</t>
  </si>
  <si>
    <t>0714 (0717)</t>
  </si>
  <si>
    <t>1Y06 WTT</t>
  </si>
  <si>
    <t>0714½ (0715)</t>
  </si>
  <si>
    <t>0715 (0715)</t>
  </si>
  <si>
    <t>2W13 WTT</t>
  </si>
  <si>
    <t>2Y08 WTT</t>
  </si>
  <si>
    <t>1P03 WTT</t>
  </si>
  <si>
    <t>2W18 WTT</t>
  </si>
  <si>
    <t>0716½ (0717)</t>
  </si>
  <si>
    <t>0718½ (0718)</t>
  </si>
  <si>
    <t>2L21 WTT</t>
  </si>
  <si>
    <t>0719 (0724)</t>
  </si>
  <si>
    <t>1K15 WTT</t>
  </si>
  <si>
    <t>0718½ (0719)</t>
  </si>
  <si>
    <t>0719½</t>
  </si>
  <si>
    <t>2K12 WTT</t>
  </si>
  <si>
    <t>0719½ (0720)</t>
  </si>
  <si>
    <t>0720 (0720)</t>
  </si>
  <si>
    <t>2C09 WTT</t>
  </si>
  <si>
    <t>0722 (0722)</t>
  </si>
  <si>
    <t>2N15 WTT</t>
  </si>
  <si>
    <t>2G80 WTT</t>
  </si>
  <si>
    <t>0725 (0728)</t>
  </si>
  <si>
    <t>0725 (0725)</t>
  </si>
  <si>
    <t>0724½ (0725)</t>
  </si>
  <si>
    <t>2G81 WTT</t>
  </si>
  <si>
    <t>0726 (0726)</t>
  </si>
  <si>
    <t>0726½ (0727)</t>
  </si>
  <si>
    <t>0727½</t>
  </si>
  <si>
    <t>2W20 WTT</t>
  </si>
  <si>
    <t>0728½ (0728)</t>
  </si>
  <si>
    <t>2N06 WTT</t>
  </si>
  <si>
    <t>0729 (0732)</t>
  </si>
  <si>
    <t>2Y09 WTT</t>
  </si>
  <si>
    <t>0730 (0730)</t>
  </si>
  <si>
    <t>2C11 WTT</t>
  </si>
  <si>
    <t>0732 (0732)</t>
  </si>
  <si>
    <t>London Liverpool St</t>
  </si>
  <si>
    <t>0658 (0658)</t>
  </si>
  <si>
    <t>2S06 WTT</t>
  </si>
  <si>
    <t>0734 (0734)</t>
  </si>
  <si>
    <t>2L22 WTT</t>
  </si>
  <si>
    <t>0734 (0739)</t>
  </si>
  <si>
    <t>0734½ (0735)</t>
  </si>
  <si>
    <t>0735½</t>
  </si>
  <si>
    <t>2N17 WTT</t>
  </si>
  <si>
    <t>0736½ (0737)</t>
  </si>
  <si>
    <t>0738½ (0738)</t>
  </si>
  <si>
    <t>1P08 WTT</t>
  </si>
  <si>
    <t>0737½</t>
  </si>
  <si>
    <t>1A03 WTT</t>
  </si>
  <si>
    <t>Harwich International</t>
  </si>
  <si>
    <t>2S07 WTT</t>
  </si>
  <si>
    <t>0741 (0743)</t>
  </si>
  <si>
    <t>0741½</t>
  </si>
  <si>
    <t>1K19 WTT</t>
  </si>
  <si>
    <t>0740½ (0741)</t>
  </si>
  <si>
    <t>1K14 WTT</t>
  </si>
  <si>
    <t>0741½ (0742)</t>
  </si>
  <si>
    <t>2C13 WTT</t>
  </si>
  <si>
    <t>0740 (0740)</t>
  </si>
  <si>
    <t>2N08 WTT</t>
  </si>
  <si>
    <t>0744 (0747)</t>
  </si>
  <si>
    <t>1Y91 WTT</t>
  </si>
  <si>
    <t>0743½ (0744)</t>
  </si>
  <si>
    <t>0744½ (0744)</t>
  </si>
  <si>
    <t>2Y10 WTT</t>
  </si>
  <si>
    <t>2W19 WTT</t>
  </si>
  <si>
    <t>0745½ (0745)</t>
  </si>
  <si>
    <t>0746½ (0747)</t>
  </si>
  <si>
    <t>2L23 WTT</t>
  </si>
  <si>
    <t>0749 (0754)</t>
  </si>
  <si>
    <t>0750 (0750)</t>
  </si>
  <si>
    <t>2C15 WTT</t>
  </si>
  <si>
    <t>2N19 WTT</t>
  </si>
  <si>
    <t>1K21 WTT</t>
  </si>
  <si>
    <t>0751½ (0752)</t>
  </si>
  <si>
    <t>0752½</t>
  </si>
  <si>
    <t>0753½ (0754)</t>
  </si>
  <si>
    <t>0754½ (0754)</t>
  </si>
  <si>
    <t>2G82 WTT</t>
  </si>
  <si>
    <t>0755 (0758)</t>
  </si>
  <si>
    <t>2W21 WTT</t>
  </si>
  <si>
    <t>0754½ (0755)</t>
  </si>
  <si>
    <t>0755½ (0755)</t>
  </si>
  <si>
    <t>2G83 WTT</t>
  </si>
  <si>
    <t>0757½ (0758)</t>
  </si>
  <si>
    <t>0758½</t>
  </si>
  <si>
    <t>0756½ (0757)</t>
  </si>
  <si>
    <t>0758½ (0758)</t>
  </si>
  <si>
    <t>2N10 WTT</t>
  </si>
  <si>
    <t>0759 (0801)</t>
  </si>
  <si>
    <t>2Y11 VAR</t>
  </si>
  <si>
    <t>0800 (0800)</t>
  </si>
  <si>
    <t>1Y05 WTT</t>
  </si>
  <si>
    <t>0801 (0801)</t>
  </si>
  <si>
    <t>2C17 WTT</t>
  </si>
  <si>
    <t>0802 (0802)</t>
  </si>
  <si>
    <t>2L24 WTT</t>
  </si>
  <si>
    <t>0804 (0809)</t>
  </si>
  <si>
    <t>2S08 WTT</t>
  </si>
  <si>
    <t>0804 (0804)</t>
  </si>
  <si>
    <t>1K23 WTT</t>
  </si>
  <si>
    <t>0803½ (0804)</t>
  </si>
  <si>
    <t>0804½</t>
  </si>
  <si>
    <t>1K16 WTT</t>
  </si>
  <si>
    <t>0804½ (0805)</t>
  </si>
  <si>
    <t>2W23 WTT</t>
  </si>
  <si>
    <t>0805½ (0805)</t>
  </si>
  <si>
    <t>2N21 WTT</t>
  </si>
  <si>
    <t>0807 (0807)</t>
  </si>
  <si>
    <t>0806½ (0807)</t>
  </si>
  <si>
    <t>0807½</t>
  </si>
  <si>
    <t>0808½ (0808)</t>
  </si>
  <si>
    <t>1Y98 WTT</t>
  </si>
  <si>
    <t>0809 (0808)</t>
  </si>
  <si>
    <t>0808½ (0809)</t>
  </si>
  <si>
    <t>0809½</t>
  </si>
  <si>
    <t>2O61 WTT</t>
  </si>
  <si>
    <t>0811 (0813)</t>
  </si>
  <si>
    <t>2C19 WTT</t>
  </si>
  <si>
    <t>2N12 WTT</t>
  </si>
  <si>
    <t>0814 (0816)</t>
  </si>
  <si>
    <t>1Y08 WTT</t>
  </si>
  <si>
    <t>0813½ (0814)</t>
  </si>
  <si>
    <t>2C80 WTT</t>
  </si>
  <si>
    <t>0814½ (0814)</t>
  </si>
  <si>
    <t>2Y12 WTT</t>
  </si>
  <si>
    <t>0815 (0815)</t>
  </si>
  <si>
    <t>2W25 WTT</t>
  </si>
  <si>
    <t>0814½ (0815)</t>
  </si>
  <si>
    <t>0815½ (0815)</t>
  </si>
  <si>
    <t>1K27 WTT</t>
  </si>
  <si>
    <t>0815½</t>
  </si>
  <si>
    <t>0816½ (0817)</t>
  </si>
  <si>
    <t>0818½ (0818)</t>
  </si>
  <si>
    <t>2C21 WTT</t>
  </si>
  <si>
    <t>0817½ (0818)</t>
  </si>
  <si>
    <t>Chelmsford</t>
  </si>
  <si>
    <t>0818½</t>
  </si>
  <si>
    <t>2L25 WTT</t>
  </si>
  <si>
    <t>0819 (0824)</t>
  </si>
  <si>
    <t>1K18 WTT</t>
  </si>
  <si>
    <t>0820½ (0821)</t>
  </si>
  <si>
    <t>0819½ (0820)</t>
  </si>
  <si>
    <t>2W27 WTT</t>
  </si>
  <si>
    <t>0821½ (0821)</t>
  </si>
  <si>
    <t>2N23 WTT</t>
  </si>
  <si>
    <t>0822 (0822)</t>
  </si>
  <si>
    <t>1K29 WTT</t>
  </si>
  <si>
    <t>2C82 WTT</t>
  </si>
  <si>
    <t>0823½ (0824)</t>
  </si>
  <si>
    <t>0824½ (0824)</t>
  </si>
  <si>
    <t>2G84 WTT</t>
  </si>
  <si>
    <t>0825 (0828)</t>
  </si>
  <si>
    <t>0824½ (0825)</t>
  </si>
  <si>
    <t>0825 (0825)</t>
  </si>
  <si>
    <t>2G85 WTT</t>
  </si>
  <si>
    <t>1N15 WTT</t>
  </si>
  <si>
    <t>0826½</t>
  </si>
  <si>
    <t>2C23 WTT</t>
  </si>
  <si>
    <t>0826½ (0827)</t>
  </si>
  <si>
    <t>0828½ (0828)</t>
  </si>
  <si>
    <t>2N14 WTT</t>
  </si>
  <si>
    <t>0829 (0832)</t>
  </si>
  <si>
    <t>1P09 WTT</t>
  </si>
  <si>
    <t>Stowmarket</t>
  </si>
  <si>
    <t>2Y13 WTT</t>
  </si>
  <si>
    <t>2K25 WTT</t>
  </si>
  <si>
    <t>2S10 WTT</t>
  </si>
  <si>
    <t>0834 (0834)</t>
  </si>
  <si>
    <t>2L26 WTT</t>
  </si>
  <si>
    <t>0834 (0839)</t>
  </si>
  <si>
    <t>1K31 WTT</t>
  </si>
  <si>
    <t>2W29 WTT</t>
  </si>
  <si>
    <t>2C84 WTT</t>
  </si>
  <si>
    <t>0833½ (0834)</t>
  </si>
  <si>
    <t>0834½ (0834)</t>
  </si>
  <si>
    <t>0836½</t>
  </si>
  <si>
    <t>2N25 WTT</t>
  </si>
  <si>
    <t>2C25 WTT</t>
  </si>
  <si>
    <t>0836 (0836)</t>
  </si>
  <si>
    <t>0836½ (0837)</t>
  </si>
  <si>
    <t>0838½ (0838)</t>
  </si>
  <si>
    <t>1P12 WTT</t>
  </si>
  <si>
    <t>0837½</t>
  </si>
  <si>
    <t>2C27 WTT</t>
  </si>
  <si>
    <t>0840 (0840)</t>
  </si>
  <si>
    <t>0841 (0841)</t>
  </si>
  <si>
    <t>2S11 WTT</t>
  </si>
  <si>
    <t>0841 (0843)</t>
  </si>
  <si>
    <t>1A95 WTT</t>
  </si>
  <si>
    <t>0840½ (0841)</t>
  </si>
  <si>
    <t>0841½</t>
  </si>
  <si>
    <t>1K20 WTT</t>
  </si>
  <si>
    <t>0841½ (0842)</t>
  </si>
  <si>
    <t>1K33 WTT</t>
  </si>
  <si>
    <t>0843 (0843)</t>
  </si>
  <si>
    <t>2W31 WTT</t>
  </si>
  <si>
    <t>0844 (0844)</t>
  </si>
  <si>
    <t>2N16 WTT</t>
  </si>
  <si>
    <t>0844 (0846)</t>
  </si>
  <si>
    <t>2Y14 WTT</t>
  </si>
  <si>
    <t>1A17 WTT</t>
  </si>
  <si>
    <t>0846½</t>
  </si>
  <si>
    <t>2C29 WTT</t>
  </si>
  <si>
    <t>0846 (0846)</t>
  </si>
  <si>
    <t>0848 (0848)</t>
  </si>
  <si>
    <t>0846½ (0847)</t>
  </si>
  <si>
    <t>1Y07 WTT</t>
  </si>
  <si>
    <t>2L27 WTT</t>
  </si>
  <si>
    <t>0849 (0854)</t>
  </si>
  <si>
    <t>2C31 WTT</t>
  </si>
  <si>
    <t>0850 (0850)</t>
  </si>
  <si>
    <t>2N27 WTT</t>
  </si>
  <si>
    <t>2C86 WTT</t>
  </si>
  <si>
    <t>0850½ (0851)</t>
  </si>
  <si>
    <t>0852½ (0852)</t>
  </si>
  <si>
    <t>1P13 WTT</t>
  </si>
  <si>
    <t>0851½ (0852)</t>
  </si>
  <si>
    <t>2W33 WTT</t>
  </si>
  <si>
    <t>0853 (0853)</t>
  </si>
  <si>
    <t>0854 (0854)</t>
  </si>
  <si>
    <t>2G86 WTT</t>
  </si>
  <si>
    <t>0855 (0858)</t>
  </si>
  <si>
    <t>0854½ (0855)</t>
  </si>
  <si>
    <t>2G87 WTT</t>
  </si>
  <si>
    <t>1K35 WTT</t>
  </si>
  <si>
    <t>0855½ (0856)</t>
  </si>
  <si>
    <t>0856½</t>
  </si>
  <si>
    <t>2W38 WTT</t>
  </si>
  <si>
    <t>0856½ (0857)</t>
  </si>
  <si>
    <t>0858½ (0858)</t>
  </si>
  <si>
    <t>2N18 WTT</t>
  </si>
  <si>
    <t>0859 (0902)</t>
  </si>
  <si>
    <t>2Y15 WTT</t>
  </si>
  <si>
    <t>0900 (0900)</t>
  </si>
  <si>
    <t>2C33 WTT</t>
  </si>
  <si>
    <t>2S12 WTT</t>
  </si>
  <si>
    <t>0839 (0839)</t>
  </si>
  <si>
    <t>0829 (0829)</t>
  </si>
  <si>
    <t>0739 (0739)</t>
  </si>
  <si>
    <t>2C88 WTT</t>
  </si>
  <si>
    <t>0900½ (0901)</t>
  </si>
  <si>
    <t>0901½ (0901)</t>
  </si>
  <si>
    <t>1K22 WTT</t>
  </si>
  <si>
    <t>0901½ (0902)</t>
  </si>
  <si>
    <t>2C35 WTT</t>
  </si>
  <si>
    <t>2L28 WTT</t>
  </si>
  <si>
    <t>0904 (0909)</t>
  </si>
  <si>
    <t>2C90 WTT</t>
  </si>
  <si>
    <t>0903½ (0904)</t>
  </si>
  <si>
    <t>0904½ (0904)</t>
  </si>
  <si>
    <t>2K37 WTT</t>
  </si>
  <si>
    <t>0904½ (0905)</t>
  </si>
  <si>
    <t>0905½</t>
  </si>
  <si>
    <t>2W35 WTT</t>
  </si>
  <si>
    <t>0906 (0906)</t>
  </si>
  <si>
    <t>2N29 WTT</t>
  </si>
  <si>
    <t>0907 (0907)</t>
  </si>
  <si>
    <t>0906½ (0907)</t>
  </si>
  <si>
    <t>0907½ (0907)</t>
  </si>
  <si>
    <t>0907½ (0908)</t>
  </si>
  <si>
    <t>0908½</t>
  </si>
  <si>
    <t>1Y10 WTT</t>
  </si>
  <si>
    <t>0908½ (0909)</t>
  </si>
  <si>
    <t>2C37 WTT</t>
  </si>
  <si>
    <t>0908 (0908)</t>
  </si>
  <si>
    <t>2O63 WTT</t>
  </si>
  <si>
    <t>0911 (0913)</t>
  </si>
  <si>
    <t>2C92 WTT</t>
  </si>
  <si>
    <t>0911½ (0912)</t>
  </si>
  <si>
    <t>0912½ (0912)</t>
  </si>
  <si>
    <t>2C39 WTT</t>
  </si>
  <si>
    <t>0913 (0913)</t>
  </si>
  <si>
    <t>2N20 WTT</t>
  </si>
  <si>
    <t>0914 (0917)</t>
  </si>
  <si>
    <t>2Y16 WTT</t>
  </si>
  <si>
    <t>0915 (0915)</t>
  </si>
  <si>
    <t>1P15 WTT</t>
  </si>
  <si>
    <t>2W42 WTT</t>
  </si>
  <si>
    <t>0916½ (0917)</t>
  </si>
  <si>
    <t>0917½ (0917)</t>
  </si>
  <si>
    <t>2W37 WTT</t>
  </si>
  <si>
    <t>2L29 WTT</t>
  </si>
  <si>
    <t>0919 (0923)</t>
  </si>
  <si>
    <t>1K24 WTT</t>
  </si>
  <si>
    <t>0920½ (0921)</t>
  </si>
  <si>
    <t>2N31 WTT</t>
  </si>
  <si>
    <t>0922 (0922)</t>
  </si>
  <si>
    <t>1K39 WTT</t>
  </si>
  <si>
    <t>0921½ (0922)</t>
  </si>
  <si>
    <t>0922½</t>
  </si>
  <si>
    <t>1A27 WTT</t>
  </si>
  <si>
    <t>2C94 WTT</t>
  </si>
  <si>
    <t>0924½ (0924)</t>
  </si>
  <si>
    <t>1N16 WTT</t>
  </si>
  <si>
    <t>0924½ (0925)</t>
  </si>
  <si>
    <t>0925 (0925)</t>
  </si>
  <si>
    <t>2G88 WTT</t>
  </si>
  <si>
    <t>0925 (0928)</t>
  </si>
  <si>
    <t>2G89 WTT</t>
  </si>
  <si>
    <t>1P17 WTT</t>
  </si>
  <si>
    <t>0927½ (0928)</t>
  </si>
  <si>
    <t>0928½</t>
  </si>
  <si>
    <t>2W44 WTT</t>
  </si>
  <si>
    <t>0926½ (0927)</t>
  </si>
  <si>
    <t>0928½ (0928)</t>
  </si>
  <si>
    <t>2N22 WTT</t>
  </si>
  <si>
    <t>0929 (0932)</t>
  </si>
  <si>
    <t>2W39 WTT</t>
  </si>
  <si>
    <t>0927 (0927)</t>
  </si>
  <si>
    <t>0929 (0929)</t>
  </si>
  <si>
    <t>2S14 WTT</t>
  </si>
  <si>
    <t>2Y17 WTT</t>
  </si>
  <si>
    <t>2C96 WTT</t>
  </si>
  <si>
    <t>0930½ (0931)</t>
  </si>
  <si>
    <t>0932½ (0932)</t>
  </si>
  <si>
    <t>2L30 WTT</t>
  </si>
  <si>
    <t>0934 (0938)</t>
  </si>
  <si>
    <t>2N33 WTT</t>
  </si>
  <si>
    <t>2W46 WTT</t>
  </si>
  <si>
    <t>0936½ (0937)</t>
  </si>
  <si>
    <t>0937½ (0937)</t>
  </si>
  <si>
    <t>1P16 WTT</t>
  </si>
  <si>
    <t>0937½</t>
  </si>
  <si>
    <t>0938½ (0938)</t>
  </si>
  <si>
    <t>2W41 WTT</t>
  </si>
  <si>
    <t>0939 (0939)</t>
  </si>
  <si>
    <t>2S15 WTT</t>
  </si>
  <si>
    <t>0940 (0942)</t>
  </si>
  <si>
    <t>2C98 WTT</t>
  </si>
  <si>
    <t>0939½ (0940)</t>
  </si>
  <si>
    <t>0940½ (0940)</t>
  </si>
  <si>
    <t>1N29 WTT</t>
  </si>
  <si>
    <t>0941 (0941)</t>
  </si>
  <si>
    <t>1K26 WTT</t>
  </si>
  <si>
    <t>0940½ (0941)</t>
  </si>
  <si>
    <t>2N24 WTT</t>
  </si>
  <si>
    <t>0944 (0946)</t>
  </si>
  <si>
    <t>1K41 WTT</t>
  </si>
  <si>
    <t>0943½ (0944)</t>
  </si>
  <si>
    <t>0944½</t>
  </si>
  <si>
    <t>2F30 WTT</t>
  </si>
  <si>
    <t>2Y18 WTT</t>
  </si>
  <si>
    <t>2W48 WTT</t>
  </si>
  <si>
    <t>0946½ (0947)</t>
  </si>
  <si>
    <t>2L31 WTT</t>
  </si>
  <si>
    <t>0949 (0953)</t>
  </si>
  <si>
    <t>2W43 WTT</t>
  </si>
  <si>
    <t>0947 (0947)</t>
  </si>
  <si>
    <t>2N35 WTT</t>
  </si>
  <si>
    <t>0952½ (0952)</t>
  </si>
  <si>
    <t>0954½ (0955)</t>
  </si>
  <si>
    <t>2W50 WTT</t>
  </si>
  <si>
    <t>0956½ (0957)</t>
  </si>
  <si>
    <t>0958½ (0958)</t>
  </si>
  <si>
    <t>2W45 WTT</t>
  </si>
  <si>
    <t>0957 (0957)</t>
  </si>
  <si>
    <t>2N26 WTT</t>
  </si>
  <si>
    <t>0959 (1001)</t>
  </si>
  <si>
    <t>2Y19 WTT</t>
  </si>
  <si>
    <t>1000 (1000)</t>
  </si>
  <si>
    <t>2S16 WTT</t>
  </si>
  <si>
    <t>2K43 WTT</t>
  </si>
  <si>
    <t>1001 (1001)</t>
  </si>
  <si>
    <t>1001½ (1001)</t>
  </si>
  <si>
    <t>1K28 WTT</t>
  </si>
  <si>
    <t>1001½ (1002)</t>
  </si>
  <si>
    <t>2L32 WTT</t>
  </si>
  <si>
    <t>1004 (1009)</t>
  </si>
  <si>
    <t>1005½ (1005)</t>
  </si>
  <si>
    <t>2N37 WTT</t>
  </si>
  <si>
    <t>1007 (1007)</t>
  </si>
  <si>
    <t>2S17 WTT</t>
  </si>
  <si>
    <t>1008 (1008)</t>
  </si>
  <si>
    <t>2W52 WTT</t>
  </si>
  <si>
    <t>1006½ (1007)</t>
  </si>
  <si>
    <t>1008½ (1008)</t>
  </si>
  <si>
    <t>2W47 WTT</t>
  </si>
  <si>
    <t>1Y12 WTT</t>
  </si>
  <si>
    <t>1008½ (1009)</t>
  </si>
  <si>
    <t>2N28 WTT</t>
  </si>
  <si>
    <t>1014 (1016)</t>
  </si>
  <si>
    <t>2Y20 WTT</t>
  </si>
  <si>
    <t>1015 (1015)</t>
  </si>
  <si>
    <t>2W54 WTT</t>
  </si>
  <si>
    <t>1016½ (1017)</t>
  </si>
  <si>
    <t>1018½ (1018)</t>
  </si>
  <si>
    <t>2W49 WTT</t>
  </si>
  <si>
    <t>2L33 WTT</t>
  </si>
  <si>
    <t>1019 (1024)</t>
  </si>
  <si>
    <t>1K45 WTT</t>
  </si>
  <si>
    <t>1019½ (1019)</t>
  </si>
  <si>
    <t>2K30 WTT</t>
  </si>
  <si>
    <t>1019½ (1020)</t>
  </si>
  <si>
    <t>1020 (1020)</t>
  </si>
  <si>
    <t>2N39 WTT</t>
  </si>
  <si>
    <t>1022 (1022)</t>
  </si>
  <si>
    <t>1N31 WTT</t>
  </si>
  <si>
    <t>1022½ (1022)</t>
  </si>
  <si>
    <t>1N18 WTT</t>
  </si>
  <si>
    <t>1024½ (1025)</t>
  </si>
  <si>
    <t>1025 (1025)</t>
  </si>
  <si>
    <t>2W56 WTT</t>
  </si>
  <si>
    <t>1026½ (1027)</t>
  </si>
  <si>
    <t>1028½ (1028)</t>
  </si>
  <si>
    <t>2W51 WTT</t>
  </si>
  <si>
    <t>1027 (1027)</t>
  </si>
  <si>
    <t>1029 (1029)</t>
  </si>
  <si>
    <t>2N30 WTT</t>
  </si>
  <si>
    <t>1029 (1032)</t>
  </si>
  <si>
    <t>2S18 WTT</t>
  </si>
  <si>
    <t>2Y21 WTT</t>
  </si>
  <si>
    <t>0918 (0918)</t>
  </si>
  <si>
    <t>2L34 WTT</t>
  </si>
  <si>
    <t>1034 (1039)</t>
  </si>
  <si>
    <t>2F21 WTT</t>
  </si>
  <si>
    <t>1034 (1034)</t>
  </si>
  <si>
    <t>1034½ (1034)</t>
  </si>
  <si>
    <t>2N41 WTT</t>
  </si>
  <si>
    <t>2S19 WTT</t>
  </si>
  <si>
    <t>2W58 WTT</t>
  </si>
  <si>
    <t>1036½ (1037)</t>
  </si>
  <si>
    <t>1038½ (1038)</t>
  </si>
  <si>
    <t>1P20 WTT</t>
  </si>
  <si>
    <t>1037½</t>
  </si>
  <si>
    <t>2W53 WTT</t>
  </si>
  <si>
    <t>1039 (1039)</t>
  </si>
  <si>
    <t>1K47 WTT</t>
  </si>
  <si>
    <t>1039½ (1039)</t>
  </si>
  <si>
    <t>1041½ (1042)</t>
  </si>
  <si>
    <t>2F36 WTT</t>
  </si>
  <si>
    <t>2N32 WTT</t>
  </si>
  <si>
    <t>1045 (1047)</t>
  </si>
  <si>
    <t>1P23 WTT</t>
  </si>
  <si>
    <t>2Y22 WTT</t>
  </si>
  <si>
    <t>1046 (1046)</t>
  </si>
  <si>
    <t>2W60 WTT</t>
  </si>
  <si>
    <t>1046½ (1047)</t>
  </si>
  <si>
    <t>2W55 WTT</t>
  </si>
  <si>
    <t>1047 (1047)</t>
  </si>
  <si>
    <t>2L35 WTT</t>
  </si>
  <si>
    <t>1051 (1056)</t>
  </si>
  <si>
    <t>2N43 WTT</t>
  </si>
  <si>
    <t>1052½ (1052)</t>
  </si>
  <si>
    <t>1054½ (1055)</t>
  </si>
  <si>
    <t>2W62 WTT</t>
  </si>
  <si>
    <t>1056½ (1057)</t>
  </si>
  <si>
    <t>1058½ (1058)</t>
  </si>
  <si>
    <t>2W57 WTT</t>
  </si>
  <si>
    <t>1057 (1057)</t>
  </si>
  <si>
    <t>2N34 WTT</t>
  </si>
  <si>
    <t>1059 (1104)</t>
  </si>
  <si>
    <t>2S20 WTT</t>
  </si>
  <si>
    <t>1100 (1100)</t>
  </si>
  <si>
    <t>2Y23 WTT</t>
  </si>
  <si>
    <t>2K49 WTT</t>
  </si>
  <si>
    <t>1101 (1101)</t>
  </si>
  <si>
    <t>1101½ (1101)</t>
  </si>
  <si>
    <t>1101½ (1102)</t>
  </si>
  <si>
    <t>2L36 WTT</t>
  </si>
  <si>
    <t>1104 (1109)</t>
  </si>
  <si>
    <t>1Y35 WTT</t>
  </si>
  <si>
    <t>1105½ (1105)</t>
  </si>
  <si>
    <t>2S21 WTT</t>
  </si>
  <si>
    <t>1107 (1107)</t>
  </si>
  <si>
    <t>2N45 WTT</t>
  </si>
  <si>
    <t>2W64 WTT</t>
  </si>
  <si>
    <t>1106½ (1107)</t>
  </si>
  <si>
    <t>1108½ (1108)</t>
  </si>
  <si>
    <t>2W59 WTT</t>
  </si>
  <si>
    <t>1Y14 WTT</t>
  </si>
  <si>
    <t>1108½ (1109)</t>
  </si>
  <si>
    <t>2Y24 WTT</t>
  </si>
  <si>
    <t>2N36 WTT</t>
  </si>
  <si>
    <t>1115 (1117)</t>
  </si>
  <si>
    <t>2W66 WTT</t>
  </si>
  <si>
    <t>1116½ (1117)</t>
  </si>
  <si>
    <t>1118½ (1118)</t>
  </si>
  <si>
    <t>2W61 WTT</t>
  </si>
  <si>
    <t>2L37 WTT</t>
  </si>
  <si>
    <t>1119 (1124)</t>
  </si>
  <si>
    <t>1K51 WTT</t>
  </si>
  <si>
    <t>1119½ (1119)</t>
  </si>
  <si>
    <t>2N47 WTT</t>
  </si>
  <si>
    <t>1120 (1120)</t>
  </si>
  <si>
    <t>2K36 WTT</t>
  </si>
  <si>
    <t>1119½ (1120)</t>
  </si>
  <si>
    <t>1N33 WTT</t>
  </si>
  <si>
    <t>1122 (1122)</t>
  </si>
  <si>
    <t>1122½ (1122)</t>
  </si>
  <si>
    <t>1N20 WTT</t>
  </si>
  <si>
    <t>1124½ (1125)</t>
  </si>
  <si>
    <t>1125 (1125)</t>
  </si>
  <si>
    <t>2W68 WTT</t>
  </si>
  <si>
    <t>1126½ (1127)</t>
  </si>
  <si>
    <t>1128½ (1128)</t>
  </si>
  <si>
    <t>2N38 WTT</t>
  </si>
  <si>
    <t>1129 (1134)</t>
  </si>
  <si>
    <t>2W63 WTT</t>
  </si>
  <si>
    <t>1127 (1127)</t>
  </si>
  <si>
    <t>1129 (1129)</t>
  </si>
  <si>
    <t>2Y25 WTT</t>
  </si>
  <si>
    <t>2S22 WTT</t>
  </si>
  <si>
    <t>2L38 WTT</t>
  </si>
  <si>
    <t>1136 (1141)</t>
  </si>
  <si>
    <t>2F27 VAR</t>
  </si>
  <si>
    <t>1136 (1136)</t>
  </si>
  <si>
    <t>1136½ (1136)</t>
  </si>
  <si>
    <t>2S23 WTT</t>
  </si>
  <si>
    <t>1P24 WTT</t>
  </si>
  <si>
    <t>1137½</t>
  </si>
  <si>
    <t>1138½ (1138)</t>
  </si>
  <si>
    <t>2W70 WTT</t>
  </si>
  <si>
    <t>1136½ (1137)</t>
  </si>
  <si>
    <t>2W65 WTT</t>
  </si>
  <si>
    <t>1139 (1139)</t>
  </si>
  <si>
    <t>1K53 WTT</t>
  </si>
  <si>
    <t>1139½ (1139)</t>
  </si>
  <si>
    <t>1141½ (1142)</t>
  </si>
  <si>
    <t>1144 (1146)</t>
  </si>
  <si>
    <t>2Y26 WTT</t>
  </si>
  <si>
    <t>2F42 WTT</t>
  </si>
  <si>
    <t>1P27 WTT</t>
  </si>
  <si>
    <t>2W72 WTT</t>
  </si>
  <si>
    <t>1146½ (1147)</t>
  </si>
  <si>
    <t>2W67 WTT</t>
  </si>
  <si>
    <t>1147 (1147)</t>
  </si>
  <si>
    <t>2L39 WTT</t>
  </si>
  <si>
    <t>1151 (1156)</t>
  </si>
  <si>
    <t>1154 (1152)</t>
  </si>
  <si>
    <t>1154½ (1152)</t>
  </si>
  <si>
    <t>1155 (1152)</t>
  </si>
  <si>
    <t>1154½ (1155)</t>
  </si>
  <si>
    <t>2W74 WTT</t>
  </si>
  <si>
    <t>1156½ (1157)</t>
  </si>
  <si>
    <t>1158½ (1158)</t>
  </si>
  <si>
    <t>2W69 WTT</t>
  </si>
  <si>
    <t>1157 (1157)</t>
  </si>
  <si>
    <t>1159 (1203)</t>
  </si>
  <si>
    <t>2S24 WTT</t>
  </si>
  <si>
    <t>1200 (1200)</t>
  </si>
  <si>
    <t>1146 (1146)</t>
  </si>
  <si>
    <t>SRA</t>
  </si>
  <si>
    <t>2K55 WTT</t>
  </si>
  <si>
    <t>1201 (1201)</t>
  </si>
  <si>
    <t>1201½ (1201)</t>
  </si>
  <si>
    <t>2Y27 WTT</t>
  </si>
  <si>
    <t>1K40 WTT</t>
  </si>
  <si>
    <t>1201½ (1202)</t>
  </si>
  <si>
    <t>2L40 WTT</t>
  </si>
  <si>
    <t>1205 (1210)</t>
  </si>
  <si>
    <t>1Y37 WTT</t>
  </si>
  <si>
    <t>1205½ (1205)</t>
  </si>
  <si>
    <t>1207 (1207)</t>
  </si>
  <si>
    <t>2S25 WTT</t>
  </si>
  <si>
    <t>2W76 WTT</t>
  </si>
  <si>
    <t>1206½ (1207)</t>
  </si>
  <si>
    <t>1208½ (1208)</t>
  </si>
  <si>
    <t>2W71 WTT</t>
  </si>
  <si>
    <t>1Y16 WTT</t>
  </si>
  <si>
    <t>1208½ (1209)</t>
  </si>
  <si>
    <t>1214 (1216)</t>
  </si>
  <si>
    <t>2Y28 WTT</t>
  </si>
  <si>
    <t>1215 (1215)</t>
  </si>
  <si>
    <t>2W78 WTT</t>
  </si>
  <si>
    <t>1216½ (1217)</t>
  </si>
  <si>
    <t>1218½ (1218)</t>
  </si>
  <si>
    <t>2W73 WTT</t>
  </si>
  <si>
    <t>2L41 WTT</t>
  </si>
  <si>
    <t>1219 (1224)</t>
  </si>
  <si>
    <t>1219½ (1219)</t>
  </si>
  <si>
    <t>2K42 WTT</t>
  </si>
  <si>
    <t>1219½ (1220)</t>
  </si>
  <si>
    <t>1220 (1220)</t>
  </si>
  <si>
    <t>1222 (1222)</t>
  </si>
  <si>
    <t>1N35 WTT</t>
  </si>
  <si>
    <t>1222½ (1222)</t>
  </si>
  <si>
    <t>1N22 WTT</t>
  </si>
  <si>
    <t>1224½ (1225)</t>
  </si>
  <si>
    <t>1225 (1225)</t>
  </si>
  <si>
    <t>2W80 WTT</t>
  </si>
  <si>
    <t>1226½ (1227)</t>
  </si>
  <si>
    <t>1228½ (1228)</t>
  </si>
  <si>
    <t>2W75 WTT</t>
  </si>
  <si>
    <t>1227 (1227)</t>
  </si>
  <si>
    <t>1229 (1229)</t>
  </si>
  <si>
    <t>1229 (1234)</t>
  </si>
  <si>
    <t>2S26 WTT</t>
  </si>
  <si>
    <t>2Y29 WTT</t>
  </si>
  <si>
    <t>1232 (1232)</t>
  </si>
  <si>
    <t>2L42 WTT</t>
  </si>
  <si>
    <t>1235 (1240)</t>
  </si>
  <si>
    <t>2F33 WTT</t>
  </si>
  <si>
    <t>1236 (1236)</t>
  </si>
  <si>
    <t>1236½ (1236)</t>
  </si>
  <si>
    <t>2S27 WTT</t>
  </si>
  <si>
    <t>1P28 WTT</t>
  </si>
  <si>
    <t>1237½</t>
  </si>
  <si>
    <t>1238½ (1238)</t>
  </si>
  <si>
    <t>2W82 WTT</t>
  </si>
  <si>
    <t>1236½ (1237)</t>
  </si>
  <si>
    <t>2N57 WTT</t>
  </si>
  <si>
    <t>1239 (1239)</t>
  </si>
  <si>
    <t>2W77 WTT</t>
  </si>
  <si>
    <t>1K59 WTT</t>
  </si>
  <si>
    <t>1239½ (1239)</t>
  </si>
  <si>
    <t>1K44 WTT</t>
  </si>
  <si>
    <t>1241½ (1242)</t>
  </si>
  <si>
    <t>2N48 WTT</t>
  </si>
  <si>
    <t>1244 (1248)</t>
  </si>
  <si>
    <t>2F48 WTT</t>
  </si>
  <si>
    <t>2Y30 WTT</t>
  </si>
  <si>
    <t>1P31 WTT</t>
  </si>
  <si>
    <t>2W84 WTT</t>
  </si>
  <si>
    <t>1246½ (1247)</t>
  </si>
  <si>
    <t>2W79 WTT</t>
  </si>
  <si>
    <t>1247 (1247)</t>
  </si>
  <si>
    <t>2L43 WTT</t>
  </si>
  <si>
    <t>1249 (1254)</t>
  </si>
  <si>
    <t>2N59 WTT</t>
  </si>
  <si>
    <t>1252½ (1252)</t>
  </si>
  <si>
    <t>1254½ (1255)</t>
  </si>
  <si>
    <t>2W86 WTT</t>
  </si>
  <si>
    <t>1256½ (1257)</t>
  </si>
  <si>
    <t>1258½ (1258)</t>
  </si>
  <si>
    <t>2W81 WTT</t>
  </si>
  <si>
    <t>1257 (1257)</t>
  </si>
  <si>
    <t>2N50 WTT</t>
  </si>
  <si>
    <t>1259 (1303)</t>
  </si>
  <si>
    <t>2S28 WTT</t>
  </si>
  <si>
    <t>1300 (1300)</t>
  </si>
  <si>
    <t>2K61 WTT</t>
  </si>
  <si>
    <t>1301 (1301)</t>
  </si>
  <si>
    <t>1301½ (1301)</t>
  </si>
  <si>
    <t>2Y31 WTT</t>
  </si>
  <si>
    <t>1K46 WTT</t>
  </si>
  <si>
    <t>1301½ (1302)</t>
  </si>
  <si>
    <t>2L44 WTT</t>
  </si>
  <si>
    <t>1305 (1310)</t>
  </si>
  <si>
    <t>1Y39 WTT</t>
  </si>
  <si>
    <t>1305½ (1305)</t>
  </si>
  <si>
    <t>2S29 WTT</t>
  </si>
  <si>
    <t>1307 (1307)</t>
  </si>
  <si>
    <t>2N61 WTT</t>
  </si>
  <si>
    <t>2W88 WTT</t>
  </si>
  <si>
    <t>1306½ (1307)</t>
  </si>
  <si>
    <t>1308½ (1308)</t>
  </si>
  <si>
    <t>2W83 WTT</t>
  </si>
  <si>
    <t>1Y18 WTT</t>
  </si>
  <si>
    <t>1308½ (1309)</t>
  </si>
  <si>
    <t>2N52 WTT</t>
  </si>
  <si>
    <t>1314 (1316)</t>
  </si>
  <si>
    <t>2Y32 WTT</t>
  </si>
  <si>
    <t>1315 (1315)</t>
  </si>
  <si>
    <t>2W90 WTT</t>
  </si>
  <si>
    <t>1316½ (1317)</t>
  </si>
  <si>
    <t>1318½ (1318)</t>
  </si>
  <si>
    <t>2W85 WTT</t>
  </si>
  <si>
    <t>2L45 WTT</t>
  </si>
  <si>
    <t>1319 (1324)</t>
  </si>
  <si>
    <t>1K63 WTT</t>
  </si>
  <si>
    <t>1319½ (1319)</t>
  </si>
  <si>
    <t>2K48 WTT</t>
  </si>
  <si>
    <t>1319½ (1320)</t>
  </si>
  <si>
    <t>1320 (1320)</t>
  </si>
  <si>
    <t>2N63 WTT</t>
  </si>
  <si>
    <t>1322 (1322)</t>
  </si>
  <si>
    <t>1N37 WTT</t>
  </si>
  <si>
    <t>1322½ (1322)</t>
  </si>
  <si>
    <t>1N24 WTT</t>
  </si>
  <si>
    <t>1324½ (1325)</t>
  </si>
  <si>
    <t>1325 (1325)</t>
  </si>
  <si>
    <t>2W92 WTT</t>
  </si>
  <si>
    <t>1326½ (1327)</t>
  </si>
  <si>
    <t>1328½ (1328)</t>
  </si>
  <si>
    <t>2N54 WTT</t>
  </si>
  <si>
    <t>1329 (1333)</t>
  </si>
  <si>
    <t>2W87 WTT</t>
  </si>
  <si>
    <t>1327 (1327)</t>
  </si>
  <si>
    <t>1329 (1329)</t>
  </si>
  <si>
    <t>2S30 WTT</t>
  </si>
  <si>
    <t>2Y33 WTT</t>
  </si>
  <si>
    <t>1246 (1246)</t>
  </si>
  <si>
    <t>2L46 WTT</t>
  </si>
  <si>
    <t>1336 (1341)</t>
  </si>
  <si>
    <t>2F39 WTT</t>
  </si>
  <si>
    <t>1336 (1336)</t>
  </si>
  <si>
    <t>1336½ (1336)</t>
  </si>
  <si>
    <t>2N65 WTT</t>
  </si>
  <si>
    <t>2S31 WTT</t>
  </si>
  <si>
    <t>1P32 WTT</t>
  </si>
  <si>
    <t>1337½</t>
  </si>
  <si>
    <t>1338½ (1338)</t>
  </si>
  <si>
    <t>2W94 WTT</t>
  </si>
  <si>
    <t>1336½ (1337)</t>
  </si>
  <si>
    <t>2W89 WTT</t>
  </si>
  <si>
    <t>1339 (1339)</t>
  </si>
  <si>
    <t>1K65 WTT</t>
  </si>
  <si>
    <t>1339½ (1339)</t>
  </si>
  <si>
    <t>1K50 WTT</t>
  </si>
  <si>
    <t>1341½ (1342)</t>
  </si>
  <si>
    <t>2N58 WTT</t>
  </si>
  <si>
    <t>1344 (1346)</t>
  </si>
  <si>
    <t>2F54 WTT</t>
  </si>
  <si>
    <t>2Y34 WTT</t>
  </si>
  <si>
    <t>1P35 WTT</t>
  </si>
  <si>
    <t>2W96 WTT</t>
  </si>
  <si>
    <t>1346½ (1347)</t>
  </si>
  <si>
    <t>2W91 WTT</t>
  </si>
  <si>
    <t>1347 (1347)</t>
  </si>
  <si>
    <t>2L47 WTT</t>
  </si>
  <si>
    <t>1349 (1354)</t>
  </si>
  <si>
    <t>2N67 WTT</t>
  </si>
  <si>
    <t>1352½ (1352)</t>
  </si>
  <si>
    <t>1354½ (1355)</t>
  </si>
  <si>
    <t>2W98 WTT</t>
  </si>
  <si>
    <t>1356½ (1357)</t>
  </si>
  <si>
    <t>1358½ (1358)</t>
  </si>
  <si>
    <t>2N60 WTT</t>
  </si>
  <si>
    <t>1359 (1403)</t>
  </si>
  <si>
    <t>2W93 WTT</t>
  </si>
  <si>
    <t>1357 (1357)</t>
  </si>
  <si>
    <t>2S32 WTT</t>
  </si>
  <si>
    <t>1400 (1400)</t>
  </si>
  <si>
    <t>2K67 WTT</t>
  </si>
  <si>
    <t>1401 (1401)</t>
  </si>
  <si>
    <t>1401½ (1401)</t>
  </si>
  <si>
    <t>1K52 WTT</t>
  </si>
  <si>
    <t>1401½ (1402)</t>
  </si>
  <si>
    <t>2Y35 WTT</t>
  </si>
  <si>
    <t>2L48 WTT</t>
  </si>
  <si>
    <t>1405 (1410)</t>
  </si>
  <si>
    <t>1Y41 WTT</t>
  </si>
  <si>
    <t>1405½ (1405)</t>
  </si>
  <si>
    <t>2N69 WTT</t>
  </si>
  <si>
    <t>1407 (1407)</t>
  </si>
  <si>
    <t>2S33 WTT</t>
  </si>
  <si>
    <t>1406½ (1407)</t>
  </si>
  <si>
    <t>1408½ (1408)</t>
  </si>
  <si>
    <t>1Y20 WTT</t>
  </si>
  <si>
    <t>1408½ (1409)</t>
  </si>
  <si>
    <t>2W95 WTT</t>
  </si>
  <si>
    <t>2N62 WTT</t>
  </si>
  <si>
    <t>1414 (1415)</t>
  </si>
  <si>
    <t>2Y36 WTT</t>
  </si>
  <si>
    <t>1415 (1415)</t>
  </si>
  <si>
    <t>1416½ (1417)</t>
  </si>
  <si>
    <t>1418½ (1418)</t>
  </si>
  <si>
    <t>2L49 WTT</t>
  </si>
  <si>
    <t>1419 (1424)</t>
  </si>
  <si>
    <t>2W97 WTT</t>
  </si>
  <si>
    <t>1K69 WTT</t>
  </si>
  <si>
    <t>1419½ (1419)</t>
  </si>
  <si>
    <t>2K54 WTT</t>
  </si>
  <si>
    <t>1419½ (1420)</t>
  </si>
  <si>
    <t>1420 (1420)</t>
  </si>
  <si>
    <t>2N71 WTT</t>
  </si>
  <si>
    <t>1422 (1422)</t>
  </si>
  <si>
    <t>1N39 WTT</t>
  </si>
  <si>
    <t>1422½ (1422)</t>
  </si>
  <si>
    <t>1N26 WTT</t>
  </si>
  <si>
    <t>1424½ (1425)</t>
  </si>
  <si>
    <t>1425 (1425)</t>
  </si>
  <si>
    <t>1426½ (1427)</t>
  </si>
  <si>
    <t>1428½ (1428)</t>
  </si>
  <si>
    <t>2N64 WTT</t>
  </si>
  <si>
    <t>1429 (1433)</t>
  </si>
  <si>
    <t>2W99 WTT</t>
  </si>
  <si>
    <t>1427 (1427)</t>
  </si>
  <si>
    <t>1429 (1429)</t>
  </si>
  <si>
    <t>2S34 WTT</t>
  </si>
  <si>
    <t>2Y37 WTT</t>
  </si>
  <si>
    <t>1432 (1432)</t>
  </si>
  <si>
    <t>2L50 WTT</t>
  </si>
  <si>
    <t>1436 (1441)</t>
  </si>
  <si>
    <t>2F45 WTT</t>
  </si>
  <si>
    <t>1436 (1436)</t>
  </si>
  <si>
    <t>1436½ (1436)</t>
  </si>
  <si>
    <t>2S35 WTT</t>
  </si>
  <si>
    <t>2N73 WTT</t>
  </si>
  <si>
    <t>1436½ (1437)</t>
  </si>
  <si>
    <t>1438½ (1438)</t>
  </si>
  <si>
    <t>1P36 WTT</t>
  </si>
  <si>
    <t>1437½</t>
  </si>
  <si>
    <t>1439 (1439)</t>
  </si>
  <si>
    <t>1K71 WTT</t>
  </si>
  <si>
    <t>1439½ (1439)</t>
  </si>
  <si>
    <t>1K56 WTT</t>
  </si>
  <si>
    <t>1441½ (1442)</t>
  </si>
  <si>
    <t>2N66 WTT</t>
  </si>
  <si>
    <t>1444 (1446)</t>
  </si>
  <si>
    <t>2Y38 WTT</t>
  </si>
  <si>
    <t>2F60 WTT</t>
  </si>
  <si>
    <t>1P39 WTT</t>
  </si>
  <si>
    <t>1446½ (1447)</t>
  </si>
  <si>
    <t>1447 (1447)</t>
  </si>
  <si>
    <t>2L51 WTT</t>
  </si>
  <si>
    <t>1449 (1454)</t>
  </si>
  <si>
    <t>2N75 WTT</t>
  </si>
  <si>
    <t>1452½ (1452)</t>
  </si>
  <si>
    <t>1454½ (1455)</t>
  </si>
  <si>
    <t>1456½ (1457)</t>
  </si>
  <si>
    <t>1458½ (1458)</t>
  </si>
  <si>
    <t>1457 (1457)</t>
  </si>
  <si>
    <t>2N68 WTT</t>
  </si>
  <si>
    <t>1459 (1503)</t>
  </si>
  <si>
    <t>1K73 WTT</t>
  </si>
  <si>
    <t>1459½ (1459)</t>
  </si>
  <si>
    <t>2S36 WTT</t>
  </si>
  <si>
    <t>1500 (1500)</t>
  </si>
  <si>
    <t>2Y39 WTT</t>
  </si>
  <si>
    <t>Plat11</t>
  </si>
  <si>
    <t>1K58 WTT</t>
  </si>
  <si>
    <t>1501½ (1502)</t>
  </si>
  <si>
    <t>2L52 WTT</t>
  </si>
  <si>
    <t>1504 (1509)</t>
  </si>
  <si>
    <t>1Y43 WTT</t>
  </si>
  <si>
    <t>1505½ (1505)</t>
  </si>
  <si>
    <t>2S37 WTT</t>
  </si>
  <si>
    <t>1507 (1507)</t>
  </si>
  <si>
    <t>1506½ (1507)</t>
  </si>
  <si>
    <t>1508½ (1508)</t>
  </si>
  <si>
    <t>1Y22 WTT</t>
  </si>
  <si>
    <t>1508½ (1509)</t>
  </si>
  <si>
    <t>2N70 WTT</t>
  </si>
  <si>
    <t>1514 (1516)</t>
  </si>
  <si>
    <t>2Y40 WTT</t>
  </si>
  <si>
    <t>1516½ (1517)</t>
  </si>
  <si>
    <t>1518½ (1518)</t>
  </si>
  <si>
    <t>2L53 WTT</t>
  </si>
  <si>
    <t>1519 (1524)</t>
  </si>
  <si>
    <t>1K75 WTT</t>
  </si>
  <si>
    <t>1519½ (1519)</t>
  </si>
  <si>
    <t>2K60 WTT</t>
  </si>
  <si>
    <t>1519½ (1520)</t>
  </si>
  <si>
    <t>1520 (1520)</t>
  </si>
  <si>
    <t>2N79 WTT</t>
  </si>
  <si>
    <t>1522 (1522)</t>
  </si>
  <si>
    <t>1N41 WTT</t>
  </si>
  <si>
    <t>1522½ (1522)</t>
  </si>
  <si>
    <t>1N28 WTT</t>
  </si>
  <si>
    <t>1524½ (1525)</t>
  </si>
  <si>
    <t>1525 (1525)</t>
  </si>
  <si>
    <t>2Y41 WTT</t>
  </si>
  <si>
    <t>1526½ (1527)</t>
  </si>
  <si>
    <t>1528½ (1528)</t>
  </si>
  <si>
    <t>1527 (1527)</t>
  </si>
  <si>
    <t>1529 (1529)</t>
  </si>
  <si>
    <t>2S38 WTT</t>
  </si>
  <si>
    <t>2N72 WTT</t>
  </si>
  <si>
    <t>1531 (1535)</t>
  </si>
  <si>
    <t>2L54 WTT</t>
  </si>
  <si>
    <t>1534 (1539)</t>
  </si>
  <si>
    <t>2F51 WTT</t>
  </si>
  <si>
    <t>1536 (1536)</t>
  </si>
  <si>
    <t>1536½ (1536)</t>
  </si>
  <si>
    <t>2S39 WTT</t>
  </si>
  <si>
    <t>2N81 WTT</t>
  </si>
  <si>
    <t>1536½ (1537)</t>
  </si>
  <si>
    <t>1538½ (1538)</t>
  </si>
  <si>
    <t>1539 (1539)</t>
  </si>
  <si>
    <t>1K77 WTT</t>
  </si>
  <si>
    <t>1539½ (1539)</t>
  </si>
  <si>
    <t>1K62 WTT</t>
  </si>
  <si>
    <t>1541½ (1542)</t>
  </si>
  <si>
    <t>1544 (1546)</t>
  </si>
  <si>
    <t>2F68 WTT</t>
  </si>
  <si>
    <t>2Y42 WTT</t>
  </si>
  <si>
    <t>1P43 WTT</t>
  </si>
  <si>
    <t>1546½ (1547)</t>
  </si>
  <si>
    <t>1547 (1547)</t>
  </si>
  <si>
    <t>2N83 WTT</t>
  </si>
  <si>
    <t>1552½ (1552)</t>
  </si>
  <si>
    <t>2L55 WTT</t>
  </si>
  <si>
    <t>1554 (1559)</t>
  </si>
  <si>
    <t>1554½ (1555)</t>
  </si>
  <si>
    <t>1556½ (1557)</t>
  </si>
  <si>
    <t>1558½ (1558)</t>
  </si>
  <si>
    <t>2N76 WTT</t>
  </si>
  <si>
    <t>1559 (1603)</t>
  </si>
  <si>
    <t>1557 (1557)</t>
  </si>
  <si>
    <t>2Y43 WTT</t>
  </si>
  <si>
    <t>1600 (1600)</t>
  </si>
  <si>
    <t>2S40 WTT</t>
  </si>
  <si>
    <t>2K79 WTT</t>
  </si>
  <si>
    <t>1601 (1601)</t>
  </si>
  <si>
    <t>1601½ (1601)</t>
  </si>
  <si>
    <t>1K64 WTT</t>
  </si>
  <si>
    <t>1601½ (1602)</t>
  </si>
  <si>
    <t>2C71 WTT</t>
  </si>
  <si>
    <t>2L56 WTT</t>
  </si>
  <si>
    <t>1605 (1610)</t>
  </si>
  <si>
    <t>1Y45 WTT</t>
  </si>
  <si>
    <t>1605½ (1605)</t>
  </si>
  <si>
    <t>2N85 WTT</t>
  </si>
  <si>
    <t>1607 (1607)</t>
  </si>
  <si>
    <t>2S41 WTT</t>
  </si>
  <si>
    <t>1608 (1608)</t>
  </si>
  <si>
    <t>1606½ (1607)</t>
  </si>
  <si>
    <t>1608½ (1608)</t>
  </si>
  <si>
    <t>1Y24 WTT</t>
  </si>
  <si>
    <t>1608½ (1609)</t>
  </si>
  <si>
    <t>1609 (1609)</t>
  </si>
  <si>
    <t>2G90 WTT</t>
  </si>
  <si>
    <t>1610 (1614)</t>
  </si>
  <si>
    <t>2G91 WTT</t>
  </si>
  <si>
    <t>1611 (1611)</t>
  </si>
  <si>
    <t>2N56 WTT</t>
  </si>
  <si>
    <t>1614 (1619)</t>
  </si>
  <si>
    <t>2Y44 WTT</t>
  </si>
  <si>
    <t>1615 (1615)</t>
  </si>
  <si>
    <t>1K66 WTT</t>
  </si>
  <si>
    <t>1617½ (1618)</t>
  </si>
  <si>
    <t>1618½ (1618)</t>
  </si>
  <si>
    <t>1616½ (1617)</t>
  </si>
  <si>
    <t>2L57 WTT</t>
  </si>
  <si>
    <t>1619 (1624)</t>
  </si>
  <si>
    <t>1K81 WTT</t>
  </si>
  <si>
    <t>1619½ (1619)</t>
  </si>
  <si>
    <t>2N87 WTT</t>
  </si>
  <si>
    <t>1622 (1622)</t>
  </si>
  <si>
    <t>1N43 WTT</t>
  </si>
  <si>
    <t>1622½ (1622)</t>
  </si>
  <si>
    <t>1N38 WTT</t>
  </si>
  <si>
    <t>1621½ (1622)</t>
  </si>
  <si>
    <t>2C73 WTT</t>
  </si>
  <si>
    <t>1624½ (1625)</t>
  </si>
  <si>
    <t>1625½ (1625)</t>
  </si>
  <si>
    <t>1626½ (1627)</t>
  </si>
  <si>
    <t>1628½ (1628)</t>
  </si>
  <si>
    <t>1627 (1627)</t>
  </si>
  <si>
    <t>1629 (1629)</t>
  </si>
  <si>
    <t>2S42 WTT</t>
  </si>
  <si>
    <t>1630 (1632)</t>
  </si>
  <si>
    <t>Plat10</t>
  </si>
  <si>
    <t>Plat12</t>
  </si>
  <si>
    <t>1546 (1546)</t>
  </si>
  <si>
    <t>1446 (1446)</t>
  </si>
  <si>
    <t>1346 (1346)</t>
  </si>
  <si>
    <t>2Y45 WTT</t>
  </si>
  <si>
    <t>1632 (1632)</t>
  </si>
  <si>
    <t>1K68 WTT</t>
  </si>
  <si>
    <t>1631½ (1632)</t>
  </si>
  <si>
    <t>1632½ (1632)</t>
  </si>
  <si>
    <t>2C75 WTT</t>
  </si>
  <si>
    <t>1634 (1634)</t>
  </si>
  <si>
    <t>1634½ (1634)</t>
  </si>
  <si>
    <t>2L58 WTT</t>
  </si>
  <si>
    <t>1635 (1640)</t>
  </si>
  <si>
    <t>2C00 WTT</t>
  </si>
  <si>
    <t>1634½ (1635)</t>
  </si>
  <si>
    <t>1636½ (1636)</t>
  </si>
  <si>
    <t>2S43 WTT</t>
  </si>
  <si>
    <t>2N89 WTT</t>
  </si>
  <si>
    <t>1639 (1639)</t>
  </si>
  <si>
    <t>1K83 WTT</t>
  </si>
  <si>
    <t>1639½ (1639)</t>
  </si>
  <si>
    <t>2G92 WTT</t>
  </si>
  <si>
    <t>1640 (1644)</t>
  </si>
  <si>
    <t>2G93 WTT</t>
  </si>
  <si>
    <t>1641 (1641)</t>
  </si>
  <si>
    <t>1641½ (1642)</t>
  </si>
  <si>
    <t>1642½ (1642)</t>
  </si>
  <si>
    <t>1642½ (1643)</t>
  </si>
  <si>
    <t>1643½ (1643)</t>
  </si>
  <si>
    <t>2N80 WTT</t>
  </si>
  <si>
    <t>1644 (1646)</t>
  </si>
  <si>
    <t>2Y46 WTT</t>
  </si>
  <si>
    <t>1P47 WTT</t>
  </si>
  <si>
    <t>2S44 WTT</t>
  </si>
  <si>
    <t>1647 (1647)</t>
  </si>
  <si>
    <t>1648 (1648)</t>
  </si>
  <si>
    <t>1K70 WTT</t>
  </si>
  <si>
    <t>1647½ (1648)</t>
  </si>
  <si>
    <t>2C02 WTT</t>
  </si>
  <si>
    <t>1646½ (1647)</t>
  </si>
  <si>
    <t>2L59 WTT</t>
  </si>
  <si>
    <t>1649 (1654)</t>
  </si>
  <si>
    <t>2C77 WTT</t>
  </si>
  <si>
    <t>2N91 WTT</t>
  </si>
  <si>
    <t>1652½ (1652)</t>
  </si>
  <si>
    <t>1N40 WTT</t>
  </si>
  <si>
    <t>1651½ (1652)</t>
  </si>
  <si>
    <t>1653½ (1654)</t>
  </si>
  <si>
    <t>1654½ (1654)</t>
  </si>
  <si>
    <t>1654½ (1655)</t>
  </si>
  <si>
    <t>1655½ (1655)</t>
  </si>
  <si>
    <t>1657 (1657)</t>
  </si>
  <si>
    <t>2C04 WTT</t>
  </si>
  <si>
    <t>1656½ (1657)</t>
  </si>
  <si>
    <t>1658½ (1658)</t>
  </si>
  <si>
    <t>1K85 WTT</t>
  </si>
  <si>
    <t>1659½ (1659)</t>
  </si>
  <si>
    <t>2N82 WTT</t>
  </si>
  <si>
    <t>1659½ (1705)</t>
  </si>
  <si>
    <t>2Y47 WTT</t>
  </si>
  <si>
    <t>1700 (1700)</t>
  </si>
  <si>
    <t>2C79 WTT</t>
  </si>
  <si>
    <t>1701 (1701)</t>
  </si>
  <si>
    <t>1K72 WTT</t>
  </si>
  <si>
    <t>1701½ (1702)</t>
  </si>
  <si>
    <t>1702½ (1702)</t>
  </si>
  <si>
    <t>2L60 WTT</t>
  </si>
  <si>
    <t>1704 (1709)</t>
  </si>
  <si>
    <t>1703½ (1704)</t>
  </si>
  <si>
    <t>1704½ (1704)</t>
  </si>
  <si>
    <t>1Y47 WTT</t>
  </si>
  <si>
    <t>1705½ (1705)</t>
  </si>
  <si>
    <t>2N93 WTT</t>
  </si>
  <si>
    <t>1707 (1707)</t>
  </si>
  <si>
    <t>1708 (1708)</t>
  </si>
  <si>
    <t>2S45 WTT</t>
  </si>
  <si>
    <t>2C06 WTT</t>
  </si>
  <si>
    <t>1706½ (1707)</t>
  </si>
  <si>
    <t>1708½ (1708)</t>
  </si>
  <si>
    <t>2G94 WTT</t>
  </si>
  <si>
    <t>1710 (1714)</t>
  </si>
  <si>
    <t>1P48 WTT</t>
  </si>
  <si>
    <t>1709½ (1710)</t>
  </si>
  <si>
    <t>1710½ (1710)</t>
  </si>
  <si>
    <t>2G95 WTT</t>
  </si>
  <si>
    <t>1711 (1711)</t>
  </si>
  <si>
    <t>2C81 WTT</t>
  </si>
  <si>
    <t>1K74 WTT</t>
  </si>
  <si>
    <t>1712½ (1713)</t>
  </si>
  <si>
    <t>1713½ (1713)</t>
  </si>
  <si>
    <t>2N84 WTT</t>
  </si>
  <si>
    <t>1714 (1718)</t>
  </si>
  <si>
    <t>1713½ (1714)</t>
  </si>
  <si>
    <t>1714½ (1714)</t>
  </si>
  <si>
    <t>2Y48 WTT</t>
  </si>
  <si>
    <t>1715 (1715)</t>
  </si>
  <si>
    <t>1N44 WTT</t>
  </si>
  <si>
    <t>1715½ (1716)</t>
  </si>
  <si>
    <t>1716½ (1716)</t>
  </si>
  <si>
    <t>2O48 WTT</t>
  </si>
  <si>
    <t>2C08 WTT</t>
  </si>
  <si>
    <t>1716½ (1717)</t>
  </si>
  <si>
    <t>1718½ (1718)</t>
  </si>
  <si>
    <t>2L61 WTT</t>
  </si>
  <si>
    <t>1719 (1724)</t>
  </si>
  <si>
    <t>1K87 WTT</t>
  </si>
  <si>
    <t>1719½ (1719)</t>
  </si>
  <si>
    <t>1719½ (1720)</t>
  </si>
  <si>
    <t>1720½ (1720)</t>
  </si>
  <si>
    <t>2N95 WTT</t>
  </si>
  <si>
    <t>1722 (1722)</t>
  </si>
  <si>
    <t>1N47 WTT</t>
  </si>
  <si>
    <t>1722½ (1722)</t>
  </si>
  <si>
    <t>1K76 WTT</t>
  </si>
  <si>
    <t>1722½ (1723)</t>
  </si>
  <si>
    <t>1723½ (1723)</t>
  </si>
  <si>
    <t>2C83 WTT</t>
  </si>
  <si>
    <t>1723½ (1724)</t>
  </si>
  <si>
    <t>1724½ (1724)</t>
  </si>
  <si>
    <t>1Y28 WTT</t>
  </si>
  <si>
    <t>1725½ (1726)</t>
  </si>
  <si>
    <t>1726½ (1726)</t>
  </si>
  <si>
    <t>2C10 WTT</t>
  </si>
  <si>
    <t>1726½ (1727)</t>
  </si>
  <si>
    <t>1728½ (1728)</t>
  </si>
  <si>
    <t>2N86 WTT</t>
  </si>
  <si>
    <t>1729 (1731)</t>
  </si>
  <si>
    <t>1727 (1727)</t>
  </si>
  <si>
    <t>1729 (1729)</t>
  </si>
  <si>
    <t>1728½ (1729)</t>
  </si>
  <si>
    <t>1729½ (1729)</t>
  </si>
  <si>
    <t>2Y49 WTT</t>
  </si>
  <si>
    <t>1730½ (1731)</t>
  </si>
  <si>
    <t>1731½ (1731)</t>
  </si>
  <si>
    <t>2L62 WTT</t>
  </si>
  <si>
    <t>1734 (1739)</t>
  </si>
  <si>
    <t>1734 (1734)</t>
  </si>
  <si>
    <t>1K78 WTT</t>
  </si>
  <si>
    <t>1733½ (1734)</t>
  </si>
  <si>
    <t>1734½ (1734)</t>
  </si>
  <si>
    <t>2S47 WTT</t>
  </si>
  <si>
    <t>1736 (1736)</t>
  </si>
  <si>
    <t>1736½ (1736)</t>
  </si>
  <si>
    <t>2N97 WTT</t>
  </si>
  <si>
    <t>2C12 WTT</t>
  </si>
  <si>
    <t>1736½ (1737)</t>
  </si>
  <si>
    <t>1738½ (1738)</t>
  </si>
  <si>
    <t>1K89 WTT</t>
  </si>
  <si>
    <t>1739 (1739)</t>
  </si>
  <si>
    <t>1739½ (1739)</t>
  </si>
  <si>
    <t>2G96 WTT</t>
  </si>
  <si>
    <t>1740 (1744)</t>
  </si>
  <si>
    <t>1N46 WTT</t>
  </si>
  <si>
    <t>1739½ (1740)</t>
  </si>
  <si>
    <t>1740½ (1740)</t>
  </si>
  <si>
    <t>2G97 WTT</t>
  </si>
  <si>
    <t>1741 (1741)</t>
  </si>
  <si>
    <t>1742½ (1742)</t>
  </si>
  <si>
    <t>1K80 WTT</t>
  </si>
  <si>
    <t>1742½ (1743)</t>
  </si>
  <si>
    <t>1743½ (1743)</t>
  </si>
  <si>
    <t>2N88 WTT</t>
  </si>
  <si>
    <t>1744 (1746)</t>
  </si>
  <si>
    <t>2Y50 WTT</t>
  </si>
  <si>
    <t>1745½ (1745)</t>
  </si>
  <si>
    <t>1P51 WTT</t>
  </si>
  <si>
    <t>2C14 WTT</t>
  </si>
  <si>
    <t>1745½ (1746)</t>
  </si>
  <si>
    <t>1746½ (1746)</t>
  </si>
  <si>
    <t>2S48 WTT</t>
  </si>
  <si>
    <t>1747 (1747)</t>
  </si>
  <si>
    <t>1Y30 WTT</t>
  </si>
  <si>
    <t>1746½ (1747)</t>
  </si>
  <si>
    <t>1747½ (1747)</t>
  </si>
  <si>
    <t>2L63 WTT</t>
  </si>
  <si>
    <t>1749 (1754)</t>
  </si>
  <si>
    <t>1748½ (1749)</t>
  </si>
  <si>
    <t>1749½ (1749)</t>
  </si>
  <si>
    <t>2C16 WTT</t>
  </si>
  <si>
    <t>2C43 WTT</t>
  </si>
  <si>
    <t>1750 (1750)</t>
  </si>
  <si>
    <t>2N99 WTT</t>
  </si>
  <si>
    <t>1752½ (1752)</t>
  </si>
  <si>
    <t>1752½ (1753)</t>
  </si>
  <si>
    <t>1753½ (1753)</t>
  </si>
  <si>
    <t>1K82 WTT</t>
  </si>
  <si>
    <t>1754½ (1755)</t>
  </si>
  <si>
    <t>1755½ (1755)</t>
  </si>
  <si>
    <t>2K84 WTT</t>
  </si>
  <si>
    <t>1755½ (1756)</t>
  </si>
  <si>
    <t>1756½ (1756)</t>
  </si>
  <si>
    <t>2N90 WTT</t>
  </si>
  <si>
    <t>1759 (1803)</t>
  </si>
  <si>
    <t>2C18 WTT</t>
  </si>
  <si>
    <t>1758½ (1759)</t>
  </si>
  <si>
    <t>1759½ (1759)</t>
  </si>
  <si>
    <t>1K91 WTT</t>
  </si>
  <si>
    <t>2Y51 WTT</t>
  </si>
  <si>
    <t>1800 (1800)</t>
  </si>
  <si>
    <t>2C45 WTT</t>
  </si>
  <si>
    <t>1746 (1746)</t>
  </si>
  <si>
    <t>1646 (1646)</t>
  </si>
  <si>
    <t>1802½ (1803)</t>
  </si>
  <si>
    <t>1803½ (1803)</t>
  </si>
  <si>
    <t>1K86 WTT</t>
  </si>
  <si>
    <t>2L64 WTT</t>
  </si>
  <si>
    <t>1804 (1809)</t>
  </si>
  <si>
    <t>1804½ (1805)</t>
  </si>
  <si>
    <t>1805½ (1805)</t>
  </si>
  <si>
    <t>1Y32 WTT</t>
  </si>
  <si>
    <t>1805½ (1806)</t>
  </si>
  <si>
    <t>1806½ (1806)</t>
  </si>
  <si>
    <t>1Y49 WTT</t>
  </si>
  <si>
    <t>1806 (1806)</t>
  </si>
  <si>
    <t>2C20 WTT</t>
  </si>
  <si>
    <t>1807 (1807)</t>
  </si>
  <si>
    <t>1807½ (1808)</t>
  </si>
  <si>
    <t>1808 (1808)</t>
  </si>
  <si>
    <t>2S49 WTT</t>
  </si>
  <si>
    <t>1808½ (1809)</t>
  </si>
  <si>
    <t>1809½ (1809)</t>
  </si>
  <si>
    <t>2C22 WTT</t>
  </si>
  <si>
    <t>2G98 WTT</t>
  </si>
  <si>
    <t>1810 (1814)</t>
  </si>
  <si>
    <t>2G99 WTT</t>
  </si>
  <si>
    <t>1811 (1811)</t>
  </si>
  <si>
    <t>1810½ (1811)</t>
  </si>
  <si>
    <t>1811½ (1811)</t>
  </si>
  <si>
    <t>2C47 WTT</t>
  </si>
  <si>
    <t>1812½ (1812)</t>
  </si>
  <si>
    <t>2N92 WTT</t>
  </si>
  <si>
    <t>1814 (1816)</t>
  </si>
  <si>
    <t>1K93 WTT</t>
  </si>
  <si>
    <t>1814½ (1814)</t>
  </si>
  <si>
    <t>1813½ (1814)</t>
  </si>
  <si>
    <t>1K88 WTT</t>
  </si>
  <si>
    <t>2Y52 WTT</t>
  </si>
  <si>
    <t>1815 (1815)</t>
  </si>
  <si>
    <t>1814½ (1815)</t>
  </si>
  <si>
    <t>1815½ (1815)</t>
  </si>
  <si>
    <t>2O02 WTT</t>
  </si>
  <si>
    <t>2C24 WTT</t>
  </si>
  <si>
    <t>1816½ (1817)</t>
  </si>
  <si>
    <t>1818½ (1818)</t>
  </si>
  <si>
    <t>2L65 WTT</t>
  </si>
  <si>
    <t>1819 (1824)</t>
  </si>
  <si>
    <t>1N50 WTT</t>
  </si>
  <si>
    <t>1820½ (1821)</t>
  </si>
  <si>
    <t>1821½ (1821)</t>
  </si>
  <si>
    <t>2C49 WTT</t>
  </si>
  <si>
    <t>1820 (1820)</t>
  </si>
  <si>
    <t>1822 (1822)</t>
  </si>
  <si>
    <t>2N03 WTT</t>
  </si>
  <si>
    <t>1N51 WTT</t>
  </si>
  <si>
    <t>1822½ (1822)</t>
  </si>
  <si>
    <t>1K90 WTT</t>
  </si>
  <si>
    <t>1822½ (1823)</t>
  </si>
  <si>
    <t>1823½ (1823)</t>
  </si>
  <si>
    <t>1823½ (1824)</t>
  </si>
  <si>
    <t>1824½ (1824)</t>
  </si>
  <si>
    <t>1824½ (1825)</t>
  </si>
  <si>
    <t>1825½ (1825)</t>
  </si>
  <si>
    <t>1K95 WTT</t>
  </si>
  <si>
    <t>1825 (1825)</t>
  </si>
  <si>
    <t>1Y34 WTT</t>
  </si>
  <si>
    <t>1826½ (1827)</t>
  </si>
  <si>
    <t>1827½ (1827)</t>
  </si>
  <si>
    <t>2C26 WTT</t>
  </si>
  <si>
    <t>1828½ (1828)</t>
  </si>
  <si>
    <t>2N94 WTT</t>
  </si>
  <si>
    <t>1829 (1833)</t>
  </si>
  <si>
    <t>1A94 WTT</t>
  </si>
  <si>
    <t>1828½ (1829)</t>
  </si>
  <si>
    <t>1829½ (1829)</t>
  </si>
  <si>
    <t>2Y53 WTT</t>
  </si>
  <si>
    <t>2C51 WTT</t>
  </si>
  <si>
    <t>1832 (1832)</t>
  </si>
  <si>
    <t>1K92 WTT</t>
  </si>
  <si>
    <t>1832½ (1833)</t>
  </si>
  <si>
    <t>1833½ (1833)</t>
  </si>
  <si>
    <t>2L66 WTT</t>
  </si>
  <si>
    <t>1834 (1839)</t>
  </si>
  <si>
    <t>1833½ (1834)</t>
  </si>
  <si>
    <t>1834½ (1834)</t>
  </si>
  <si>
    <t>1834½ (1835)</t>
  </si>
  <si>
    <t>1835½ (1835)</t>
  </si>
  <si>
    <t>2F69 WTT</t>
  </si>
  <si>
    <t>1836 (1836)</t>
  </si>
  <si>
    <t>1836½ (1836)</t>
  </si>
  <si>
    <t>2S51 WTT</t>
  </si>
  <si>
    <t>2C28 WTT</t>
  </si>
  <si>
    <t>1836½ (1837)</t>
  </si>
  <si>
    <t>1838½ (1838)</t>
  </si>
  <si>
    <t>1K97 WTT</t>
  </si>
  <si>
    <t>1839 (1839)</t>
  </si>
  <si>
    <t>1839½ (1839)</t>
  </si>
  <si>
    <t>2G00 WTT</t>
  </si>
  <si>
    <t>1840 (1844)</t>
  </si>
  <si>
    <t>1N52 WTT</t>
  </si>
  <si>
    <t>1839½ (1840)</t>
  </si>
  <si>
    <t>Walton-on-the-naze</t>
  </si>
  <si>
    <t>1840½ (1840)</t>
  </si>
  <si>
    <t>2G01 WTT</t>
  </si>
  <si>
    <t>1841 (1841)</t>
  </si>
  <si>
    <t>2C53 WTT</t>
  </si>
  <si>
    <t>1840 (1840)</t>
  </si>
  <si>
    <t>1842½ (1842)</t>
  </si>
  <si>
    <t>1K94 WTT</t>
  </si>
  <si>
    <t>1842½ (1843)</t>
  </si>
  <si>
    <t>1843½ (1843)</t>
  </si>
  <si>
    <t>2N96 WTT</t>
  </si>
  <si>
    <t>1844 (1846)</t>
  </si>
  <si>
    <t>1843½ (1844)</t>
  </si>
  <si>
    <t>1844½ (1844)</t>
  </si>
  <si>
    <t>2Y54 WTT</t>
  </si>
  <si>
    <t>1845½ (1845)</t>
  </si>
  <si>
    <t>1P55 WTT</t>
  </si>
  <si>
    <t>1Y36 WTT</t>
  </si>
  <si>
    <t>1845½ (1846)</t>
  </si>
  <si>
    <t>1846½ (1846)</t>
  </si>
  <si>
    <t>2S52 WTT</t>
  </si>
  <si>
    <t>1847 (1847)</t>
  </si>
  <si>
    <t>1846½ (1847)</t>
  </si>
  <si>
    <t>2L67 WTT</t>
  </si>
  <si>
    <t>1849 (1854)</t>
  </si>
  <si>
    <t>1848½ (1849)</t>
  </si>
  <si>
    <t>1849½ (1849)</t>
  </si>
  <si>
    <t>2C57 WTT</t>
  </si>
  <si>
    <t>1850 (1850)</t>
  </si>
  <si>
    <t>1852½ (1852)</t>
  </si>
  <si>
    <t>1K96 WTT</t>
  </si>
  <si>
    <t>1852½ (1853)</t>
  </si>
  <si>
    <t>1853½ (1853)</t>
  </si>
  <si>
    <t>1853½ (1854)</t>
  </si>
  <si>
    <t>1854½ (1854)</t>
  </si>
  <si>
    <t>1K99 WTT</t>
  </si>
  <si>
    <t>1855½ (1855)</t>
  </si>
  <si>
    <t>1N54 WTT</t>
  </si>
  <si>
    <t>1855½ (1856)</t>
  </si>
  <si>
    <t>1856½ (1856)</t>
  </si>
  <si>
    <t>2C30 WTT</t>
  </si>
  <si>
    <t>1856½ (1857)</t>
  </si>
  <si>
    <t>1858½ (1858)</t>
  </si>
  <si>
    <t>1857 (1857)</t>
  </si>
  <si>
    <t>2N98 WTT</t>
  </si>
  <si>
    <t>1859 (1903)</t>
  </si>
  <si>
    <t>2Y55 WTT</t>
  </si>
  <si>
    <t>1900 (1900)</t>
  </si>
  <si>
    <t>1K98 WTT</t>
  </si>
  <si>
    <t>1902½ (1903)</t>
  </si>
  <si>
    <t>1903½ (1903)</t>
  </si>
  <si>
    <t>2L68 WTT</t>
  </si>
  <si>
    <t>1904 (1909)</t>
  </si>
  <si>
    <t>1903½ (1904)</t>
  </si>
  <si>
    <t>1904½ (1904)</t>
  </si>
  <si>
    <t>1905½ (1905)</t>
  </si>
  <si>
    <t>1907 (1907)</t>
  </si>
  <si>
    <t>2S53 WTT</t>
  </si>
  <si>
    <t>1908 (1908)</t>
  </si>
  <si>
    <t>1906½ (1907)</t>
  </si>
  <si>
    <t>1908½ (1908)</t>
  </si>
  <si>
    <t>1908½ (1909)</t>
  </si>
  <si>
    <t>2G02 WTT</t>
  </si>
  <si>
    <t>1910 (1914)</t>
  </si>
  <si>
    <t>2G03 WTT</t>
  </si>
  <si>
    <t>1911 (1911)</t>
  </si>
  <si>
    <t>1911½ (1911)</t>
  </si>
  <si>
    <t>1914 (1916)</t>
  </si>
  <si>
    <t>1Y38 WTT</t>
  </si>
  <si>
    <t>1914½ (1915)</t>
  </si>
  <si>
    <t>1915 (1915)</t>
  </si>
  <si>
    <t>2Y56 WTT</t>
  </si>
  <si>
    <t>1916½ (1917)</t>
  </si>
  <si>
    <t>1918½ (1918)</t>
  </si>
  <si>
    <t>2L69 WTT</t>
  </si>
  <si>
    <t>1919 (1924)</t>
  </si>
  <si>
    <t>1919½ (1919)</t>
  </si>
  <si>
    <t>1K00 WTT</t>
  </si>
  <si>
    <t>1921½ (1922)</t>
  </si>
  <si>
    <t>1922 (1922)</t>
  </si>
  <si>
    <t>1N55 WTT</t>
  </si>
  <si>
    <t>1922½ (1922)</t>
  </si>
  <si>
    <t>2C32 WTT</t>
  </si>
  <si>
    <t>1923½ (1924)</t>
  </si>
  <si>
    <t>1924½ (1924)</t>
  </si>
  <si>
    <t>1N56 WTT</t>
  </si>
  <si>
    <t>1924½ (1925)</t>
  </si>
  <si>
    <t>1925 (1925)</t>
  </si>
  <si>
    <t>1927 (1927)</t>
  </si>
  <si>
    <t>1927½ (1927)</t>
  </si>
  <si>
    <t>1926½ (1927)</t>
  </si>
  <si>
    <t>1928½ (1928)</t>
  </si>
  <si>
    <t>1929 (1932)</t>
  </si>
  <si>
    <t>1929 (1929)</t>
  </si>
  <si>
    <t>2S54 WTT</t>
  </si>
  <si>
    <t>2Y57 WTT</t>
  </si>
  <si>
    <t>1846 (1846)</t>
  </si>
  <si>
    <t>2L70 WTT</t>
  </si>
  <si>
    <t>1934 (1939)</t>
  </si>
  <si>
    <t>1Y53 WTT</t>
  </si>
  <si>
    <t>1936 (1936)</t>
  </si>
  <si>
    <t>1936½ (1936)</t>
  </si>
  <si>
    <t>2O71 WTT</t>
  </si>
  <si>
    <t>1936½ (1937)</t>
  </si>
  <si>
    <t>1938½ (1938)</t>
  </si>
  <si>
    <t>1A86 WTT</t>
  </si>
  <si>
    <t>1938½ (1939)</t>
  </si>
  <si>
    <t>1939 (1939)</t>
  </si>
  <si>
    <t>1939½ (1939)</t>
  </si>
  <si>
    <t>1K02 WTT</t>
  </si>
  <si>
    <t>1941½ (1942)</t>
  </si>
  <si>
    <t>1944 (1947)</t>
  </si>
  <si>
    <t>2Y58 WTT</t>
  </si>
  <si>
    <t>1P59 WTT</t>
  </si>
  <si>
    <t>1946½ (1947)</t>
  </si>
  <si>
    <t>1947 (1947)</t>
  </si>
  <si>
    <t>2L71 WTT</t>
  </si>
  <si>
    <t>1949 (1954)</t>
  </si>
  <si>
    <t>1952½ (1952)</t>
  </si>
  <si>
    <t>1954 (1954)</t>
  </si>
  <si>
    <t>1954½ (1955)</t>
  </si>
  <si>
    <t>1956½ (1957)</t>
  </si>
  <si>
    <t>1958½ (1958)</t>
  </si>
  <si>
    <t>1959 (2002)</t>
  </si>
  <si>
    <t>1957 (1957)</t>
  </si>
  <si>
    <t>2Y59 WTT</t>
  </si>
  <si>
    <t>2000 (2000)</t>
  </si>
  <si>
    <t>2S56 WTT</t>
  </si>
  <si>
    <t>2K23 WTT</t>
  </si>
  <si>
    <t>2001 (2001)</t>
  </si>
  <si>
    <t>2001½ (2001)</t>
  </si>
  <si>
    <t>2001½ (2002)</t>
  </si>
  <si>
    <t>2L72 WTT</t>
  </si>
  <si>
    <t>2004 (2009)</t>
  </si>
  <si>
    <t>1Y55 WTT</t>
  </si>
  <si>
    <t>2005½ (2005)</t>
  </si>
  <si>
    <t>2007 (2007)</t>
  </si>
  <si>
    <t>2S57 WTT</t>
  </si>
  <si>
    <t>2008 (2008)</t>
  </si>
  <si>
    <t>2006½ (2007)</t>
  </si>
  <si>
    <t>2008½ (2008)</t>
  </si>
  <si>
    <t>1Y40 WTT</t>
  </si>
  <si>
    <t>2008½ (2009)</t>
  </si>
  <si>
    <t>2013 (2016)</t>
  </si>
  <si>
    <t>2Y60 WTT</t>
  </si>
  <si>
    <t>2013½ (2014)</t>
  </si>
  <si>
    <t>2016½ (2017)</t>
  </si>
  <si>
    <t>2018½ (2018)</t>
  </si>
  <si>
    <t>2L73 WTT</t>
  </si>
  <si>
    <t>2019 (2024)</t>
  </si>
  <si>
    <t>2019½ (2019)</t>
  </si>
  <si>
    <t>2K06 WTT</t>
  </si>
  <si>
    <t>2019½ (2020)</t>
  </si>
  <si>
    <t>2020 (2020)</t>
  </si>
  <si>
    <t>2022 (2022)</t>
  </si>
  <si>
    <t>1N57 WTT</t>
  </si>
  <si>
    <t>2022½ (2022)</t>
  </si>
  <si>
    <t>1N58 WTT</t>
  </si>
  <si>
    <t>2024½ (2025)</t>
  </si>
  <si>
    <t>2025 (2025)</t>
  </si>
  <si>
    <t>2026½ (2027)</t>
  </si>
  <si>
    <t>2028½ (2028)</t>
  </si>
  <si>
    <t>2027 (2027)</t>
  </si>
  <si>
    <t>2029 (2029)</t>
  </si>
  <si>
    <t>2029 (2032)</t>
  </si>
  <si>
    <t>2S58 WTT</t>
  </si>
  <si>
    <t>2Y61 WTT</t>
  </si>
  <si>
    <t>2032 (2032)</t>
  </si>
  <si>
    <t>2L74 WTT</t>
  </si>
  <si>
    <t>2035 (2040)</t>
  </si>
  <si>
    <t>2F85 WTT</t>
  </si>
  <si>
    <t>2036 (2036)</t>
  </si>
  <si>
    <t>2036½ (2036)</t>
  </si>
  <si>
    <t>2O73 WTT</t>
  </si>
  <si>
    <t>1P64 WTT</t>
  </si>
  <si>
    <t>2037½</t>
  </si>
  <si>
    <t>2038½ (2038)</t>
  </si>
  <si>
    <t>2036½ (2037)</t>
  </si>
  <si>
    <t>2039 (2039)</t>
  </si>
  <si>
    <t>2039½ (2039)</t>
  </si>
  <si>
    <t>2041½ (2042)</t>
  </si>
  <si>
    <t>2044 (2047)</t>
  </si>
  <si>
    <t>2Y62 WTT</t>
  </si>
  <si>
    <t>1P63 WTT</t>
  </si>
  <si>
    <t>2046½ (2047)</t>
  </si>
  <si>
    <t>2L75 WTT</t>
  </si>
  <si>
    <t>2049 (2054)</t>
  </si>
  <si>
    <t>2047 (2047)</t>
  </si>
  <si>
    <t>1Y59 WTT</t>
  </si>
  <si>
    <t>2052½ (2052)</t>
  </si>
  <si>
    <t>2054½ (2055)</t>
  </si>
  <si>
    <t>2056½ (2057)</t>
  </si>
  <si>
    <t>2058½ (2058)</t>
  </si>
  <si>
    <t>2057 (2057)</t>
  </si>
  <si>
    <t>2059 (2102)</t>
  </si>
  <si>
    <t>2S60 WTT</t>
  </si>
  <si>
    <t>2100 (2100)</t>
  </si>
  <si>
    <t>2101 (2101)</t>
  </si>
  <si>
    <t>2101½ (2101)</t>
  </si>
  <si>
    <t>2101½ (2102)</t>
  </si>
  <si>
    <t>2Y63 WTT</t>
  </si>
  <si>
    <t>2L76 WTT</t>
  </si>
  <si>
    <t>2105 (2110)</t>
  </si>
  <si>
    <t>2S61 WTT</t>
  </si>
  <si>
    <t>2107 (2107)</t>
  </si>
  <si>
    <t>1Y61 WTT</t>
  </si>
  <si>
    <t>2107½ (2107)</t>
  </si>
  <si>
    <t>2106½ (2107)</t>
  </si>
  <si>
    <t>2108½ (2108)</t>
  </si>
  <si>
    <t>1A98 WTT</t>
  </si>
  <si>
    <t>2108½ (2109)</t>
  </si>
  <si>
    <t>2114 (2117)</t>
  </si>
  <si>
    <t>2Y64 WTT</t>
  </si>
  <si>
    <t>2115 (2115)</t>
  </si>
  <si>
    <t>2116½ (2117)</t>
  </si>
  <si>
    <t>2118½ (2118)</t>
  </si>
  <si>
    <t>2119½ (2119)</t>
  </si>
  <si>
    <t>1K12 WTT</t>
  </si>
  <si>
    <t>2119½ (2120)</t>
  </si>
  <si>
    <t>2120 (2120)</t>
  </si>
  <si>
    <t>2L77 WTT</t>
  </si>
  <si>
    <t>2121 (2126)</t>
  </si>
  <si>
    <t>1N59 WTT</t>
  </si>
  <si>
    <t>2122 (2122)</t>
  </si>
  <si>
    <t>2122½ (2122)</t>
  </si>
  <si>
    <t>2125 (2125)</t>
  </si>
  <si>
    <t>1N60 WTT</t>
  </si>
  <si>
    <t>2124½ (2125)</t>
  </si>
  <si>
    <t>2126½ (2127)</t>
  </si>
  <si>
    <t>2128½ (2128)</t>
  </si>
  <si>
    <t>2127 (2127)</t>
  </si>
  <si>
    <t>2129 (2129)</t>
  </si>
  <si>
    <t>2129 (2132)</t>
  </si>
  <si>
    <t>2S62 WTT</t>
  </si>
  <si>
    <t>2Y65 WTT</t>
  </si>
  <si>
    <t>2L78 WTT</t>
  </si>
  <si>
    <t>2134 (2139)</t>
  </si>
  <si>
    <t>2136½ (2137)</t>
  </si>
  <si>
    <t>2138½ (2138)</t>
  </si>
  <si>
    <t>1P68 WTT</t>
  </si>
  <si>
    <t>2137½</t>
  </si>
  <si>
    <t>2139 (2139)</t>
  </si>
  <si>
    <t>2139½ (2139)</t>
  </si>
  <si>
    <t>2141½ (2142)</t>
  </si>
  <si>
    <t>1F75 WTT</t>
  </si>
  <si>
    <t>2142½ (2142)</t>
  </si>
  <si>
    <t>2144 (2147)</t>
  </si>
  <si>
    <t>2Y66 WTT</t>
  </si>
  <si>
    <t>1P67 WTT</t>
  </si>
  <si>
    <t>2146½ (2147)</t>
  </si>
  <si>
    <t>2147 (2147)</t>
  </si>
  <si>
    <t>2L79 WTT</t>
  </si>
  <si>
    <t>2149 (2154)</t>
  </si>
  <si>
    <t>1F77 WTT</t>
  </si>
  <si>
    <t>2152½ (2152)</t>
  </si>
  <si>
    <t>2H66 WTT</t>
  </si>
  <si>
    <t>2O13 WTT</t>
  </si>
  <si>
    <t>2154½ (2155)</t>
  </si>
  <si>
    <t>2156½ (2157)</t>
  </si>
  <si>
    <t>2158½ (2158)</t>
  </si>
  <si>
    <t>2157 (2157)</t>
  </si>
  <si>
    <t>2159 (2202)</t>
  </si>
  <si>
    <t>2Y67 WTT</t>
  </si>
  <si>
    <t>2200 (2200)</t>
  </si>
  <si>
    <t>2L80 WTT</t>
  </si>
  <si>
    <t>2204 (2208)</t>
  </si>
  <si>
    <t>1K43 WTT</t>
  </si>
  <si>
    <t>1A44 WTT</t>
  </si>
  <si>
    <t>2203½ (2204)</t>
  </si>
  <si>
    <t>2205½ (2205)</t>
  </si>
  <si>
    <t>2207 (2207)</t>
  </si>
  <si>
    <t>1Y62 WTT</t>
  </si>
  <si>
    <t>2209½ (2210)</t>
  </si>
  <si>
    <t>2210½ (2210)</t>
  </si>
  <si>
    <t>1A97 WTT</t>
  </si>
  <si>
    <t>2211 (2211)</t>
  </si>
  <si>
    <t>2213 (2213)</t>
  </si>
  <si>
    <t>2208½ (2209)</t>
  </si>
  <si>
    <t>2213½ (2213)</t>
  </si>
  <si>
    <t>2214 (2219)</t>
  </si>
  <si>
    <t>2Y68 WTT</t>
  </si>
  <si>
    <t>2215 (2215)</t>
  </si>
  <si>
    <t>2O18 WTT</t>
  </si>
  <si>
    <t>2222 (2222)</t>
  </si>
  <si>
    <t>2L81 WTT</t>
  </si>
  <si>
    <t>2222 (2227)</t>
  </si>
  <si>
    <t>2218 (2218)</t>
  </si>
  <si>
    <t>1N62 WTT</t>
  </si>
  <si>
    <t>2222½ (2223)</t>
  </si>
  <si>
    <t>2224½ (2224)</t>
  </si>
  <si>
    <t>2H68 WTT</t>
  </si>
  <si>
    <t>2225 (2225)</t>
  </si>
  <si>
    <t>2O15 WTT</t>
  </si>
  <si>
    <t>1N63 WTT</t>
  </si>
  <si>
    <t>2223½ (2224)</t>
  </si>
  <si>
    <t>2228½ (2228)</t>
  </si>
  <si>
    <t>2229 (2232)</t>
  </si>
  <si>
    <t>2Y69 WTT</t>
  </si>
  <si>
    <t>Plat11, BL</t>
  </si>
  <si>
    <t>2146 (2146)</t>
  </si>
  <si>
    <t>2046 (2046)</t>
  </si>
  <si>
    <t>1946 (1946)</t>
  </si>
  <si>
    <t>2232 (2232)</t>
  </si>
  <si>
    <t>2234 (2234)</t>
  </si>
  <si>
    <t>2S66 WTT</t>
  </si>
  <si>
    <t>2L82 WTT</t>
  </si>
  <si>
    <t>2235 (2240)</t>
  </si>
  <si>
    <t>2240 (2240)</t>
  </si>
  <si>
    <t>1P70 WTT</t>
  </si>
  <si>
    <t>2237½</t>
  </si>
  <si>
    <t>2238½ (2239)</t>
  </si>
  <si>
    <t>2243½ (2243)</t>
  </si>
  <si>
    <t>2244 (2244)</t>
  </si>
  <si>
    <t>2244 (2249)</t>
  </si>
  <si>
    <t>2242½ (2243)</t>
  </si>
  <si>
    <t>2244½ (2244)</t>
  </si>
  <si>
    <t>2Y70 WTT</t>
  </si>
  <si>
    <t>2O20 WTT</t>
  </si>
  <si>
    <t>2248 (2248)</t>
  </si>
  <si>
    <t>2L83 WTT</t>
  </si>
  <si>
    <t>2249 (2254)</t>
  </si>
  <si>
    <t>2250 (2250)</t>
  </si>
  <si>
    <t>2248½ (2249)</t>
  </si>
  <si>
    <t>2253½ (2253)</t>
  </si>
  <si>
    <t>1N64 WTT</t>
  </si>
  <si>
    <t>2252½ (2253)</t>
  </si>
  <si>
    <t>2254½ (2254)</t>
  </si>
  <si>
    <t>2H70 WTT</t>
  </si>
  <si>
    <t>2O17 WTT</t>
  </si>
  <si>
    <t>1F79 WTT</t>
  </si>
  <si>
    <t>2259 (2303)</t>
  </si>
  <si>
    <t>2Y71 WTT</t>
  </si>
  <si>
    <t>2258½ (2259)</t>
  </si>
  <si>
    <t>2303½ (2303)</t>
  </si>
  <si>
    <t>2304 (2304)</t>
  </si>
  <si>
    <t>2L84 WTT</t>
  </si>
  <si>
    <t>2304½ (2310)</t>
  </si>
  <si>
    <t>2S68 WTT</t>
  </si>
  <si>
    <t>2303 (2303)</t>
  </si>
  <si>
    <t>2307 (2307)</t>
  </si>
  <si>
    <t>1K49 WTT</t>
  </si>
  <si>
    <t>2308 (2308)</t>
  </si>
  <si>
    <t>1P72 WTT</t>
  </si>
  <si>
    <t>2310½ (2310)</t>
  </si>
  <si>
    <t>1F81 WTT</t>
  </si>
  <si>
    <t>2312 (2312)</t>
  </si>
  <si>
    <t>2308½ (2309)</t>
  </si>
  <si>
    <t>2313½ (2313)</t>
  </si>
  <si>
    <t>2314 (2316)</t>
  </si>
  <si>
    <t>2Y72 WTT</t>
  </si>
  <si>
    <t>2O22 WTT</t>
  </si>
  <si>
    <t>2314½ (2315)</t>
  </si>
  <si>
    <t>2317½ (2317)</t>
  </si>
  <si>
    <t>2319 (2319)</t>
  </si>
  <si>
    <t>2L85 WTT</t>
  </si>
  <si>
    <t>2319 (2324)</t>
  </si>
  <si>
    <t>2318 (2318)</t>
  </si>
  <si>
    <t>2318½ (2319)</t>
  </si>
  <si>
    <t>2323½ (2323)</t>
  </si>
  <si>
    <t>2324 (2324)</t>
  </si>
  <si>
    <t>2O19 WTT</t>
  </si>
  <si>
    <t>2H72 WTT</t>
  </si>
  <si>
    <t>1N66 WTT</t>
  </si>
  <si>
    <t>2323½ (2324)</t>
  </si>
  <si>
    <t>1N67 WTT</t>
  </si>
  <si>
    <t>2328 (2328)</t>
  </si>
  <si>
    <t>2329 (2333)</t>
  </si>
  <si>
    <t>2Y73 WTT</t>
  </si>
  <si>
    <t>2332 (2332)</t>
  </si>
  <si>
    <t>2328½ (2329)</t>
  </si>
  <si>
    <t>2333½ (2333)</t>
  </si>
  <si>
    <t>2L86 WTT</t>
  </si>
  <si>
    <t>2334 (2339)</t>
  </si>
  <si>
    <t>2S70 WTT</t>
  </si>
  <si>
    <t>2334 (2334)</t>
  </si>
  <si>
    <t>2333 (2333)</t>
  </si>
  <si>
    <t>2337 (2337)</t>
  </si>
  <si>
    <t>1Y69 WTT</t>
  </si>
  <si>
    <t>1P74 WTT</t>
  </si>
  <si>
    <t>2337½</t>
  </si>
  <si>
    <t>2338½ (2339)</t>
  </si>
  <si>
    <t>2343½ (2343)</t>
  </si>
  <si>
    <t>1K55 WTT</t>
  </si>
  <si>
    <t>2344 (2344)</t>
  </si>
  <si>
    <t>2344 (2348)</t>
  </si>
  <si>
    <t>2O24 WTT</t>
  </si>
  <si>
    <t>2342½ (2343)</t>
  </si>
  <si>
    <t>2Y74 WTT</t>
  </si>
  <si>
    <t>2L87 WTT</t>
  </si>
  <si>
    <t>2349 (2354)</t>
  </si>
  <si>
    <t>2348 (2348)</t>
  </si>
  <si>
    <t>2352 (2352)</t>
  </si>
  <si>
    <t>1K30 WTT</t>
  </si>
  <si>
    <t>2348½ (2349)</t>
  </si>
  <si>
    <t>2353½ (2353)</t>
  </si>
  <si>
    <t>2354 (2354)</t>
  </si>
  <si>
    <t>1N68 WTT</t>
  </si>
  <si>
    <t>2352½ (2353)</t>
  </si>
  <si>
    <t>2354½ (2354)</t>
  </si>
  <si>
    <t>2H74 WTT</t>
  </si>
  <si>
    <t>2O21 WTT</t>
  </si>
  <si>
    <t>2359 (0003)</t>
  </si>
  <si>
    <t>Tottenham Hale</t>
  </si>
  <si>
    <t>Ponders End</t>
  </si>
  <si>
    <t>Brimsdown</t>
  </si>
  <si>
    <t>Cheshunt</t>
  </si>
  <si>
    <t>Roydon</t>
  </si>
  <si>
    <t>Harlow Town</t>
  </si>
  <si>
    <t>Harlow Mill</t>
  </si>
  <si>
    <t>Sawbridgeworth</t>
  </si>
  <si>
    <t>Stansted Mountfitchet</t>
  </si>
  <si>
    <t>CALLS10</t>
  </si>
  <si>
    <t>CALLS11</t>
  </si>
  <si>
    <t>CALLS12</t>
  </si>
  <si>
    <t>CALLS13</t>
  </si>
  <si>
    <t>CALLS14</t>
  </si>
  <si>
    <t>CALLS15</t>
  </si>
  <si>
    <t>CALLS16</t>
  </si>
  <si>
    <t>CALLS17</t>
  </si>
  <si>
    <t>CALLS18</t>
  </si>
  <si>
    <t>Elsenham</t>
  </si>
  <si>
    <t>Newport</t>
  </si>
  <si>
    <t>Audley End</t>
  </si>
  <si>
    <t>Great Chesterford</t>
  </si>
  <si>
    <t>Whittlesford Parkway</t>
  </si>
  <si>
    <t>Shelford</t>
  </si>
  <si>
    <t>Ingatestone</t>
  </si>
  <si>
    <t>Hatfield Peverel</t>
  </si>
  <si>
    <t>Witham</t>
  </si>
  <si>
    <t>Kelvedon</t>
  </si>
  <si>
    <t>Marks Tey</t>
  </si>
  <si>
    <t>Romford</t>
  </si>
  <si>
    <t>Harwich Intl</t>
  </si>
  <si>
    <t>Manningtree</t>
  </si>
  <si>
    <t>Mistley</t>
  </si>
  <si>
    <t>Wrabness</t>
  </si>
  <si>
    <t>Dovercourt</t>
  </si>
  <si>
    <t>ALL STATIONS</t>
  </si>
  <si>
    <t>NOT HACKNEY WICK</t>
  </si>
  <si>
    <t>Forest Gate</t>
  </si>
  <si>
    <t>Manor Park</t>
  </si>
  <si>
    <t>Seven Kings</t>
  </si>
  <si>
    <t>Goodmayes</t>
  </si>
  <si>
    <t>Chadwell Heath</t>
  </si>
  <si>
    <t>Harold Wood</t>
  </si>
  <si>
    <t>Brentwood</t>
  </si>
  <si>
    <t>Billericay</t>
  </si>
  <si>
    <t>Wickford</t>
  </si>
  <si>
    <t>Rayleigh</t>
  </si>
  <si>
    <t>Hockley</t>
  </si>
  <si>
    <t>Rochford</t>
  </si>
  <si>
    <t>Southend Airport</t>
  </si>
  <si>
    <t>Prittlewell</t>
  </si>
  <si>
    <t>Battlesbridge</t>
  </si>
  <si>
    <t>South Woodham Ferrers</t>
  </si>
  <si>
    <t>North Fambridge</t>
  </si>
  <si>
    <t>Althorne</t>
  </si>
  <si>
    <t>Burnham-on-Crouch</t>
  </si>
  <si>
    <t>Wivenhoe</t>
  </si>
  <si>
    <t>Alresford</t>
  </si>
  <si>
    <t>Great Bentley</t>
  </si>
  <si>
    <t>Weeley</t>
  </si>
  <si>
    <t>Thrope-le-Soken</t>
  </si>
  <si>
    <t>Frinton-on-Sea</t>
  </si>
  <si>
    <t>Kirby Cross</t>
  </si>
  <si>
    <t>Walton-on-the-Naze</t>
  </si>
  <si>
    <t>Northumberland Park</t>
  </si>
  <si>
    <t>Enfield Lock</t>
  </si>
  <si>
    <t>Angel Road</t>
  </si>
  <si>
    <t>Waltham Cross</t>
  </si>
  <si>
    <t>White Notley</t>
  </si>
  <si>
    <t>Cressing</t>
  </si>
  <si>
    <t>Braintree Freeport</t>
  </si>
  <si>
    <t>Thorpe-le-Soken</t>
  </si>
  <si>
    <t>Clacton-on-Sea</t>
  </si>
  <si>
    <t>Hythe</t>
  </si>
  <si>
    <t>Rye House</t>
  </si>
  <si>
    <t>St Margarets</t>
  </si>
  <si>
    <t>Ware</t>
  </si>
  <si>
    <t>Diss</t>
  </si>
  <si>
    <t>Stratford (London)</t>
  </si>
  <si>
    <t>0007½ (0006)</t>
  </si>
  <si>
    <t>0008 (0006)</t>
  </si>
  <si>
    <t>0012½ (0013)</t>
  </si>
  <si>
    <t>0013 (0013)</t>
  </si>
  <si>
    <t>0022½ (0021)</t>
  </si>
  <si>
    <t>0023 (0021)</t>
  </si>
  <si>
    <t>0027½ (0028)</t>
  </si>
  <si>
    <t>0028 (0028)</t>
  </si>
  <si>
    <t>0038 (0036)</t>
  </si>
  <si>
    <t>0038½ (0036)</t>
  </si>
  <si>
    <t>0042½ (0043)</t>
  </si>
  <si>
    <t>0043 (0043)</t>
  </si>
  <si>
    <t>0052½ (0051)</t>
  </si>
  <si>
    <t>0053 (0051)</t>
  </si>
  <si>
    <t>0057½ (0058)</t>
  </si>
  <si>
    <t>0058 (0058)</t>
  </si>
  <si>
    <t>0107½ (0106)</t>
  </si>
  <si>
    <t>0108 (0106)</t>
  </si>
  <si>
    <t>0552½ (0553)</t>
  </si>
  <si>
    <t>0553 (0553)</t>
  </si>
  <si>
    <t>0607½ (0606)</t>
  </si>
  <si>
    <t>0608 (0606)</t>
  </si>
  <si>
    <t>0612½ (0613)</t>
  </si>
  <si>
    <t>0613 (0613)</t>
  </si>
  <si>
    <t>0622½ (0621)</t>
  </si>
  <si>
    <t>0623 (0621)</t>
  </si>
  <si>
    <t>0628½ (0629)</t>
  </si>
  <si>
    <t>0641 (0639)</t>
  </si>
  <si>
    <t>0641½ (0639)</t>
  </si>
  <si>
    <t>0645½ (0646)</t>
  </si>
  <si>
    <t>0646 (0646)</t>
  </si>
  <si>
    <t>0652½ (0651)</t>
  </si>
  <si>
    <t>0653 (0651)</t>
  </si>
  <si>
    <t>0657½ (0658)</t>
  </si>
  <si>
    <t>0707½ (0706)</t>
  </si>
  <si>
    <t>0708 (0706)</t>
  </si>
  <si>
    <t>0712½ (0713)</t>
  </si>
  <si>
    <t>0713 (0713)</t>
  </si>
  <si>
    <t>0722½ (0721)</t>
  </si>
  <si>
    <t>0723 (0721)</t>
  </si>
  <si>
    <t>0727½ (0728)</t>
  </si>
  <si>
    <t>0731½ (0732)</t>
  </si>
  <si>
    <t>0737½ (0736)</t>
  </si>
  <si>
    <t>0738 (0736)</t>
  </si>
  <si>
    <t>0743 (0743)</t>
  </si>
  <si>
    <t>0743½ (0743)</t>
  </si>
  <si>
    <t>0752½ (0751)</t>
  </si>
  <si>
    <t>0753 (0751)</t>
  </si>
  <si>
    <t>0758 (0758)</t>
  </si>
  <si>
    <t>0801½ (0802)</t>
  </si>
  <si>
    <t>0807½ (0806)</t>
  </si>
  <si>
    <t>0808 (0806)</t>
  </si>
  <si>
    <t>0812½ (0813)</t>
  </si>
  <si>
    <t>0813 (0813)</t>
  </si>
  <si>
    <t>0822½ (0821)</t>
  </si>
  <si>
    <t>0823 (0821)</t>
  </si>
  <si>
    <t>0827½ (0828)</t>
  </si>
  <si>
    <t>0831½ (0832)</t>
  </si>
  <si>
    <t>0832 (0832)</t>
  </si>
  <si>
    <t>0837½ (0836)</t>
  </si>
  <si>
    <t>0838 (0836)</t>
  </si>
  <si>
    <t>0842½ (0843)</t>
  </si>
  <si>
    <t>0852½ (0851)</t>
  </si>
  <si>
    <t>0853 (0851)</t>
  </si>
  <si>
    <t>0857½ (0858)</t>
  </si>
  <si>
    <t>0907½ (0906)</t>
  </si>
  <si>
    <t>0908 (0906)</t>
  </si>
  <si>
    <t>0912½ (0913)</t>
  </si>
  <si>
    <t>0922½ (0921)</t>
  </si>
  <si>
    <t>0923 (0921)</t>
  </si>
  <si>
    <t>0931½ (0932)</t>
  </si>
  <si>
    <t>0932 (0932)</t>
  </si>
  <si>
    <t>0937½ (0936)</t>
  </si>
  <si>
    <t>0938 (0936)</t>
  </si>
  <si>
    <t>0942½ (0943)</t>
  </si>
  <si>
    <t>0943 (0943)</t>
  </si>
  <si>
    <t>0952½ (0951)</t>
  </si>
  <si>
    <t>0953 (0951)</t>
  </si>
  <si>
    <t>0957½ (0958)</t>
  </si>
  <si>
    <t>1007½ (1006)</t>
  </si>
  <si>
    <t>1008 (1006)</t>
  </si>
  <si>
    <t>1013 (1013)</t>
  </si>
  <si>
    <t>1013½ (1013)</t>
  </si>
  <si>
    <t>1022½ (1021)</t>
  </si>
  <si>
    <t>1023 (1021)</t>
  </si>
  <si>
    <t>1027½ (1028)</t>
  </si>
  <si>
    <t>1035½ (1035)</t>
  </si>
  <si>
    <t>1036 (1035)</t>
  </si>
  <si>
    <t>1042½ (1043)</t>
  </si>
  <si>
    <t>1043 (1043)</t>
  </si>
  <si>
    <t>1053 (1051)</t>
  </si>
  <si>
    <t>1053½ (1051)</t>
  </si>
  <si>
    <t>1057½ (1058)</t>
  </si>
  <si>
    <t>1107½ (1106)</t>
  </si>
  <si>
    <t>1108 (1106)</t>
  </si>
  <si>
    <t>1112½ (1113)</t>
  </si>
  <si>
    <t>1113 (1113)</t>
  </si>
  <si>
    <t>1117½ (1116)</t>
  </si>
  <si>
    <t>1118 (1116)</t>
  </si>
  <si>
    <t>1126½ (1126)</t>
  </si>
  <si>
    <t>1137½ (1136)</t>
  </si>
  <si>
    <t>1138 (1136)</t>
  </si>
  <si>
    <t>1142½ (1143)</t>
  </si>
  <si>
    <t>1143 (1143)</t>
  </si>
  <si>
    <t>1151 (1149)</t>
  </si>
  <si>
    <t>1151½ (1149)</t>
  </si>
  <si>
    <t>1200½ (1158)</t>
  </si>
  <si>
    <t>1201 (1158)</t>
  </si>
  <si>
    <t>1208 (1206)</t>
  </si>
  <si>
    <t>1208½ (1206)</t>
  </si>
  <si>
    <t>1212½ (1213)</t>
  </si>
  <si>
    <t>1213 (1213)</t>
  </si>
  <si>
    <t>1222½ (1221)</t>
  </si>
  <si>
    <t>1223 (1221)</t>
  </si>
  <si>
    <t>1227½ (1228)</t>
  </si>
  <si>
    <t>1238 (1236)</t>
  </si>
  <si>
    <t>1238½ (1236)</t>
  </si>
  <si>
    <t>1252½ (1251)</t>
  </si>
  <si>
    <t>1253 (1251)</t>
  </si>
  <si>
    <t>1259½ (1300)</t>
  </si>
  <si>
    <t>1308 (1306)</t>
  </si>
  <si>
    <t>1308½ (1306)</t>
  </si>
  <si>
    <t>1312½ (1313)</t>
  </si>
  <si>
    <t>1313 (1313)</t>
  </si>
  <si>
    <t>1322½ (1321)</t>
  </si>
  <si>
    <t>1323 (1321)</t>
  </si>
  <si>
    <t>1327½ (1328)</t>
  </si>
  <si>
    <t>1337½ (1336)</t>
  </si>
  <si>
    <t>1338 (1336)</t>
  </si>
  <si>
    <t>1343 (1343)</t>
  </si>
  <si>
    <t>1343½ (1343)</t>
  </si>
  <si>
    <t>1352½ (1351)</t>
  </si>
  <si>
    <t>1353 (1351)</t>
  </si>
  <si>
    <t>1357½ (1358)</t>
  </si>
  <si>
    <t>1408 (1406)</t>
  </si>
  <si>
    <t>1408½ (1406)</t>
  </si>
  <si>
    <t>1412½ (1413)</t>
  </si>
  <si>
    <t>1413 (1413)</t>
  </si>
  <si>
    <t>1422½ (1421)</t>
  </si>
  <si>
    <t>1423 (1421)</t>
  </si>
  <si>
    <t>1427½ (1428)</t>
  </si>
  <si>
    <t>1438 (1436)</t>
  </si>
  <si>
    <t>1438½ (1436)</t>
  </si>
  <si>
    <t>1442½ (1443)</t>
  </si>
  <si>
    <t>1443 (1443)</t>
  </si>
  <si>
    <t>1452½ (1451)</t>
  </si>
  <si>
    <t>1453 (1451)</t>
  </si>
  <si>
    <t>1507 (1505)</t>
  </si>
  <si>
    <t>1507½ (1505)</t>
  </si>
  <si>
    <t>1513 (1513)</t>
  </si>
  <si>
    <t>1513½ (1513)</t>
  </si>
  <si>
    <t>1522½ (1521)</t>
  </si>
  <si>
    <t>1523 (1521)</t>
  </si>
  <si>
    <t>1527½ (1528)</t>
  </si>
  <si>
    <t>1533½ (1532)</t>
  </si>
  <si>
    <t>1534 (1532)</t>
  </si>
  <si>
    <t>1542½ (1543)</t>
  </si>
  <si>
    <t>1543 (1543)</t>
  </si>
  <si>
    <t>1552½ (1551)</t>
  </si>
  <si>
    <t>1553 (1551)</t>
  </si>
  <si>
    <t>1557½ (1558)</t>
  </si>
  <si>
    <t>1607½ (1606)</t>
  </si>
  <si>
    <t>1608 (1606)</t>
  </si>
  <si>
    <t>1612½ (1613)</t>
  </si>
  <si>
    <t>1613 (1613)</t>
  </si>
  <si>
    <t>1622½ (1621)</t>
  </si>
  <si>
    <t>1623 (1621)</t>
  </si>
  <si>
    <t>1627½ (1628)</t>
  </si>
  <si>
    <t>1638 (1636)</t>
  </si>
  <si>
    <t>1638½ (1636)</t>
  </si>
  <si>
    <t>1643 (1643)</t>
  </si>
  <si>
    <t>1652½ (1651)</t>
  </si>
  <si>
    <t>1653 (1651)</t>
  </si>
  <si>
    <t>1657½ (1658)</t>
  </si>
  <si>
    <t>1707½ (1706)</t>
  </si>
  <si>
    <t>1708 (1706)</t>
  </si>
  <si>
    <t>1713 (1713)</t>
  </si>
  <si>
    <t>1722½ (1721)</t>
  </si>
  <si>
    <t>1723 (1721)</t>
  </si>
  <si>
    <t>1727½ (1728)</t>
  </si>
  <si>
    <t>1737½ (1736)</t>
  </si>
  <si>
    <t>1738 (1736)</t>
  </si>
  <si>
    <t>1743 (1743)</t>
  </si>
  <si>
    <t>1752½ (1751)</t>
  </si>
  <si>
    <t>1753 (1751)</t>
  </si>
  <si>
    <t>1758½ (1758)</t>
  </si>
  <si>
    <t>1807½ (1806)</t>
  </si>
  <si>
    <t>1808 (1806)</t>
  </si>
  <si>
    <t>1812½ (1813)</t>
  </si>
  <si>
    <t>1813 (1813)</t>
  </si>
  <si>
    <t>1822½ (1821)</t>
  </si>
  <si>
    <t>1823 (1821)</t>
  </si>
  <si>
    <t>1829 (1829)</t>
  </si>
  <si>
    <t>1837½ (1836)</t>
  </si>
  <si>
    <t>1838 (1836)</t>
  </si>
  <si>
    <t>1843 (1843)</t>
  </si>
  <si>
    <t>1852½ (1851)</t>
  </si>
  <si>
    <t>1853 (1851)</t>
  </si>
  <si>
    <t>1857½ (1858)</t>
  </si>
  <si>
    <t>1907½ (1906)</t>
  </si>
  <si>
    <t>1908 (1906)</t>
  </si>
  <si>
    <t>1912½ (1913)</t>
  </si>
  <si>
    <t>1913 (1913)</t>
  </si>
  <si>
    <t>1922½ (1921)</t>
  </si>
  <si>
    <t>1923 (1921)</t>
  </si>
  <si>
    <t>1927½ (1928)</t>
  </si>
  <si>
    <t>1937 (1935)</t>
  </si>
  <si>
    <t>1937½ (1935)</t>
  </si>
  <si>
    <t>1945½ (1945)</t>
  </si>
  <si>
    <t>1951½ (1950)</t>
  </si>
  <si>
    <t>1952 (1950)</t>
  </si>
  <si>
    <t>2000½ (2000)</t>
  </si>
  <si>
    <t>2007½ (2006)</t>
  </si>
  <si>
    <t>2008 (2006)</t>
  </si>
  <si>
    <t>2012½ (2013)</t>
  </si>
  <si>
    <t>2013 (2013)</t>
  </si>
  <si>
    <t>2020 (2018)</t>
  </si>
  <si>
    <t>2020½ (2019)</t>
  </si>
  <si>
    <t>2027½ (2028)</t>
  </si>
  <si>
    <t>2038 (2036)</t>
  </si>
  <si>
    <t>2038½ (2036)</t>
  </si>
  <si>
    <t>2042½ (2043)</t>
  </si>
  <si>
    <t>2043 (2043)</t>
  </si>
  <si>
    <t>2052½ (2051)</t>
  </si>
  <si>
    <t>2053 (2051)</t>
  </si>
  <si>
    <t>2057½ (2058)</t>
  </si>
  <si>
    <t>2108½ (2107)</t>
  </si>
  <si>
    <t>2109 (2107)</t>
  </si>
  <si>
    <t>2112½ (2113)</t>
  </si>
  <si>
    <t>2113 (2113)</t>
  </si>
  <si>
    <t>2122½ (2121)</t>
  </si>
  <si>
    <t>2123 (2121)</t>
  </si>
  <si>
    <t>2130½ (2131)</t>
  </si>
  <si>
    <t>2138 (2136)</t>
  </si>
  <si>
    <t>2138½ (2136)</t>
  </si>
  <si>
    <t>2143 (2143)</t>
  </si>
  <si>
    <t>2143½ (2143)</t>
  </si>
  <si>
    <t>2152½ (2151)</t>
  </si>
  <si>
    <t>2153 (2151)</t>
  </si>
  <si>
    <t>2157½ (2158)</t>
  </si>
  <si>
    <t>2207½ (2206)</t>
  </si>
  <si>
    <t>2208 (2206)</t>
  </si>
  <si>
    <t>2212½ (2213)</t>
  </si>
  <si>
    <t>2222½ (2221)</t>
  </si>
  <si>
    <t>2223 (2221)</t>
  </si>
  <si>
    <t>2227½ (2228)</t>
  </si>
  <si>
    <t>2237 (2235)</t>
  </si>
  <si>
    <t>2237½ (2235)</t>
  </si>
  <si>
    <t>2243 (2243)</t>
  </si>
  <si>
    <t>2252½ (2251)</t>
  </si>
  <si>
    <t>2253 (2251)</t>
  </si>
  <si>
    <t>2308 (2306)</t>
  </si>
  <si>
    <t>2308½ (2306)</t>
  </si>
  <si>
    <t>2312½ (2313)</t>
  </si>
  <si>
    <t>2313 (2313)</t>
  </si>
  <si>
    <t>2322½ (2321)</t>
  </si>
  <si>
    <t>2323 (2321)</t>
  </si>
  <si>
    <t>2327½ (2328)</t>
  </si>
  <si>
    <t>2337½ (2336)</t>
  </si>
  <si>
    <t>2338 (2336)</t>
  </si>
  <si>
    <t>2343½ (2344)</t>
  </si>
  <si>
    <t>2352½ (2351)</t>
  </si>
  <si>
    <t>2353 (2351)</t>
  </si>
  <si>
    <t>2357½ (2358)</t>
  </si>
  <si>
    <t>2358 (2358)</t>
  </si>
  <si>
    <t>Plat 1 UPNLL</t>
  </si>
  <si>
    <t>2D71 STP</t>
  </si>
  <si>
    <t>Southend Central</t>
  </si>
  <si>
    <t>CC</t>
  </si>
  <si>
    <t>2D68 STP</t>
  </si>
  <si>
    <t>Shoeburyness</t>
  </si>
  <si>
    <t>2R85 STP</t>
  </si>
  <si>
    <t>Grays</t>
  </si>
  <si>
    <t>1B92 STP</t>
  </si>
  <si>
    <t>0009 (0009)</t>
  </si>
  <si>
    <t>2B73 STP</t>
  </si>
  <si>
    <t>2G15 STP</t>
  </si>
  <si>
    <t>2R88 STP</t>
  </si>
  <si>
    <t>0028½ (0028)</t>
  </si>
  <si>
    <t>2G17 STP</t>
  </si>
  <si>
    <t>2G19 STP</t>
  </si>
  <si>
    <t>2B74 STP</t>
  </si>
  <si>
    <t>0039 (0039)</t>
  </si>
  <si>
    <t>2G21 STP</t>
  </si>
  <si>
    <t>2G23 STP</t>
  </si>
  <si>
    <t>2B76 STP</t>
  </si>
  <si>
    <t>0059 (0059)</t>
  </si>
  <si>
    <t>2B01 STP</t>
  </si>
  <si>
    <t>0516½ (0517)</t>
  </si>
  <si>
    <t>2B02 STP</t>
  </si>
  <si>
    <t>0519 (0519)</t>
  </si>
  <si>
    <t>0519½ (0519)</t>
  </si>
  <si>
    <t>2B04 STP</t>
  </si>
  <si>
    <t>2R01 STP</t>
  </si>
  <si>
    <t>0551½ (0552)</t>
  </si>
  <si>
    <t>0552 (0552)</t>
  </si>
  <si>
    <t>2B03 STP</t>
  </si>
  <si>
    <t>0556½ (0557)</t>
  </si>
  <si>
    <t>0557 (0557)</t>
  </si>
  <si>
    <t>2D73 STP</t>
  </si>
  <si>
    <t>0615½ (0615)</t>
  </si>
  <si>
    <t>2B06 STP</t>
  </si>
  <si>
    <t>0619½ (0619)</t>
  </si>
  <si>
    <t>2B05 STP</t>
  </si>
  <si>
    <t>0620½ (0621)</t>
  </si>
  <si>
    <t>0621 (0621)</t>
  </si>
  <si>
    <t>2R03 STP</t>
  </si>
  <si>
    <t>0625½ (0626)</t>
  </si>
  <si>
    <t>0626 (0626)</t>
  </si>
  <si>
    <t>2R04 STP</t>
  </si>
  <si>
    <t>0629½ (0629)</t>
  </si>
  <si>
    <t>2R05 STP</t>
  </si>
  <si>
    <t>0638½ (0639)</t>
  </si>
  <si>
    <t>2B07 STP</t>
  </si>
  <si>
    <t>0643½ (0644)</t>
  </si>
  <si>
    <t>2B08 STP</t>
  </si>
  <si>
    <t>2D72 STP</t>
  </si>
  <si>
    <t>0653 (0653)</t>
  </si>
  <si>
    <t>0653½ (0653)</t>
  </si>
  <si>
    <t>2R99 STP</t>
  </si>
  <si>
    <t>0655½ (0655)</t>
  </si>
  <si>
    <t>2R08 STP</t>
  </si>
  <si>
    <t>Pitsea</t>
  </si>
  <si>
    <t>0657½ (0657)</t>
  </si>
  <si>
    <t>1D03 STP</t>
  </si>
  <si>
    <t>1B89 STP</t>
  </si>
  <si>
    <t>1B03 STP</t>
  </si>
  <si>
    <t>1B00 STP</t>
  </si>
  <si>
    <t>Laindon</t>
  </si>
  <si>
    <t>2R07 STP</t>
  </si>
  <si>
    <t>0711½ (0712)</t>
  </si>
  <si>
    <t>Thorpe Bay</t>
  </si>
  <si>
    <t>2B11 STP</t>
  </si>
  <si>
    <t>0715½ (0716)</t>
  </si>
  <si>
    <t>2B10 STP</t>
  </si>
  <si>
    <t>0718 (0718)</t>
  </si>
  <si>
    <t>2D75 STP</t>
  </si>
  <si>
    <t>1B05 STP</t>
  </si>
  <si>
    <t>0723½ (0723)</t>
  </si>
  <si>
    <t>1D00 STP</t>
  </si>
  <si>
    <t>2R09 STP</t>
  </si>
  <si>
    <t>0726½ (0726)</t>
  </si>
  <si>
    <t>1B02 STP</t>
  </si>
  <si>
    <t>2R11 STP</t>
  </si>
  <si>
    <t>0739½ (0739)</t>
  </si>
  <si>
    <t>2N01 STP</t>
  </si>
  <si>
    <t>0744 (0744)</t>
  </si>
  <si>
    <t>Stanford-le-hope</t>
  </si>
  <si>
    <t>1B11 STP</t>
  </si>
  <si>
    <t>0747 (0747)</t>
  </si>
  <si>
    <t>0747½ (0747)</t>
  </si>
  <si>
    <t>2B12 STP</t>
  </si>
  <si>
    <t>0749½ (0749)</t>
  </si>
  <si>
    <t>1D05 STP</t>
  </si>
  <si>
    <t>1R12 STP</t>
  </si>
  <si>
    <t>0752½ (0753)</t>
  </si>
  <si>
    <t>0753 (0753)</t>
  </si>
  <si>
    <t>2R13 STP</t>
  </si>
  <si>
    <t>0757 (0757)</t>
  </si>
  <si>
    <t>2N00 STP</t>
  </si>
  <si>
    <t>0759½ (0759)</t>
  </si>
  <si>
    <t>2N03 STP</t>
  </si>
  <si>
    <t>0800½ (0801)</t>
  </si>
  <si>
    <t>1B04 STP</t>
  </si>
  <si>
    <t>0808 (0808)</t>
  </si>
  <si>
    <t>2R14 STP</t>
  </si>
  <si>
    <t>0812½ (0812)</t>
  </si>
  <si>
    <t>2R15 STP</t>
  </si>
  <si>
    <t>2N05 STP</t>
  </si>
  <si>
    <t>2B14 STP</t>
  </si>
  <si>
    <t>0818 (0818)</t>
  </si>
  <si>
    <t>1B21 STP</t>
  </si>
  <si>
    <t>0818½ (0819)</t>
  </si>
  <si>
    <t>1D09 STP</t>
  </si>
  <si>
    <t>0823½ (0823)</t>
  </si>
  <si>
    <t>1D04 STP</t>
  </si>
  <si>
    <t>2R17 STP</t>
  </si>
  <si>
    <t>2R16 STP</t>
  </si>
  <si>
    <t>0829½ (0829)</t>
  </si>
  <si>
    <t>2N07 STP</t>
  </si>
  <si>
    <t>1B25 STP</t>
  </si>
  <si>
    <t>0834½ (0835)</t>
  </si>
  <si>
    <t>1D11 STP</t>
  </si>
  <si>
    <t>0837½ (0838)</t>
  </si>
  <si>
    <t>1B06 STP</t>
  </si>
  <si>
    <t>2N09 STP</t>
  </si>
  <si>
    <t>0847 (0847)</t>
  </si>
  <si>
    <t>2B16 STP</t>
  </si>
  <si>
    <t>0849½ (0849)</t>
  </si>
  <si>
    <t>1B29 STP</t>
  </si>
  <si>
    <t>1D13 STP</t>
  </si>
  <si>
    <t>0855½ (0855)</t>
  </si>
  <si>
    <t>2R18 STP</t>
  </si>
  <si>
    <t>0859½ (0859)</t>
  </si>
  <si>
    <t>2N11 STP</t>
  </si>
  <si>
    <t>0904 (0904)</t>
  </si>
  <si>
    <t>1B08 STP</t>
  </si>
  <si>
    <t>0908½ (0908)</t>
  </si>
  <si>
    <t>1B97 STP</t>
  </si>
  <si>
    <t>2B18 STP</t>
  </si>
  <si>
    <t>0919½ (0919)</t>
  </si>
  <si>
    <t>2R20 STP</t>
  </si>
  <si>
    <t>0925½ (0925)</t>
  </si>
  <si>
    <t>2D77 STP</t>
  </si>
  <si>
    <t>0926½ (0926)</t>
  </si>
  <si>
    <t>2R97 STP</t>
  </si>
  <si>
    <t>0928½ (0929)</t>
  </si>
  <si>
    <t>2D06 STP</t>
  </si>
  <si>
    <t>0929½ (0929)</t>
  </si>
  <si>
    <t>2N13 STP</t>
  </si>
  <si>
    <t>0931½ (0931)</t>
  </si>
  <si>
    <t>1B10 STP</t>
  </si>
  <si>
    <t>2N15 STP</t>
  </si>
  <si>
    <t>2R22 STP</t>
  </si>
  <si>
    <t>0944 (0944)</t>
  </si>
  <si>
    <t>0944½ (0944)</t>
  </si>
  <si>
    <t>2B20 STP</t>
  </si>
  <si>
    <t>0949½ (0949)</t>
  </si>
  <si>
    <t>1B37 STP</t>
  </si>
  <si>
    <t>0951½ (0952)</t>
  </si>
  <si>
    <t>2D15 STP</t>
  </si>
  <si>
    <t>0958½ (0959)</t>
  </si>
  <si>
    <t>2D08 STP</t>
  </si>
  <si>
    <t>0959½ (0959)</t>
  </si>
  <si>
    <t>2B15 STP</t>
  </si>
  <si>
    <t>1003½ (1004)</t>
  </si>
  <si>
    <t>1004 (1004)</t>
  </si>
  <si>
    <t>1B12 STP</t>
  </si>
  <si>
    <t>2R27 STP</t>
  </si>
  <si>
    <t>1011 (1011)</t>
  </si>
  <si>
    <t>1011½ (1011)</t>
  </si>
  <si>
    <t>2R24 STP</t>
  </si>
  <si>
    <t>1014½ (1014)</t>
  </si>
  <si>
    <t>1B39 STP</t>
  </si>
  <si>
    <t>1015½ (1016)</t>
  </si>
  <si>
    <t>2B22 STP</t>
  </si>
  <si>
    <t>2D17 STP</t>
  </si>
  <si>
    <t>1025½ (1026)</t>
  </si>
  <si>
    <t>2D10 STP</t>
  </si>
  <si>
    <t>1029½ (1029)</t>
  </si>
  <si>
    <t>2B17 STP</t>
  </si>
  <si>
    <t>1033½ (1034)</t>
  </si>
  <si>
    <t>1B14 STP</t>
  </si>
  <si>
    <t>2R29 STP</t>
  </si>
  <si>
    <t>1041 (1041)</t>
  </si>
  <si>
    <t>1041½ (1041)</t>
  </si>
  <si>
    <t>2R26 STP</t>
  </si>
  <si>
    <t>1044 (1044)</t>
  </si>
  <si>
    <t>1044½ (1044)</t>
  </si>
  <si>
    <t>1B41 STP</t>
  </si>
  <si>
    <t>1045½ (1046)</t>
  </si>
  <si>
    <t>2B24 STP</t>
  </si>
  <si>
    <t>1049½ (1049)</t>
  </si>
  <si>
    <t>2D19 STP</t>
  </si>
  <si>
    <t>1055½ (1056)</t>
  </si>
  <si>
    <t>2D12 STP</t>
  </si>
  <si>
    <t>1059½ (1059)</t>
  </si>
  <si>
    <t>2B19 STP</t>
  </si>
  <si>
    <t>1103½ (1104)</t>
  </si>
  <si>
    <t>1104 (1104)</t>
  </si>
  <si>
    <t>1B16 STP</t>
  </si>
  <si>
    <t>1108 (1108)</t>
  </si>
  <si>
    <t>2R31 STP</t>
  </si>
  <si>
    <t>1111 (1111)</t>
  </si>
  <si>
    <t>1111½ (1111)</t>
  </si>
  <si>
    <t>2R28 STP</t>
  </si>
  <si>
    <t>1114½ (1114)</t>
  </si>
  <si>
    <t>1B43 STP</t>
  </si>
  <si>
    <t>1115½ (1116)</t>
  </si>
  <si>
    <t>2B26 STP</t>
  </si>
  <si>
    <t>2D21 STP</t>
  </si>
  <si>
    <t>1125½ (1126)</t>
  </si>
  <si>
    <t>2D14 STP</t>
  </si>
  <si>
    <t>1129½ (1129)</t>
  </si>
  <si>
    <t>2B21 STP</t>
  </si>
  <si>
    <t>1133½ (1134)</t>
  </si>
  <si>
    <t>1134 (1134)</t>
  </si>
  <si>
    <t>1B18 STP</t>
  </si>
  <si>
    <t>2R33 STP</t>
  </si>
  <si>
    <t>1141 (1141)</t>
  </si>
  <si>
    <t>1141½ (1141)</t>
  </si>
  <si>
    <t>2R30 STP</t>
  </si>
  <si>
    <t>1144 (1144)</t>
  </si>
  <si>
    <t>1144½ (1144)</t>
  </si>
  <si>
    <t>1B45 STP</t>
  </si>
  <si>
    <t>1145½ (1146)</t>
  </si>
  <si>
    <t>2B28 STP</t>
  </si>
  <si>
    <t>1149½ (1149)</t>
  </si>
  <si>
    <t>2D23 STP</t>
  </si>
  <si>
    <t>1155½ (1156)</t>
  </si>
  <si>
    <t>2D16 STP</t>
  </si>
  <si>
    <t>1159½ (1159)</t>
  </si>
  <si>
    <t>2B23 STP</t>
  </si>
  <si>
    <t>1203½ (1204)</t>
  </si>
  <si>
    <t>1204 (1204)</t>
  </si>
  <si>
    <t>1B20 STP</t>
  </si>
  <si>
    <t>1208 (1208)</t>
  </si>
  <si>
    <t>2R35 STP</t>
  </si>
  <si>
    <t>1211 (1211)</t>
  </si>
  <si>
    <t>1211½ (1211)</t>
  </si>
  <si>
    <t>2R32 STP</t>
  </si>
  <si>
    <t>1214½ (1214)</t>
  </si>
  <si>
    <t>1B47 STP</t>
  </si>
  <si>
    <t>1215½ (1216)</t>
  </si>
  <si>
    <t>2B30 STP</t>
  </si>
  <si>
    <t>2D25 STP</t>
  </si>
  <si>
    <t>1225½ (1226)</t>
  </si>
  <si>
    <t>2D18 STP</t>
  </si>
  <si>
    <t>1229½ (1229)</t>
  </si>
  <si>
    <t>2B25 STP</t>
  </si>
  <si>
    <t>1233½ (1234)</t>
  </si>
  <si>
    <t>1234 (1234)</t>
  </si>
  <si>
    <t>1B22 STP</t>
  </si>
  <si>
    <t>2R37 STP</t>
  </si>
  <si>
    <t>1241 (1241)</t>
  </si>
  <si>
    <t>1241½ (1241)</t>
  </si>
  <si>
    <t>2R34 STP</t>
  </si>
  <si>
    <t>1244 (1244)</t>
  </si>
  <si>
    <t>1244½ (1244)</t>
  </si>
  <si>
    <t>1B49 STP</t>
  </si>
  <si>
    <t>1245½ (1246)</t>
  </si>
  <si>
    <t>2B32 STP</t>
  </si>
  <si>
    <t>1249½ (1249)</t>
  </si>
  <si>
    <t>2D27 STP</t>
  </si>
  <si>
    <t>1255½ (1256)</t>
  </si>
  <si>
    <t>2D20 STP</t>
  </si>
  <si>
    <t>1259½ (1259)</t>
  </si>
  <si>
    <t>2B27 STP</t>
  </si>
  <si>
    <t>1303½ (1304)</t>
  </si>
  <si>
    <t>1304 (1304)</t>
  </si>
  <si>
    <t>1B24 STP</t>
  </si>
  <si>
    <t>1308 (1308)</t>
  </si>
  <si>
    <t>2R39 STP</t>
  </si>
  <si>
    <t>1311 (1311)</t>
  </si>
  <si>
    <t>1311½ (1311)</t>
  </si>
  <si>
    <t>2R36 STP</t>
  </si>
  <si>
    <t>1314½ (1314)</t>
  </si>
  <si>
    <t>1B51 STP</t>
  </si>
  <si>
    <t>1315½ (1316)</t>
  </si>
  <si>
    <t>2B34 STP</t>
  </si>
  <si>
    <t>2D29 STP</t>
  </si>
  <si>
    <t>1325½ (1326)</t>
  </si>
  <si>
    <t>2D22 STP</t>
  </si>
  <si>
    <t>1329½ (1329)</t>
  </si>
  <si>
    <t>2B29 STP</t>
  </si>
  <si>
    <t>1333½ (1334)</t>
  </si>
  <si>
    <t>1334 (1334)</t>
  </si>
  <si>
    <t>1B26 STP</t>
  </si>
  <si>
    <t>2R41 STP</t>
  </si>
  <si>
    <t>1341 (1341)</t>
  </si>
  <si>
    <t>1341½ (1341)</t>
  </si>
  <si>
    <t>2R38 STP</t>
  </si>
  <si>
    <t>1344 (1344)</t>
  </si>
  <si>
    <t>1344½ (1344)</t>
  </si>
  <si>
    <t>1B53 STP</t>
  </si>
  <si>
    <t>1345½ (1346)</t>
  </si>
  <si>
    <t>2B36 STP</t>
  </si>
  <si>
    <t>1349½ (1349)</t>
  </si>
  <si>
    <t>2D31 STP</t>
  </si>
  <si>
    <t>1355½ (1356)</t>
  </si>
  <si>
    <t>2D24 STP</t>
  </si>
  <si>
    <t>1359½ (1359)</t>
  </si>
  <si>
    <t>2B31 STP</t>
  </si>
  <si>
    <t>1403½ (1404)</t>
  </si>
  <si>
    <t>1404 (1404)</t>
  </si>
  <si>
    <t>1B28 STP</t>
  </si>
  <si>
    <t>1408 (1408)</t>
  </si>
  <si>
    <t>2R43 STP</t>
  </si>
  <si>
    <t>1411 (1411)</t>
  </si>
  <si>
    <t>1411½ (1411)</t>
  </si>
  <si>
    <t>2R40 STP</t>
  </si>
  <si>
    <t>1414½ (1414)</t>
  </si>
  <si>
    <t>1B55 STP</t>
  </si>
  <si>
    <t>1415½ (1416)</t>
  </si>
  <si>
    <t>2B38 STP</t>
  </si>
  <si>
    <t>2D33 STP</t>
  </si>
  <si>
    <t>1425½ (1426)</t>
  </si>
  <si>
    <t>2D26 STP</t>
  </si>
  <si>
    <t>1429½ (1429)</t>
  </si>
  <si>
    <t>2B33 STP</t>
  </si>
  <si>
    <t>1433½ (1434)</t>
  </si>
  <si>
    <t>1434 (1434)</t>
  </si>
  <si>
    <t>1B30 STP</t>
  </si>
  <si>
    <t>2R45 STP</t>
  </si>
  <si>
    <t>1441 (1441)</t>
  </si>
  <si>
    <t>1441½ (1441)</t>
  </si>
  <si>
    <t>2R42 STP</t>
  </si>
  <si>
    <t>1444 (1444)</t>
  </si>
  <si>
    <t>1444½ (1444)</t>
  </si>
  <si>
    <t>1B57 STP</t>
  </si>
  <si>
    <t>1445½ (1446)</t>
  </si>
  <si>
    <t>2B40 STP</t>
  </si>
  <si>
    <t>1449½ (1449)</t>
  </si>
  <si>
    <t>2D35 STP</t>
  </si>
  <si>
    <t>1455½ (1456)</t>
  </si>
  <si>
    <t>2D28 STP</t>
  </si>
  <si>
    <t>2B35 STP</t>
  </si>
  <si>
    <t>1503½ (1504)</t>
  </si>
  <si>
    <t>1504 (1504)</t>
  </si>
  <si>
    <t>1B32 STP</t>
  </si>
  <si>
    <t>1508 (1508)</t>
  </si>
  <si>
    <t>2R47 STP</t>
  </si>
  <si>
    <t>1511 (1511)</t>
  </si>
  <si>
    <t>1511½ (1511)</t>
  </si>
  <si>
    <t>2R44 STP</t>
  </si>
  <si>
    <t>1514½ (1514)</t>
  </si>
  <si>
    <t>1B59 STP</t>
  </si>
  <si>
    <t>1515½ (1516)</t>
  </si>
  <si>
    <t>2B42 STP</t>
  </si>
  <si>
    <t>2D37 STP</t>
  </si>
  <si>
    <t>1525½ (1526)</t>
  </si>
  <si>
    <t>2D30 STP</t>
  </si>
  <si>
    <t>1529½ (1529)</t>
  </si>
  <si>
    <t>1B88 STP</t>
  </si>
  <si>
    <t>Leigh-on-sea</t>
  </si>
  <si>
    <t>1533½ (1533)</t>
  </si>
  <si>
    <t>2B37 STP</t>
  </si>
  <si>
    <t>1533½ (1534)</t>
  </si>
  <si>
    <t>1534 (1534)</t>
  </si>
  <si>
    <t>1B34 STP</t>
  </si>
  <si>
    <t>2R49 STP</t>
  </si>
  <si>
    <t>1541 (1541)</t>
  </si>
  <si>
    <t>1541½ (1541)</t>
  </si>
  <si>
    <t>2R46 STP</t>
  </si>
  <si>
    <t>1544 (1544)</t>
  </si>
  <si>
    <t>1544½ (1544)</t>
  </si>
  <si>
    <t>1B61 STP</t>
  </si>
  <si>
    <t>1545½ (1546)</t>
  </si>
  <si>
    <t>2B44 STP</t>
  </si>
  <si>
    <t>1549½ (1549)</t>
  </si>
  <si>
    <t>2D39 STP</t>
  </si>
  <si>
    <t>1555½ (1556)</t>
  </si>
  <si>
    <t>2D32 STP</t>
  </si>
  <si>
    <t>1559½ (1559)</t>
  </si>
  <si>
    <t>2B39 STP</t>
  </si>
  <si>
    <t>1603½ (1604)</t>
  </si>
  <si>
    <t>1604 (1604)</t>
  </si>
  <si>
    <t>2R98 STP</t>
  </si>
  <si>
    <t>1604½ (1604)</t>
  </si>
  <si>
    <t>1B36 STP</t>
  </si>
  <si>
    <t>2R51 STP</t>
  </si>
  <si>
    <t>1611½ (1611)</t>
  </si>
  <si>
    <t>1B63 STP</t>
  </si>
  <si>
    <t>2B46 STP</t>
  </si>
  <si>
    <t>2R48 STP</t>
  </si>
  <si>
    <t>2D41 STP</t>
  </si>
  <si>
    <t>1625½ (1626)</t>
  </si>
  <si>
    <t>2D34 STP</t>
  </si>
  <si>
    <t>1629½ (1629)</t>
  </si>
  <si>
    <t>2B41 STP</t>
  </si>
  <si>
    <t>1633½ (1634)</t>
  </si>
  <si>
    <t>1B38 STP</t>
  </si>
  <si>
    <t>1636 (1636)</t>
  </si>
  <si>
    <t>2N10 STP</t>
  </si>
  <si>
    <t>2R50 STP</t>
  </si>
  <si>
    <t>1B65 STP</t>
  </si>
  <si>
    <t>1643½ (1644)</t>
  </si>
  <si>
    <t>1644 (1644)</t>
  </si>
  <si>
    <t>2D36 STP</t>
  </si>
  <si>
    <t>1646½ (1646)</t>
  </si>
  <si>
    <t>2N02 STP</t>
  </si>
  <si>
    <t>1657½ (1657)</t>
  </si>
  <si>
    <t>2B43 STP</t>
  </si>
  <si>
    <t>2R52 STP</t>
  </si>
  <si>
    <t>1704 (1704)</t>
  </si>
  <si>
    <t>1B69 STP</t>
  </si>
  <si>
    <t>1708½ (1709)</t>
  </si>
  <si>
    <t>2N04 STP</t>
  </si>
  <si>
    <t>2R54 STP</t>
  </si>
  <si>
    <t>1720 (1720)</t>
  </si>
  <si>
    <t>1R57 STP</t>
  </si>
  <si>
    <t>1721½ (1722)</t>
  </si>
  <si>
    <t>1B48 STP</t>
  </si>
  <si>
    <t>1B50 STP</t>
  </si>
  <si>
    <t>1D45 STP</t>
  </si>
  <si>
    <t>2N06 STP</t>
  </si>
  <si>
    <t>1732½ (1733)</t>
  </si>
  <si>
    <t>2R56 STP</t>
  </si>
  <si>
    <t>1735½ (1735)</t>
  </si>
  <si>
    <t>1D40 STP</t>
  </si>
  <si>
    <t>1740 (1740)</t>
  </si>
  <si>
    <t>1B54 STP</t>
  </si>
  <si>
    <t>1744 (1744)</t>
  </si>
  <si>
    <t>1744½ (1744)</t>
  </si>
  <si>
    <t>2N08 STP</t>
  </si>
  <si>
    <t>1B17 STP</t>
  </si>
  <si>
    <t>2R58 STP</t>
  </si>
  <si>
    <t>1750½ (1750)</t>
  </si>
  <si>
    <t>1D42 STP</t>
  </si>
  <si>
    <t>1756½ (1757)</t>
  </si>
  <si>
    <t>1757 (1757)</t>
  </si>
  <si>
    <t>2R61 STP</t>
  </si>
  <si>
    <t>1757½ (1758)</t>
  </si>
  <si>
    <t>1B58 STP</t>
  </si>
  <si>
    <t>2R60 STP</t>
  </si>
  <si>
    <t>1B62 STP</t>
  </si>
  <si>
    <t>1808½ (1808)</t>
  </si>
  <si>
    <t>1R63 STP</t>
  </si>
  <si>
    <t>2D44 STP</t>
  </si>
  <si>
    <t>2N49 STP</t>
  </si>
  <si>
    <t>2B48 STP</t>
  </si>
  <si>
    <t>1818 (1818)</t>
  </si>
  <si>
    <t>2R62 STP</t>
  </si>
  <si>
    <t>1B95 STP</t>
  </si>
  <si>
    <t>1825½ (1826)</t>
  </si>
  <si>
    <t>2N51 STP</t>
  </si>
  <si>
    <t>1829½ (1830)</t>
  </si>
  <si>
    <t>1D46 STP</t>
  </si>
  <si>
    <t>1832½ (1832)</t>
  </si>
  <si>
    <t>2R65 STP</t>
  </si>
  <si>
    <t>2B50 STP</t>
  </si>
  <si>
    <t>2R64 STP</t>
  </si>
  <si>
    <t>2B51 STP</t>
  </si>
  <si>
    <t>1B68 STP</t>
  </si>
  <si>
    <t>1850½ (1850)</t>
  </si>
  <si>
    <t>2B52 STP</t>
  </si>
  <si>
    <t>2R66 STP</t>
  </si>
  <si>
    <t>1900½ (1900)</t>
  </si>
  <si>
    <t>2R67 STP</t>
  </si>
  <si>
    <t>2B53 STP</t>
  </si>
  <si>
    <t>1904 (1904)</t>
  </si>
  <si>
    <t>1D50 STP</t>
  </si>
  <si>
    <t>1910½ (1910)</t>
  </si>
  <si>
    <t>1B77 STP</t>
  </si>
  <si>
    <t>1915½ (1916)</t>
  </si>
  <si>
    <t>2R68 STP</t>
  </si>
  <si>
    <t>1917½ (1917)</t>
  </si>
  <si>
    <t>1R91 STP</t>
  </si>
  <si>
    <t>1919½ (1920)</t>
  </si>
  <si>
    <t>1920 (1920)</t>
  </si>
  <si>
    <t>2B54 STP</t>
  </si>
  <si>
    <t>1920½ (1920)</t>
  </si>
  <si>
    <t>2D79 STP</t>
  </si>
  <si>
    <t>2D52 STP</t>
  </si>
  <si>
    <t>1929½ (1929)</t>
  </si>
  <si>
    <t>2B55 STP</t>
  </si>
  <si>
    <t>1933½ (1934)</t>
  </si>
  <si>
    <t>1934 (1934)</t>
  </si>
  <si>
    <t>2N12 STP</t>
  </si>
  <si>
    <t>1941 (1941)</t>
  </si>
  <si>
    <t>1941½ (1941)</t>
  </si>
  <si>
    <t>2R70 STP</t>
  </si>
  <si>
    <t>1944 (1944)</t>
  </si>
  <si>
    <t>1944½ (1944)</t>
  </si>
  <si>
    <t>1B79 STP</t>
  </si>
  <si>
    <t>1945½ (1946)</t>
  </si>
  <si>
    <t>2R71 STP</t>
  </si>
  <si>
    <t>1948 (1948)</t>
  </si>
  <si>
    <t>2B56 STP</t>
  </si>
  <si>
    <t>1949½ (1949)</t>
  </si>
  <si>
    <t>2D55 STP</t>
  </si>
  <si>
    <t>1955½ (1956)</t>
  </si>
  <si>
    <t>2D54 STP</t>
  </si>
  <si>
    <t>1959½ (1959)</t>
  </si>
  <si>
    <t>2B57 STP</t>
  </si>
  <si>
    <t>2003½ (2004)</t>
  </si>
  <si>
    <t>2004 (2004)</t>
  </si>
  <si>
    <t>1B76 STP</t>
  </si>
  <si>
    <t>2R72 STP</t>
  </si>
  <si>
    <t>2014½ (2014)</t>
  </si>
  <si>
    <t>1B81 STP</t>
  </si>
  <si>
    <t>2015½ (2016)</t>
  </si>
  <si>
    <t>2R73 STP</t>
  </si>
  <si>
    <t>2018 (2018)</t>
  </si>
  <si>
    <t>2B58 STP</t>
  </si>
  <si>
    <t>2D57 STP</t>
  </si>
  <si>
    <t>2025½ (2026)</t>
  </si>
  <si>
    <t>2D56 STP</t>
  </si>
  <si>
    <t>2029½ (2029)</t>
  </si>
  <si>
    <t>2B59 STP</t>
  </si>
  <si>
    <t>2033½ (2034)</t>
  </si>
  <si>
    <t>2034 (2034)</t>
  </si>
  <si>
    <t>1B78 STP</t>
  </si>
  <si>
    <t>2R75 STP</t>
  </si>
  <si>
    <t>2041 (2041)</t>
  </si>
  <si>
    <t>2041½ (2041)</t>
  </si>
  <si>
    <t>2R74 STP</t>
  </si>
  <si>
    <t>2044 (2044)</t>
  </si>
  <si>
    <t>2044½ (2044)</t>
  </si>
  <si>
    <t>1B83 STP</t>
  </si>
  <si>
    <t>2045½ (2046)</t>
  </si>
  <si>
    <t>2B60 STP</t>
  </si>
  <si>
    <t>2049½ (2049)</t>
  </si>
  <si>
    <t>2D59 STP</t>
  </si>
  <si>
    <t>2055½ (2056)</t>
  </si>
  <si>
    <t>2D58 STP</t>
  </si>
  <si>
    <t>2059½ (2059)</t>
  </si>
  <si>
    <t>2B61 STP</t>
  </si>
  <si>
    <t>2103½ (2104)</t>
  </si>
  <si>
    <t>2104 (2104)</t>
  </si>
  <si>
    <t>1B80 STP</t>
  </si>
  <si>
    <t>2108 (2108)</t>
  </si>
  <si>
    <t>2R77 STP</t>
  </si>
  <si>
    <t>2111 (2111)</t>
  </si>
  <si>
    <t>2111½ (2111)</t>
  </si>
  <si>
    <t>2R76 STP</t>
  </si>
  <si>
    <t>2114½ (2114)</t>
  </si>
  <si>
    <t>1B85 STP</t>
  </si>
  <si>
    <t>2115½ (2116)</t>
  </si>
  <si>
    <t>2B62 STP</t>
  </si>
  <si>
    <t>2D61 STP</t>
  </si>
  <si>
    <t>2125½ (2126)</t>
  </si>
  <si>
    <t>2D60 STP</t>
  </si>
  <si>
    <t>2129½ (2129)</t>
  </si>
  <si>
    <t>2B63 STP</t>
  </si>
  <si>
    <t>2133½ (2134)</t>
  </si>
  <si>
    <t>2134 (2134)</t>
  </si>
  <si>
    <t>1B82 STP</t>
  </si>
  <si>
    <t>2R79 STP</t>
  </si>
  <si>
    <t>2141 (2141)</t>
  </si>
  <si>
    <t>2141½ (2141)</t>
  </si>
  <si>
    <t>2R78 STP</t>
  </si>
  <si>
    <t>2144 (2144)</t>
  </si>
  <si>
    <t>2144½ (2144)</t>
  </si>
  <si>
    <t>2B64 STP</t>
  </si>
  <si>
    <t>2149½ (2149)</t>
  </si>
  <si>
    <t>2D63 STP</t>
  </si>
  <si>
    <t>2155½ (2156)</t>
  </si>
  <si>
    <t>2D62 STP</t>
  </si>
  <si>
    <t>2159½ (2159)</t>
  </si>
  <si>
    <t>2B65 STP</t>
  </si>
  <si>
    <t>2204 (2204)</t>
  </si>
  <si>
    <t>1B84 STP</t>
  </si>
  <si>
    <t>2208 (2208)</t>
  </si>
  <si>
    <t>2R87 STP</t>
  </si>
  <si>
    <t>2R80 STP</t>
  </si>
  <si>
    <t>2215½ (2215)</t>
  </si>
  <si>
    <t>1B87 STP</t>
  </si>
  <si>
    <t>2B66 STP</t>
  </si>
  <si>
    <t>2220 (2220)</t>
  </si>
  <si>
    <t>2D65 STP</t>
  </si>
  <si>
    <t>2225½ (2226)</t>
  </si>
  <si>
    <t>2D64 STP</t>
  </si>
  <si>
    <t>2229 (2229)</t>
  </si>
  <si>
    <t>2B67 STP</t>
  </si>
  <si>
    <t>2233½ (2234)</t>
  </si>
  <si>
    <t>2236½ (2236)</t>
  </si>
  <si>
    <t>2R82 STP</t>
  </si>
  <si>
    <t>2245½ (2245)</t>
  </si>
  <si>
    <t>2R81 STP</t>
  </si>
  <si>
    <t>2246 (2245)</t>
  </si>
  <si>
    <t>2B68 STP</t>
  </si>
  <si>
    <t>2249 (2249)</t>
  </si>
  <si>
    <t>2D69 STP</t>
  </si>
  <si>
    <t>2257 (2257)</t>
  </si>
  <si>
    <t>2300 (2300)</t>
  </si>
  <si>
    <t>2D66 STP</t>
  </si>
  <si>
    <t>2259 (2259)</t>
  </si>
  <si>
    <t>2G01 STP</t>
  </si>
  <si>
    <t>1B90 STP</t>
  </si>
  <si>
    <t>2B69 STP</t>
  </si>
  <si>
    <t>2G03 STP</t>
  </si>
  <si>
    <t>2R84 STP</t>
  </si>
  <si>
    <t>2315½ (2315)</t>
  </si>
  <si>
    <t>2R83 STP</t>
  </si>
  <si>
    <t>2B70 STP</t>
  </si>
  <si>
    <t>2G05 STP</t>
  </si>
  <si>
    <t>2D67 STP</t>
  </si>
  <si>
    <t>2327 (2327)</t>
  </si>
  <si>
    <t>2D70 STP</t>
  </si>
  <si>
    <t>2329 (2329)</t>
  </si>
  <si>
    <t>2G07 STP</t>
  </si>
  <si>
    <t>2B71 STP</t>
  </si>
  <si>
    <t>2G09 STP</t>
  </si>
  <si>
    <t>2R86 STP</t>
  </si>
  <si>
    <t>2347½ (2347)</t>
  </si>
  <si>
    <t>2G11 STP</t>
  </si>
  <si>
    <t>2B72 STP</t>
  </si>
  <si>
    <t>2349 (2349)</t>
  </si>
  <si>
    <t>2G13 STP</t>
  </si>
  <si>
    <t>HMN</t>
  </si>
  <si>
    <t>WEH</t>
  </si>
  <si>
    <t>London Fenchurch St</t>
  </si>
  <si>
    <t>UP</t>
  </si>
  <si>
    <t>DN</t>
  </si>
  <si>
    <t>Barking</t>
  </si>
  <si>
    <t>Upminster</t>
  </si>
  <si>
    <t>West Horndon</t>
  </si>
  <si>
    <t>Basildon</t>
  </si>
  <si>
    <t>Benfleet</t>
  </si>
  <si>
    <t>Leigh-on-Sea</t>
  </si>
  <si>
    <t>Chalkwell</t>
  </si>
  <si>
    <t>Westcliff</t>
  </si>
  <si>
    <t>Southend East</t>
  </si>
  <si>
    <t>Dagenham Dock</t>
  </si>
  <si>
    <t>Purfleet</t>
  </si>
  <si>
    <t>Tilbury Town</t>
  </si>
  <si>
    <t>East Tilbury</t>
  </si>
  <si>
    <t>Stanford-le-Hope</t>
  </si>
  <si>
    <t>Ockendon</t>
  </si>
  <si>
    <t>Chafford Hundred</t>
  </si>
  <si>
    <t xml:space="preserve">Purfleet </t>
  </si>
  <si>
    <t>Limehouse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</si>
</sst>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0" fontId="0" fillId="0" borderId="0" xfId="0" applyAlignment="1">
      <alignment wrapText="1"/>
    </xf>
    <xf numFmtId="0" fontId="2" fillId="0" borderId="0" xfId="1"/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 textRotation="90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/>
    <xf numFmtId="0" fontId="6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W30583/2012/8/7" TargetMode="External"/><Relationship Id="rId299" Type="http://schemas.openxmlformats.org/officeDocument/2006/relationships/hyperlink" Target="http://www.opentraintimes.com/schedule/W39759/2012/8/7" TargetMode="External"/><Relationship Id="rId303" Type="http://schemas.openxmlformats.org/officeDocument/2006/relationships/hyperlink" Target="http://www.opentraintimes.com/schedule/W30722/2012/8/7" TargetMode="External"/><Relationship Id="rId21" Type="http://schemas.openxmlformats.org/officeDocument/2006/relationships/hyperlink" Target="http://www.opentraintimes.com/schedule/W38832/2012/8/7" TargetMode="External"/><Relationship Id="rId42" Type="http://schemas.openxmlformats.org/officeDocument/2006/relationships/hyperlink" Target="http://www.opentraintimes.com/schedule/W39651/2012/8/7" TargetMode="External"/><Relationship Id="rId63" Type="http://schemas.openxmlformats.org/officeDocument/2006/relationships/hyperlink" Target="http://www.opentraintimes.com/schedule/W39645/2012/8/7" TargetMode="External"/><Relationship Id="rId84" Type="http://schemas.openxmlformats.org/officeDocument/2006/relationships/hyperlink" Target="http://www.opentraintimes.com/schedule/W39304/2012/8/7" TargetMode="External"/><Relationship Id="rId138" Type="http://schemas.openxmlformats.org/officeDocument/2006/relationships/hyperlink" Target="http://www.opentraintimes.com/schedule/W39681/2012/8/7" TargetMode="External"/><Relationship Id="rId159" Type="http://schemas.openxmlformats.org/officeDocument/2006/relationships/hyperlink" Target="http://www.opentraintimes.com/schedule/W30613/2012/8/7" TargetMode="External"/><Relationship Id="rId324" Type="http://schemas.openxmlformats.org/officeDocument/2006/relationships/hyperlink" Target="http://www.opentraintimes.com/schedule/W39779/2012/8/7" TargetMode="External"/><Relationship Id="rId345" Type="http://schemas.openxmlformats.org/officeDocument/2006/relationships/hyperlink" Target="http://www.opentraintimes.com/schedule/W39791/2012/8/7" TargetMode="External"/><Relationship Id="rId170" Type="http://schemas.openxmlformats.org/officeDocument/2006/relationships/hyperlink" Target="http://www.opentraintimes.com/schedule/W39697/2012/8/7" TargetMode="External"/><Relationship Id="rId191" Type="http://schemas.openxmlformats.org/officeDocument/2006/relationships/hyperlink" Target="http://www.opentraintimes.com/schedule/W30637/2012/8/7" TargetMode="External"/><Relationship Id="rId205" Type="http://schemas.openxmlformats.org/officeDocument/2006/relationships/hyperlink" Target="http://www.opentraintimes.com/schedule/W39421/2012/8/7" TargetMode="External"/><Relationship Id="rId226" Type="http://schemas.openxmlformats.org/officeDocument/2006/relationships/hyperlink" Target="http://www.opentraintimes.com/schedule/W30239/2012/8/7" TargetMode="External"/><Relationship Id="rId247" Type="http://schemas.openxmlformats.org/officeDocument/2006/relationships/hyperlink" Target="http://www.opentraintimes.com/schedule/W39545/2012/8/7" TargetMode="External"/><Relationship Id="rId107" Type="http://schemas.openxmlformats.org/officeDocument/2006/relationships/hyperlink" Target="http://www.opentraintimes.com/schedule/W39663/2012/8/7" TargetMode="External"/><Relationship Id="rId268" Type="http://schemas.openxmlformats.org/officeDocument/2006/relationships/hyperlink" Target="http://www.opentraintimes.com/schedule/W39433/2012/8/7" TargetMode="External"/><Relationship Id="rId289" Type="http://schemas.openxmlformats.org/officeDocument/2006/relationships/hyperlink" Target="http://www.opentraintimes.com/schedule/W39755/2012/8/7" TargetMode="External"/><Relationship Id="rId11" Type="http://schemas.openxmlformats.org/officeDocument/2006/relationships/hyperlink" Target="http://www.opentraintimes.com/schedule/W39824/2012/8/7" TargetMode="External"/><Relationship Id="rId32" Type="http://schemas.openxmlformats.org/officeDocument/2006/relationships/hyperlink" Target="http://www.opentraintimes.com/schedule/W39453/2012/8/7" TargetMode="External"/><Relationship Id="rId53" Type="http://schemas.openxmlformats.org/officeDocument/2006/relationships/hyperlink" Target="http://www.opentraintimes.com/schedule/W39391/2012/8/7" TargetMode="External"/><Relationship Id="rId74" Type="http://schemas.openxmlformats.org/officeDocument/2006/relationships/hyperlink" Target="http://www.opentraintimes.com/schedule/W39300/2012/8/7" TargetMode="External"/><Relationship Id="rId128" Type="http://schemas.openxmlformats.org/officeDocument/2006/relationships/hyperlink" Target="http://www.opentraintimes.com/schedule/W39479/2012/8/7" TargetMode="External"/><Relationship Id="rId149" Type="http://schemas.openxmlformats.org/officeDocument/2006/relationships/hyperlink" Target="http://www.opentraintimes.com/schedule/W30607/2012/8/7" TargetMode="External"/><Relationship Id="rId314" Type="http://schemas.openxmlformats.org/officeDocument/2006/relationships/hyperlink" Target="http://www.opentraintimes.com/schedule/W39769/2012/8/7" TargetMode="External"/><Relationship Id="rId335" Type="http://schemas.openxmlformats.org/officeDocument/2006/relationships/hyperlink" Target="http://www.opentraintimes.com/schedule/W39785/2012/8/7" TargetMode="External"/><Relationship Id="rId5" Type="http://schemas.openxmlformats.org/officeDocument/2006/relationships/hyperlink" Target="http://www.opentraintimes.com/schedule/W39634/2012/8/7" TargetMode="External"/><Relationship Id="rId95" Type="http://schemas.openxmlformats.org/officeDocument/2006/relationships/hyperlink" Target="http://www.opentraintimes.com/schedule/W39800/2012/8/7" TargetMode="External"/><Relationship Id="rId160" Type="http://schemas.openxmlformats.org/officeDocument/2006/relationships/hyperlink" Target="http://www.opentraintimes.com/schedule/W39495/2012/8/7" TargetMode="External"/><Relationship Id="rId181" Type="http://schemas.openxmlformats.org/officeDocument/2006/relationships/hyperlink" Target="http://www.opentraintimes.com/schedule/W30631/2012/8/7" TargetMode="External"/><Relationship Id="rId216" Type="http://schemas.openxmlformats.org/officeDocument/2006/relationships/hyperlink" Target="http://www.opentraintimes.com/schedule/W30651/2012/8/7" TargetMode="External"/><Relationship Id="rId237" Type="http://schemas.openxmlformats.org/officeDocument/2006/relationships/hyperlink" Target="http://www.opentraintimes.com/schedule/W39429/2012/8/7" TargetMode="External"/><Relationship Id="rId258" Type="http://schemas.openxmlformats.org/officeDocument/2006/relationships/hyperlink" Target="http://www.opentraintimes.com/schedule/W30268/2012/8/7" TargetMode="External"/><Relationship Id="rId279" Type="http://schemas.openxmlformats.org/officeDocument/2006/relationships/hyperlink" Target="http://www.opentraintimes.com/schedule/W39561/2012/8/7" TargetMode="External"/><Relationship Id="rId22" Type="http://schemas.openxmlformats.org/officeDocument/2006/relationships/hyperlink" Target="http://www.opentraintimes.com/schedule/W30546/2012/8/7" TargetMode="External"/><Relationship Id="rId43" Type="http://schemas.openxmlformats.org/officeDocument/2006/relationships/hyperlink" Target="http://www.opentraintimes.com/schedule/W30121/2012/8/7" TargetMode="External"/><Relationship Id="rId64" Type="http://schemas.openxmlformats.org/officeDocument/2006/relationships/hyperlink" Target="http://www.opentraintimes.com/schedule/W38831/2012/8/7" TargetMode="External"/><Relationship Id="rId118" Type="http://schemas.openxmlformats.org/officeDocument/2006/relationships/hyperlink" Target="http://www.opentraintimes.com/schedule/W39475/2012/8/7" TargetMode="External"/><Relationship Id="rId139" Type="http://schemas.openxmlformats.org/officeDocument/2006/relationships/hyperlink" Target="http://www.opentraintimes.com/schedule/W39679/2012/8/7" TargetMode="External"/><Relationship Id="rId290" Type="http://schemas.openxmlformats.org/officeDocument/2006/relationships/hyperlink" Target="http://www.opentraintimes.com/schedule/W30292/2012/8/7" TargetMode="External"/><Relationship Id="rId304" Type="http://schemas.openxmlformats.org/officeDocument/2006/relationships/hyperlink" Target="http://www.opentraintimes.com/schedule/W39571/2012/8/7" TargetMode="External"/><Relationship Id="rId325" Type="http://schemas.openxmlformats.org/officeDocument/2006/relationships/hyperlink" Target="http://www.opentraintimes.com/schedule/W39773/2012/8/7" TargetMode="External"/><Relationship Id="rId346" Type="http://schemas.openxmlformats.org/officeDocument/2006/relationships/printerSettings" Target="../printerSettings/printerSettings1.bin"/><Relationship Id="rId85" Type="http://schemas.openxmlformats.org/officeDocument/2006/relationships/hyperlink" Target="http://www.opentraintimes.com/schedule/W36783/2012/8/7" TargetMode="External"/><Relationship Id="rId150" Type="http://schemas.openxmlformats.org/officeDocument/2006/relationships/hyperlink" Target="http://www.opentraintimes.com/schedule/W39491/2012/8/7" TargetMode="External"/><Relationship Id="rId171" Type="http://schemas.openxmlformats.org/officeDocument/2006/relationships/hyperlink" Target="http://www.opentraintimes.com/schedule/W39695/2012/8/7" TargetMode="External"/><Relationship Id="rId192" Type="http://schemas.openxmlformats.org/officeDocument/2006/relationships/hyperlink" Target="http://www.opentraintimes.com/schedule/W39515/2012/8/7" TargetMode="External"/><Relationship Id="rId206" Type="http://schemas.openxmlformats.org/officeDocument/2006/relationships/hyperlink" Target="http://www.opentraintimes.com/schedule/W30009/2012/8/7" TargetMode="External"/><Relationship Id="rId227" Type="http://schemas.openxmlformats.org/officeDocument/2006/relationships/hyperlink" Target="http://www.opentraintimes.com/schedule/W39533/2012/8/7" TargetMode="External"/><Relationship Id="rId248" Type="http://schemas.openxmlformats.org/officeDocument/2006/relationships/hyperlink" Target="http://www.opentraintimes.com/schedule/W30677/2012/8/7" TargetMode="External"/><Relationship Id="rId269" Type="http://schemas.openxmlformats.org/officeDocument/2006/relationships/hyperlink" Target="http://www.opentraintimes.com/schedule/W39435/2012/8/7" TargetMode="External"/><Relationship Id="rId12" Type="http://schemas.openxmlformats.org/officeDocument/2006/relationships/hyperlink" Target="http://www.opentraintimes.com/schedule/W39828/2012/8/7" TargetMode="External"/><Relationship Id="rId33" Type="http://schemas.openxmlformats.org/officeDocument/2006/relationships/hyperlink" Target="http://www.opentraintimes.com/schedule/W30554/2012/8/7" TargetMode="External"/><Relationship Id="rId108" Type="http://schemas.openxmlformats.org/officeDocument/2006/relationships/hyperlink" Target="http://www.opentraintimes.com/schedule/W39395/2012/8/7" TargetMode="External"/><Relationship Id="rId129" Type="http://schemas.openxmlformats.org/officeDocument/2006/relationships/hyperlink" Target="http://www.opentraintimes.com/schedule/W39675/2012/8/7" TargetMode="External"/><Relationship Id="rId280" Type="http://schemas.openxmlformats.org/officeDocument/2006/relationships/hyperlink" Target="http://www.opentraintimes.com/schedule/W30701/2012/8/7" TargetMode="External"/><Relationship Id="rId315" Type="http://schemas.openxmlformats.org/officeDocument/2006/relationships/hyperlink" Target="http://www.opentraintimes.com/schedule/W39769/2012/8/7" TargetMode="External"/><Relationship Id="rId336" Type="http://schemas.openxmlformats.org/officeDocument/2006/relationships/hyperlink" Target="http://www.opentraintimes.com/schedule/W39589/2012/8/7" TargetMode="External"/><Relationship Id="rId54" Type="http://schemas.openxmlformats.org/officeDocument/2006/relationships/hyperlink" Target="http://www.opentraintimes.com/schedule/W39393/2012/8/7" TargetMode="External"/><Relationship Id="rId75" Type="http://schemas.openxmlformats.org/officeDocument/2006/relationships/hyperlink" Target="http://www.opentraintimes.com/schedule/W39814/2012/8/7" TargetMode="External"/><Relationship Id="rId96" Type="http://schemas.openxmlformats.org/officeDocument/2006/relationships/hyperlink" Target="http://www.opentraintimes.com/schedule/W39798/2012/8/7" TargetMode="External"/><Relationship Id="rId140" Type="http://schemas.openxmlformats.org/officeDocument/2006/relationships/hyperlink" Target="http://www.opentraintimes.com/schedule/W39403/2012/8/7" TargetMode="External"/><Relationship Id="rId161" Type="http://schemas.openxmlformats.org/officeDocument/2006/relationships/hyperlink" Target="http://www.opentraintimes.com/schedule/W39691/2012/8/7" TargetMode="External"/><Relationship Id="rId182" Type="http://schemas.openxmlformats.org/officeDocument/2006/relationships/hyperlink" Target="http://www.opentraintimes.com/schedule/W39511/2012/8/7" TargetMode="External"/><Relationship Id="rId217" Type="http://schemas.openxmlformats.org/officeDocument/2006/relationships/hyperlink" Target="http://www.opentraintimes.com/schedule/W30231/2012/8/7" TargetMode="External"/><Relationship Id="rId6" Type="http://schemas.openxmlformats.org/officeDocument/2006/relationships/hyperlink" Target="http://www.opentraintimes.com/schedule/W39292/2012/8/7" TargetMode="External"/><Relationship Id="rId238" Type="http://schemas.openxmlformats.org/officeDocument/2006/relationships/hyperlink" Target="http://www.opentraintimes.com/schedule/W30671/2012/8/7" TargetMode="External"/><Relationship Id="rId259" Type="http://schemas.openxmlformats.org/officeDocument/2006/relationships/hyperlink" Target="http://www.opentraintimes.com/schedule/W39549/2012/8/7" TargetMode="External"/><Relationship Id="rId23" Type="http://schemas.openxmlformats.org/officeDocument/2006/relationships/hyperlink" Target="http://www.opentraintimes.com/schedule/W30548/2012/8/7" TargetMode="External"/><Relationship Id="rId119" Type="http://schemas.openxmlformats.org/officeDocument/2006/relationships/hyperlink" Target="http://www.opentraintimes.com/schedule/W39477/2012/8/7" TargetMode="External"/><Relationship Id="rId270" Type="http://schemas.openxmlformats.org/officeDocument/2006/relationships/hyperlink" Target="http://www.opentraintimes.com/schedule/W30695/2012/8/7" TargetMode="External"/><Relationship Id="rId291" Type="http://schemas.openxmlformats.org/officeDocument/2006/relationships/hyperlink" Target="http://www.opentraintimes.com/schedule/W39565/2012/8/7" TargetMode="External"/><Relationship Id="rId305" Type="http://schemas.openxmlformats.org/officeDocument/2006/relationships/hyperlink" Target="http://www.opentraintimes.com/schedule/W39763/2012/8/7" TargetMode="External"/><Relationship Id="rId326" Type="http://schemas.openxmlformats.org/officeDocument/2006/relationships/hyperlink" Target="http://www.opentraintimes.com/schedule/W39777/2012/8/7" TargetMode="External"/><Relationship Id="rId44" Type="http://schemas.openxmlformats.org/officeDocument/2006/relationships/hyperlink" Target="http://www.opentraintimes.com/schedule/W39457/2012/8/7" TargetMode="External"/><Relationship Id="rId65" Type="http://schemas.openxmlformats.org/officeDocument/2006/relationships/hyperlink" Target="http://www.opentraintimes.com/schedule/W39608/2012/8/7" TargetMode="External"/><Relationship Id="rId86" Type="http://schemas.openxmlformats.org/officeDocument/2006/relationships/hyperlink" Target="http://www.opentraintimes.com/schedule/W39442/2012/8/7" TargetMode="External"/><Relationship Id="rId130" Type="http://schemas.openxmlformats.org/officeDocument/2006/relationships/hyperlink" Target="http://www.opentraintimes.com/schedule/W30157/2012/8/7" TargetMode="External"/><Relationship Id="rId151" Type="http://schemas.openxmlformats.org/officeDocument/2006/relationships/hyperlink" Target="http://www.opentraintimes.com/schedule/W39493/2012/8/7" TargetMode="External"/><Relationship Id="rId172" Type="http://schemas.openxmlformats.org/officeDocument/2006/relationships/hyperlink" Target="http://www.opentraintimes.com/schedule/W39411/2012/8/7" TargetMode="External"/><Relationship Id="rId193" Type="http://schemas.openxmlformats.org/officeDocument/2006/relationships/hyperlink" Target="http://www.opentraintimes.com/schedule/W39707/2012/8/7" TargetMode="External"/><Relationship Id="rId207" Type="http://schemas.openxmlformats.org/officeDocument/2006/relationships/hyperlink" Target="http://www.opentraintimes.com/schedule/W30648/2012/8/7" TargetMode="External"/><Relationship Id="rId228" Type="http://schemas.openxmlformats.org/officeDocument/2006/relationships/hyperlink" Target="http://www.opentraintimes.com/schedule/W39725/2012/8/7" TargetMode="External"/><Relationship Id="rId249" Type="http://schemas.openxmlformats.org/officeDocument/2006/relationships/hyperlink" Target="http://www.opentraintimes.com/schedule/W30259/2012/8/7" TargetMode="External"/><Relationship Id="rId13" Type="http://schemas.openxmlformats.org/officeDocument/2006/relationships/hyperlink" Target="http://www.opentraintimes.com/schedule/W39834/2012/8/7" TargetMode="External"/><Relationship Id="rId109" Type="http://schemas.openxmlformats.org/officeDocument/2006/relationships/hyperlink" Target="http://www.opentraintimes.com/schedule/W39397/2012/8/7" TargetMode="External"/><Relationship Id="rId260" Type="http://schemas.openxmlformats.org/officeDocument/2006/relationships/hyperlink" Target="http://www.opentraintimes.com/schedule/W39741/2012/8/7" TargetMode="External"/><Relationship Id="rId281" Type="http://schemas.openxmlformats.org/officeDocument/2006/relationships/hyperlink" Target="http://www.opentraintimes.com/schedule/W30282/2012/8/7" TargetMode="External"/><Relationship Id="rId316" Type="http://schemas.openxmlformats.org/officeDocument/2006/relationships/hyperlink" Target="http://www.opentraintimes.com/schedule/W39771/2012/8/7" TargetMode="External"/><Relationship Id="rId337" Type="http://schemas.openxmlformats.org/officeDocument/2006/relationships/hyperlink" Target="http://www.opentraintimes.com/schedule/W48442/2012/8/7" TargetMode="External"/><Relationship Id="rId34" Type="http://schemas.openxmlformats.org/officeDocument/2006/relationships/hyperlink" Target="http://www.opentraintimes.com/schedule/W30116/2012/8/7" TargetMode="External"/><Relationship Id="rId55" Type="http://schemas.openxmlformats.org/officeDocument/2006/relationships/hyperlink" Target="http://www.opentraintimes.com/schedule/W30563/2012/8/7" TargetMode="External"/><Relationship Id="rId76" Type="http://schemas.openxmlformats.org/officeDocument/2006/relationships/hyperlink" Target="http://www.opentraintimes.com/schedule/W34016/2012/8/7" TargetMode="External"/><Relationship Id="rId97" Type="http://schemas.openxmlformats.org/officeDocument/2006/relationships/hyperlink" Target="http://www.opentraintimes.com/schedule/W39804/2012/8/7" TargetMode="External"/><Relationship Id="rId120" Type="http://schemas.openxmlformats.org/officeDocument/2006/relationships/hyperlink" Target="http://www.opentraintimes.com/schedule/W30580/2012/8/7" TargetMode="External"/><Relationship Id="rId141" Type="http://schemas.openxmlformats.org/officeDocument/2006/relationships/hyperlink" Target="http://www.opentraintimes.com/schedule/W39405/2012/8/7" TargetMode="External"/><Relationship Id="rId7" Type="http://schemas.openxmlformats.org/officeDocument/2006/relationships/hyperlink" Target="http://www.opentraintimes.com/schedule/W39386/2012/8/7" TargetMode="External"/><Relationship Id="rId162" Type="http://schemas.openxmlformats.org/officeDocument/2006/relationships/hyperlink" Target="http://www.opentraintimes.com/schedule/W30185/2012/8/7" TargetMode="External"/><Relationship Id="rId183" Type="http://schemas.openxmlformats.org/officeDocument/2006/relationships/hyperlink" Target="http://www.opentraintimes.com/schedule/W39513/2012/8/7" TargetMode="External"/><Relationship Id="rId218" Type="http://schemas.openxmlformats.org/officeDocument/2006/relationships/hyperlink" Target="http://www.opentraintimes.com/schedule/W39721/2012/8/7" TargetMode="External"/><Relationship Id="rId239" Type="http://schemas.openxmlformats.org/officeDocument/2006/relationships/hyperlink" Target="http://www.opentraintimes.com/schedule/W30674/2012/8/7" TargetMode="External"/><Relationship Id="rId250" Type="http://schemas.openxmlformats.org/officeDocument/2006/relationships/hyperlink" Target="http://www.opentraintimes.com/schedule/W39737/2012/8/7" TargetMode="External"/><Relationship Id="rId271" Type="http://schemas.openxmlformats.org/officeDocument/2006/relationships/hyperlink" Target="http://www.opentraintimes.com/schedule/W30698/2012/8/7" TargetMode="External"/><Relationship Id="rId292" Type="http://schemas.openxmlformats.org/officeDocument/2006/relationships/hyperlink" Target="http://www.opentraintimes.com/schedule/W39757/2012/8/7" TargetMode="External"/><Relationship Id="rId306" Type="http://schemas.openxmlformats.org/officeDocument/2006/relationships/hyperlink" Target="http://www.opentraintimes.com/schedule/W30306/2012/8/7" TargetMode="External"/><Relationship Id="rId24" Type="http://schemas.openxmlformats.org/officeDocument/2006/relationships/hyperlink" Target="http://www.opentraintimes.com/schedule/W30110/2012/8/7" TargetMode="External"/><Relationship Id="rId45" Type="http://schemas.openxmlformats.org/officeDocument/2006/relationships/hyperlink" Target="http://www.opentraintimes.com/schedule/W39653/2012/8/7" TargetMode="External"/><Relationship Id="rId66" Type="http://schemas.openxmlformats.org/officeDocument/2006/relationships/hyperlink" Target="http://www.opentraintimes.com/schedule/W39808/2012/8/7" TargetMode="External"/><Relationship Id="rId87" Type="http://schemas.openxmlformats.org/officeDocument/2006/relationships/hyperlink" Target="http://www.opentraintimes.com/schedule/W36734/2012/8/7" TargetMode="External"/><Relationship Id="rId110" Type="http://schemas.openxmlformats.org/officeDocument/2006/relationships/hyperlink" Target="http://www.opentraintimes.com/schedule/W30576/2012/8/7" TargetMode="External"/><Relationship Id="rId131" Type="http://schemas.openxmlformats.org/officeDocument/2006/relationships/hyperlink" Target="http://www.opentraintimes.com/schedule/W39481/2012/8/7" TargetMode="External"/><Relationship Id="rId327" Type="http://schemas.openxmlformats.org/officeDocument/2006/relationships/hyperlink" Target="http://www.opentraintimes.com/schedule/W39587/2012/8/7" TargetMode="External"/><Relationship Id="rId152" Type="http://schemas.openxmlformats.org/officeDocument/2006/relationships/hyperlink" Target="http://www.opentraintimes.com/schedule/W30604/2012/8/7" TargetMode="External"/><Relationship Id="rId173" Type="http://schemas.openxmlformats.org/officeDocument/2006/relationships/hyperlink" Target="http://www.opentraintimes.com/schedule/W39413/2012/8/7" TargetMode="External"/><Relationship Id="rId194" Type="http://schemas.openxmlformats.org/officeDocument/2006/relationships/hyperlink" Target="http://www.opentraintimes.com/schedule/W30215/2012/8/7" TargetMode="External"/><Relationship Id="rId208" Type="http://schemas.openxmlformats.org/officeDocument/2006/relationships/hyperlink" Target="http://www.opentraintimes.com/schedule/W39523/2012/8/7" TargetMode="External"/><Relationship Id="rId229" Type="http://schemas.openxmlformats.org/officeDocument/2006/relationships/hyperlink" Target="http://www.opentraintimes.com/schedule/W30668/2012/8/7" TargetMode="External"/><Relationship Id="rId240" Type="http://schemas.openxmlformats.org/officeDocument/2006/relationships/hyperlink" Target="http://www.opentraintimes.com/schedule/W39539/2012/8/7" TargetMode="External"/><Relationship Id="rId261" Type="http://schemas.openxmlformats.org/officeDocument/2006/relationships/hyperlink" Target="http://www.opentraintimes.com/schedule/W30692/2012/8/7" TargetMode="External"/><Relationship Id="rId14" Type="http://schemas.openxmlformats.org/officeDocument/2006/relationships/hyperlink" Target="http://www.opentraintimes.com/schedule/W39832/2012/8/7" TargetMode="External"/><Relationship Id="rId35" Type="http://schemas.openxmlformats.org/officeDocument/2006/relationships/hyperlink" Target="http://www.opentraintimes.com/schedule/W30118/2012/8/7" TargetMode="External"/><Relationship Id="rId56" Type="http://schemas.openxmlformats.org/officeDocument/2006/relationships/hyperlink" Target="http://www.opentraintimes.com/schedule/W30565/2012/8/7" TargetMode="External"/><Relationship Id="rId77" Type="http://schemas.openxmlformats.org/officeDocument/2006/relationships/hyperlink" Target="http://www.opentraintimes.com/schedule/W39620/2012/8/7" TargetMode="External"/><Relationship Id="rId100" Type="http://schemas.openxmlformats.org/officeDocument/2006/relationships/hyperlink" Target="http://www.opentraintimes.com/schedule/W39661/2012/8/7" TargetMode="External"/><Relationship Id="rId282" Type="http://schemas.openxmlformats.org/officeDocument/2006/relationships/hyperlink" Target="http://www.opentraintimes.com/schedule/W39753/2012/8/7" TargetMode="External"/><Relationship Id="rId317" Type="http://schemas.openxmlformats.org/officeDocument/2006/relationships/hyperlink" Target="http://www.opentraintimes.com/schedule/W39299/2012/8/7" TargetMode="External"/><Relationship Id="rId338" Type="http://schemas.openxmlformats.org/officeDocument/2006/relationships/hyperlink" Target="http://www.opentraintimes.com/schedule/W36738/2012/8/7" TargetMode="External"/><Relationship Id="rId8" Type="http://schemas.openxmlformats.org/officeDocument/2006/relationships/hyperlink" Target="http://www.opentraintimes.com/schedule/W39822/2012/8/7" TargetMode="External"/><Relationship Id="rId98" Type="http://schemas.openxmlformats.org/officeDocument/2006/relationships/hyperlink" Target="http://www.opentraintimes.com/schedule/W39802/2012/8/7" TargetMode="External"/><Relationship Id="rId121" Type="http://schemas.openxmlformats.org/officeDocument/2006/relationships/hyperlink" Target="http://www.opentraintimes.com/schedule/W30147/2012/8/7" TargetMode="External"/><Relationship Id="rId142" Type="http://schemas.openxmlformats.org/officeDocument/2006/relationships/hyperlink" Target="http://www.opentraintimes.com/schedule/W30600/2012/8/7" TargetMode="External"/><Relationship Id="rId163" Type="http://schemas.openxmlformats.org/officeDocument/2006/relationships/hyperlink" Target="http://www.opentraintimes.com/schedule/W39497/2012/8/7" TargetMode="External"/><Relationship Id="rId184" Type="http://schemas.openxmlformats.org/officeDocument/2006/relationships/hyperlink" Target="http://www.opentraintimes.com/schedule/W30628/2012/8/7" TargetMode="External"/><Relationship Id="rId219" Type="http://schemas.openxmlformats.org/officeDocument/2006/relationships/hyperlink" Target="http://www.opentraintimes.com/schedule/W39719/2012/8/7" TargetMode="External"/><Relationship Id="rId230" Type="http://schemas.openxmlformats.org/officeDocument/2006/relationships/hyperlink" Target="http://www.opentraintimes.com/schedule/W39535/2012/8/7" TargetMode="External"/><Relationship Id="rId251" Type="http://schemas.openxmlformats.org/officeDocument/2006/relationships/hyperlink" Target="http://www.opentraintimes.com/schedule/W39735/2012/8/7" TargetMode="External"/><Relationship Id="rId25" Type="http://schemas.openxmlformats.org/officeDocument/2006/relationships/hyperlink" Target="http://www.opentraintimes.com/schedule/W39447/2012/8/7" TargetMode="External"/><Relationship Id="rId46" Type="http://schemas.openxmlformats.org/officeDocument/2006/relationships/hyperlink" Target="http://www.opentraintimes.com/schedule/W30561/2012/8/7" TargetMode="External"/><Relationship Id="rId67" Type="http://schemas.openxmlformats.org/officeDocument/2006/relationships/hyperlink" Target="http://www.opentraintimes.com/schedule/W39612/2012/8/7" TargetMode="External"/><Relationship Id="rId116" Type="http://schemas.openxmlformats.org/officeDocument/2006/relationships/hyperlink" Target="http://www.opentraintimes.com/schedule/W39669/2012/8/7" TargetMode="External"/><Relationship Id="rId137" Type="http://schemas.openxmlformats.org/officeDocument/2006/relationships/hyperlink" Target="http://www.opentraintimes.com/schedule/W30162/2012/8/7" TargetMode="External"/><Relationship Id="rId158" Type="http://schemas.openxmlformats.org/officeDocument/2006/relationships/hyperlink" Target="http://www.opentraintimes.com/schedule/W30610/2012/8/7" TargetMode="External"/><Relationship Id="rId272" Type="http://schemas.openxmlformats.org/officeDocument/2006/relationships/hyperlink" Target="http://www.opentraintimes.com/schedule/W39555/2012/8/7" TargetMode="External"/><Relationship Id="rId293" Type="http://schemas.openxmlformats.org/officeDocument/2006/relationships/hyperlink" Target="http://www.opentraintimes.com/schedule/W30716/2012/8/7" TargetMode="External"/><Relationship Id="rId302" Type="http://schemas.openxmlformats.org/officeDocument/2006/relationships/hyperlink" Target="http://www.opentraintimes.com/schedule/W30719/2012/8/7" TargetMode="External"/><Relationship Id="rId307" Type="http://schemas.openxmlformats.org/officeDocument/2006/relationships/hyperlink" Target="http://www.opentraintimes.com/schedule/W39573/2012/8/7" TargetMode="External"/><Relationship Id="rId323" Type="http://schemas.openxmlformats.org/officeDocument/2006/relationships/hyperlink" Target="http://www.opentraintimes.com/schedule/W30321/2012/8/7" TargetMode="External"/><Relationship Id="rId328" Type="http://schemas.openxmlformats.org/officeDocument/2006/relationships/hyperlink" Target="http://www.opentraintimes.com/schedule/W39583/2012/8/7" TargetMode="External"/><Relationship Id="rId344" Type="http://schemas.openxmlformats.org/officeDocument/2006/relationships/hyperlink" Target="http://www.opentraintimes.com/schedule/W36740/2012/8/7" TargetMode="External"/><Relationship Id="rId20" Type="http://schemas.openxmlformats.org/officeDocument/2006/relationships/hyperlink" Target="http://www.opentraintimes.com/schedule/W38838/2012/8/7" TargetMode="External"/><Relationship Id="rId41" Type="http://schemas.openxmlformats.org/officeDocument/2006/relationships/hyperlink" Target="http://www.opentraintimes.com/schedule/W39455/2012/8/7" TargetMode="External"/><Relationship Id="rId62" Type="http://schemas.openxmlformats.org/officeDocument/2006/relationships/hyperlink" Target="http://www.opentraintimes.com/schedule/W39830/2012/8/7" TargetMode="External"/><Relationship Id="rId83" Type="http://schemas.openxmlformats.org/officeDocument/2006/relationships/hyperlink" Target="http://www.opentraintimes.com/schedule/W39638/2012/8/7" TargetMode="External"/><Relationship Id="rId88" Type="http://schemas.openxmlformats.org/officeDocument/2006/relationships/hyperlink" Target="http://www.opentraintimes.com/schedule/W39640/2012/8/7" TargetMode="External"/><Relationship Id="rId111" Type="http://schemas.openxmlformats.org/officeDocument/2006/relationships/hyperlink" Target="http://www.opentraintimes.com/schedule/W30577/2012/8/7" TargetMode="External"/><Relationship Id="rId132" Type="http://schemas.openxmlformats.org/officeDocument/2006/relationships/hyperlink" Target="http://www.opentraintimes.com/schedule/W39677/2012/8/7" TargetMode="External"/><Relationship Id="rId153" Type="http://schemas.openxmlformats.org/officeDocument/2006/relationships/hyperlink" Target="http://www.opentraintimes.com/schedule/W30177/2012/8/7" TargetMode="External"/><Relationship Id="rId174" Type="http://schemas.openxmlformats.org/officeDocument/2006/relationships/hyperlink" Target="http://www.opentraintimes.com/schedule/W30624/2012/8/7" TargetMode="External"/><Relationship Id="rId179" Type="http://schemas.openxmlformats.org/officeDocument/2006/relationships/hyperlink" Target="http://www.opentraintimes.com/schedule/W39509/2012/8/7" TargetMode="External"/><Relationship Id="rId195" Type="http://schemas.openxmlformats.org/officeDocument/2006/relationships/hyperlink" Target="http://www.opentraintimes.com/schedule/W39517/2012/8/7" TargetMode="External"/><Relationship Id="rId209" Type="http://schemas.openxmlformats.org/officeDocument/2006/relationships/hyperlink" Target="http://www.opentraintimes.com/schedule/W39715/2012/8/7" TargetMode="External"/><Relationship Id="rId190" Type="http://schemas.openxmlformats.org/officeDocument/2006/relationships/hyperlink" Target="http://www.opentraintimes.com/schedule/W30634/2012/8/7" TargetMode="External"/><Relationship Id="rId204" Type="http://schemas.openxmlformats.org/officeDocument/2006/relationships/hyperlink" Target="http://www.opentraintimes.com/schedule/W39419/2012/8/7" TargetMode="External"/><Relationship Id="rId220" Type="http://schemas.openxmlformats.org/officeDocument/2006/relationships/hyperlink" Target="http://www.opentraintimes.com/schedule/W39423/2012/8/7" TargetMode="External"/><Relationship Id="rId225" Type="http://schemas.openxmlformats.org/officeDocument/2006/relationships/hyperlink" Target="http://www.opentraintimes.com/schedule/W39723/2012/8/7" TargetMode="External"/><Relationship Id="rId241" Type="http://schemas.openxmlformats.org/officeDocument/2006/relationships/hyperlink" Target="http://www.opentraintimes.com/schedule/W39731/2012/8/7" TargetMode="External"/><Relationship Id="rId246" Type="http://schemas.openxmlformats.org/officeDocument/2006/relationships/hyperlink" Target="http://www.opentraintimes.com/schedule/W39543/2012/8/7" TargetMode="External"/><Relationship Id="rId267" Type="http://schemas.openxmlformats.org/officeDocument/2006/relationships/hyperlink" Target="http://www.opentraintimes.com/schedule/W39743/2012/8/7" TargetMode="External"/><Relationship Id="rId288" Type="http://schemas.openxmlformats.org/officeDocument/2006/relationships/hyperlink" Target="http://www.opentraintimes.com/schedule/W39563/2012/8/7" TargetMode="External"/><Relationship Id="rId15" Type="http://schemas.openxmlformats.org/officeDocument/2006/relationships/hyperlink" Target="http://www.opentraintimes.com/schedule/W39838/2012/8/7" TargetMode="External"/><Relationship Id="rId36" Type="http://schemas.openxmlformats.org/officeDocument/2006/relationships/hyperlink" Target="http://www.opentraintimes.com/schedule/W39649/2012/8/7" TargetMode="External"/><Relationship Id="rId57" Type="http://schemas.openxmlformats.org/officeDocument/2006/relationships/hyperlink" Target="http://www.opentraintimes.com/schedule/W39463/2012/8/7" TargetMode="External"/><Relationship Id="rId106" Type="http://schemas.openxmlformats.org/officeDocument/2006/relationships/hyperlink" Target="http://www.opentraintimes.com/schedule/W39665/2012/8/7" TargetMode="External"/><Relationship Id="rId127" Type="http://schemas.openxmlformats.org/officeDocument/2006/relationships/hyperlink" Target="http://www.opentraintimes.com/schedule/W30589/2012/8/7" TargetMode="External"/><Relationship Id="rId262" Type="http://schemas.openxmlformats.org/officeDocument/2006/relationships/hyperlink" Target="http://www.opentraintimes.com/schedule/W39551/2012/8/7" TargetMode="External"/><Relationship Id="rId283" Type="http://schemas.openxmlformats.org/officeDocument/2006/relationships/hyperlink" Target="http://www.opentraintimes.com/schedule/W39751/2012/8/7" TargetMode="External"/><Relationship Id="rId313" Type="http://schemas.openxmlformats.org/officeDocument/2006/relationships/hyperlink" Target="http://www.opentraintimes.com/schedule/W39767/2012/8/7" TargetMode="External"/><Relationship Id="rId318" Type="http://schemas.openxmlformats.org/officeDocument/2006/relationships/hyperlink" Target="http://www.opentraintimes.com/schedule/W39581/2012/8/7" TargetMode="External"/><Relationship Id="rId339" Type="http://schemas.openxmlformats.org/officeDocument/2006/relationships/hyperlink" Target="http://www.opentraintimes.com/schedule/W30743/2012/8/7" TargetMode="External"/><Relationship Id="rId10" Type="http://schemas.openxmlformats.org/officeDocument/2006/relationships/hyperlink" Target="http://www.opentraintimes.com/schedule/W39826/2012/8/7" TargetMode="External"/><Relationship Id="rId31" Type="http://schemas.openxmlformats.org/officeDocument/2006/relationships/hyperlink" Target="http://www.opentraintimes.com/schedule/W39449/2012/8/7" TargetMode="External"/><Relationship Id="rId52" Type="http://schemas.openxmlformats.org/officeDocument/2006/relationships/hyperlink" Target="http://www.opentraintimes.com/schedule/W39655/2012/8/7" TargetMode="External"/><Relationship Id="rId73" Type="http://schemas.openxmlformats.org/officeDocument/2006/relationships/hyperlink" Target="http://www.opentraintimes.com/schedule/W39810/2012/8/7" TargetMode="External"/><Relationship Id="rId78" Type="http://schemas.openxmlformats.org/officeDocument/2006/relationships/hyperlink" Target="http://www.opentraintimes.com/schedule/W39636/2012/8/7" TargetMode="External"/><Relationship Id="rId94" Type="http://schemas.openxmlformats.org/officeDocument/2006/relationships/hyperlink" Target="http://www.opentraintimes.com/schedule/W39604/2012/8/7" TargetMode="External"/><Relationship Id="rId99" Type="http://schemas.openxmlformats.org/officeDocument/2006/relationships/hyperlink" Target="http://www.opentraintimes.com/schedule/W36749/2012/8/7" TargetMode="External"/><Relationship Id="rId101" Type="http://schemas.openxmlformats.org/officeDocument/2006/relationships/hyperlink" Target="http://www.opentraintimes.com/schedule/W30571/2012/8/7" TargetMode="External"/><Relationship Id="rId122" Type="http://schemas.openxmlformats.org/officeDocument/2006/relationships/hyperlink" Target="http://www.opentraintimes.com/schedule/W39673/2012/8/7" TargetMode="External"/><Relationship Id="rId143" Type="http://schemas.openxmlformats.org/officeDocument/2006/relationships/hyperlink" Target="http://www.opentraintimes.com/schedule/W30601/2012/8/7" TargetMode="External"/><Relationship Id="rId148" Type="http://schemas.openxmlformats.org/officeDocument/2006/relationships/hyperlink" Target="http://www.opentraintimes.com/schedule/W39685/2012/8/7" TargetMode="External"/><Relationship Id="rId164" Type="http://schemas.openxmlformats.org/officeDocument/2006/relationships/hyperlink" Target="http://www.opentraintimes.com/schedule/W39693/2012/8/7" TargetMode="External"/><Relationship Id="rId169" Type="http://schemas.openxmlformats.org/officeDocument/2006/relationships/hyperlink" Target="http://www.opentraintimes.com/schedule/W30191/2012/8/7" TargetMode="External"/><Relationship Id="rId185" Type="http://schemas.openxmlformats.org/officeDocument/2006/relationships/hyperlink" Target="http://www.opentraintimes.com/schedule/W30206/2012/8/7" TargetMode="External"/><Relationship Id="rId334" Type="http://schemas.openxmlformats.org/officeDocument/2006/relationships/hyperlink" Target="http://www.opentraintimes.com/schedule/W39787/2012/8/7" TargetMode="External"/><Relationship Id="rId4" Type="http://schemas.openxmlformats.org/officeDocument/2006/relationships/hyperlink" Target="http://www.opentraintimes.com/schedule/W39444/2012/8/7" TargetMode="External"/><Relationship Id="rId9" Type="http://schemas.openxmlformats.org/officeDocument/2006/relationships/hyperlink" Target="http://www.opentraintimes.com/schedule/W39820/2012/8/7" TargetMode="External"/><Relationship Id="rId180" Type="http://schemas.openxmlformats.org/officeDocument/2006/relationships/hyperlink" Target="http://www.opentraintimes.com/schedule/W39701/2012/8/7" TargetMode="External"/><Relationship Id="rId210" Type="http://schemas.openxmlformats.org/officeDocument/2006/relationships/hyperlink" Target="http://www.opentraintimes.com/schedule/W30227/2012/8/7" TargetMode="External"/><Relationship Id="rId215" Type="http://schemas.openxmlformats.org/officeDocument/2006/relationships/hyperlink" Target="http://www.opentraintimes.com/schedule/W39529/2012/8/7" TargetMode="External"/><Relationship Id="rId236" Type="http://schemas.openxmlformats.org/officeDocument/2006/relationships/hyperlink" Target="http://www.opentraintimes.com/schedule/W39427/2012/8/7" TargetMode="External"/><Relationship Id="rId257" Type="http://schemas.openxmlformats.org/officeDocument/2006/relationships/hyperlink" Target="http://www.opentraintimes.com/schedule/W39739/2012/8/7" TargetMode="External"/><Relationship Id="rId278" Type="http://schemas.openxmlformats.org/officeDocument/2006/relationships/hyperlink" Target="http://www.opentraintimes.com/schedule/W39559/2012/8/7" TargetMode="External"/><Relationship Id="rId26" Type="http://schemas.openxmlformats.org/officeDocument/2006/relationships/hyperlink" Target="http://www.opentraintimes.com/schedule/W30550/2012/8/7" TargetMode="External"/><Relationship Id="rId231" Type="http://schemas.openxmlformats.org/officeDocument/2006/relationships/hyperlink" Target="http://www.opentraintimes.com/schedule/W39537/2012/8/7" TargetMode="External"/><Relationship Id="rId252" Type="http://schemas.openxmlformats.org/officeDocument/2006/relationships/hyperlink" Target="http://www.opentraintimes.com/schedule/W39295/2012/8/7" TargetMode="External"/><Relationship Id="rId273" Type="http://schemas.openxmlformats.org/officeDocument/2006/relationships/hyperlink" Target="http://www.opentraintimes.com/schedule/W39747/2012/8/7" TargetMode="External"/><Relationship Id="rId294" Type="http://schemas.openxmlformats.org/officeDocument/2006/relationships/hyperlink" Target="http://www.opentraintimes.com/schedule/W39567/2012/8/7" TargetMode="External"/><Relationship Id="rId308" Type="http://schemas.openxmlformats.org/officeDocument/2006/relationships/hyperlink" Target="http://www.opentraintimes.com/schedule/W39765/2012/8/7" TargetMode="External"/><Relationship Id="rId329" Type="http://schemas.openxmlformats.org/officeDocument/2006/relationships/hyperlink" Target="http://www.opentraintimes.com/schedule/W30737/2012/8/7" TargetMode="External"/><Relationship Id="rId47" Type="http://schemas.openxmlformats.org/officeDocument/2006/relationships/hyperlink" Target="http://www.opentraintimes.com/schedule/W39459/2012/8/7" TargetMode="External"/><Relationship Id="rId68" Type="http://schemas.openxmlformats.org/officeDocument/2006/relationships/hyperlink" Target="http://www.opentraintimes.com/schedule/W39614/2012/8/7" TargetMode="External"/><Relationship Id="rId89" Type="http://schemas.openxmlformats.org/officeDocument/2006/relationships/hyperlink" Target="http://www.opentraintimes.com/schedule/W39603/2012/8/6" TargetMode="External"/><Relationship Id="rId112" Type="http://schemas.openxmlformats.org/officeDocument/2006/relationships/hyperlink" Target="http://www.opentraintimes.com/schedule/W39471/2012/8/7" TargetMode="External"/><Relationship Id="rId133" Type="http://schemas.openxmlformats.org/officeDocument/2006/relationships/hyperlink" Target="http://www.opentraintimes.com/schedule/W30595/2012/8/7" TargetMode="External"/><Relationship Id="rId154" Type="http://schemas.openxmlformats.org/officeDocument/2006/relationships/hyperlink" Target="http://www.opentraintimes.com/schedule/W39689/2012/8/7" TargetMode="External"/><Relationship Id="rId175" Type="http://schemas.openxmlformats.org/officeDocument/2006/relationships/hyperlink" Target="http://www.opentraintimes.com/schedule/W30625/2012/8/7" TargetMode="External"/><Relationship Id="rId340" Type="http://schemas.openxmlformats.org/officeDocument/2006/relationships/hyperlink" Target="http://www.opentraintimes.com/schedule/W39789/2012/8/7" TargetMode="External"/><Relationship Id="rId196" Type="http://schemas.openxmlformats.org/officeDocument/2006/relationships/hyperlink" Target="http://www.opentraintimes.com/schedule/W39709/2012/8/7" TargetMode="External"/><Relationship Id="rId200" Type="http://schemas.openxmlformats.org/officeDocument/2006/relationships/hyperlink" Target="http://www.opentraintimes.com/schedule/W30640/2012/8/7" TargetMode="External"/><Relationship Id="rId16" Type="http://schemas.openxmlformats.org/officeDocument/2006/relationships/hyperlink" Target="http://www.opentraintimes.com/schedule/W39836/2012/8/7" TargetMode="External"/><Relationship Id="rId221" Type="http://schemas.openxmlformats.org/officeDocument/2006/relationships/hyperlink" Target="http://www.opentraintimes.com/schedule/W39425/2012/8/7" TargetMode="External"/><Relationship Id="rId242" Type="http://schemas.openxmlformats.org/officeDocument/2006/relationships/hyperlink" Target="http://www.opentraintimes.com/schedule/W30254/2012/8/7" TargetMode="External"/><Relationship Id="rId263" Type="http://schemas.openxmlformats.org/officeDocument/2006/relationships/hyperlink" Target="http://www.opentraintimes.com/schedule/W39553/2012/8/7" TargetMode="External"/><Relationship Id="rId284" Type="http://schemas.openxmlformats.org/officeDocument/2006/relationships/hyperlink" Target="http://www.opentraintimes.com/schedule/W39437/2012/8/7" TargetMode="External"/><Relationship Id="rId319" Type="http://schemas.openxmlformats.org/officeDocument/2006/relationships/hyperlink" Target="http://www.opentraintimes.com/schedule/W30734/2012/8/7" TargetMode="External"/><Relationship Id="rId37" Type="http://schemas.openxmlformats.org/officeDocument/2006/relationships/hyperlink" Target="http://www.opentraintimes.com/schedule/W38829/2012/8/7" TargetMode="External"/><Relationship Id="rId58" Type="http://schemas.openxmlformats.org/officeDocument/2006/relationships/hyperlink" Target="http://www.opentraintimes.com/schedule/W39659/2012/8/7" TargetMode="External"/><Relationship Id="rId79" Type="http://schemas.openxmlformats.org/officeDocument/2006/relationships/hyperlink" Target="http://www.opentraintimes.com/schedule/W39816/2012/8/7" TargetMode="External"/><Relationship Id="rId102" Type="http://schemas.openxmlformats.org/officeDocument/2006/relationships/hyperlink" Target="http://www.opentraintimes.com/schedule/W39467/2012/8/7" TargetMode="External"/><Relationship Id="rId123" Type="http://schemas.openxmlformats.org/officeDocument/2006/relationships/hyperlink" Target="http://www.opentraintimes.com/schedule/W39671/2012/8/7" TargetMode="External"/><Relationship Id="rId144" Type="http://schemas.openxmlformats.org/officeDocument/2006/relationships/hyperlink" Target="http://www.opentraintimes.com/schedule/W39487/2012/8/7" TargetMode="External"/><Relationship Id="rId330" Type="http://schemas.openxmlformats.org/officeDocument/2006/relationships/hyperlink" Target="http://www.opentraintimes.com/schedule/W30740/2012/8/7" TargetMode="External"/><Relationship Id="rId90" Type="http://schemas.openxmlformats.org/officeDocument/2006/relationships/hyperlink" Target="http://www.opentraintimes.com/schedule/W39795/2012/8/6" TargetMode="External"/><Relationship Id="rId165" Type="http://schemas.openxmlformats.org/officeDocument/2006/relationships/hyperlink" Target="http://www.opentraintimes.com/schedule/W30619/2012/8/7" TargetMode="External"/><Relationship Id="rId186" Type="http://schemas.openxmlformats.org/officeDocument/2006/relationships/hyperlink" Target="http://www.opentraintimes.com/schedule/W39705/2012/8/7" TargetMode="External"/><Relationship Id="rId211" Type="http://schemas.openxmlformats.org/officeDocument/2006/relationships/hyperlink" Target="http://www.opentraintimes.com/schedule/W39525/2012/8/7" TargetMode="External"/><Relationship Id="rId232" Type="http://schemas.openxmlformats.org/officeDocument/2006/relationships/hyperlink" Target="http://www.opentraintimes.com/schedule/W30664/2012/8/7" TargetMode="External"/><Relationship Id="rId253" Type="http://schemas.openxmlformats.org/officeDocument/2006/relationships/hyperlink" Target="http://www.opentraintimes.com/schedule/W39431/2012/8/7" TargetMode="External"/><Relationship Id="rId274" Type="http://schemas.openxmlformats.org/officeDocument/2006/relationships/hyperlink" Target="http://www.opentraintimes.com/schedule/W30279/2012/8/7" TargetMode="External"/><Relationship Id="rId295" Type="http://schemas.openxmlformats.org/officeDocument/2006/relationships/hyperlink" Target="http://www.opentraintimes.com/schedule/W39569/2012/8/7" TargetMode="External"/><Relationship Id="rId309" Type="http://schemas.openxmlformats.org/officeDocument/2006/relationships/hyperlink" Target="http://www.opentraintimes.com/schedule/W00663/2012/8/7" TargetMode="External"/><Relationship Id="rId27" Type="http://schemas.openxmlformats.org/officeDocument/2006/relationships/hyperlink" Target="http://www.opentraintimes.com/schedule/W39647/2012/8/7" TargetMode="External"/><Relationship Id="rId48" Type="http://schemas.openxmlformats.org/officeDocument/2006/relationships/hyperlink" Target="http://www.opentraintimes.com/schedule/W39461/2012/8/7" TargetMode="External"/><Relationship Id="rId69" Type="http://schemas.openxmlformats.org/officeDocument/2006/relationships/hyperlink" Target="http://www.opentraintimes.com/schedule/W34001/2012/8/7" TargetMode="External"/><Relationship Id="rId113" Type="http://schemas.openxmlformats.org/officeDocument/2006/relationships/hyperlink" Target="http://www.opentraintimes.com/schedule/W39667/2012/8/7" TargetMode="External"/><Relationship Id="rId134" Type="http://schemas.openxmlformats.org/officeDocument/2006/relationships/hyperlink" Target="http://www.opentraintimes.com/schedule/W39483/2012/8/7" TargetMode="External"/><Relationship Id="rId320" Type="http://schemas.openxmlformats.org/officeDocument/2006/relationships/hyperlink" Target="http://www.opentraintimes.com/schedule/W30731/2012/8/7" TargetMode="External"/><Relationship Id="rId80" Type="http://schemas.openxmlformats.org/officeDocument/2006/relationships/hyperlink" Target="http://www.opentraintimes.com/schedule/W36780/2012/8/7" TargetMode="External"/><Relationship Id="rId155" Type="http://schemas.openxmlformats.org/officeDocument/2006/relationships/hyperlink" Target="http://www.opentraintimes.com/schedule/W39687/2012/8/7" TargetMode="External"/><Relationship Id="rId176" Type="http://schemas.openxmlformats.org/officeDocument/2006/relationships/hyperlink" Target="http://www.opentraintimes.com/schedule/W39503/2012/8/7" TargetMode="External"/><Relationship Id="rId197" Type="http://schemas.openxmlformats.org/officeDocument/2006/relationships/hyperlink" Target="http://www.opentraintimes.com/schedule/W30643/2012/8/7" TargetMode="External"/><Relationship Id="rId341" Type="http://schemas.openxmlformats.org/officeDocument/2006/relationships/hyperlink" Target="http://www.opentraintimes.com/schedule/W39593/2012/8/7" TargetMode="External"/><Relationship Id="rId201" Type="http://schemas.openxmlformats.org/officeDocument/2006/relationships/hyperlink" Target="http://www.opentraintimes.com/schedule/W30219/2012/8/7" TargetMode="External"/><Relationship Id="rId222" Type="http://schemas.openxmlformats.org/officeDocument/2006/relationships/hyperlink" Target="http://www.opentraintimes.com/schedule/W30658/2012/8/7" TargetMode="External"/><Relationship Id="rId243" Type="http://schemas.openxmlformats.org/officeDocument/2006/relationships/hyperlink" Target="http://www.opentraintimes.com/schedule/W39541/2012/8/7" TargetMode="External"/><Relationship Id="rId264" Type="http://schemas.openxmlformats.org/officeDocument/2006/relationships/hyperlink" Target="http://www.opentraintimes.com/schedule/W30689/2012/8/7" TargetMode="External"/><Relationship Id="rId285" Type="http://schemas.openxmlformats.org/officeDocument/2006/relationships/hyperlink" Target="http://www.opentraintimes.com/schedule/W39439/2012/8/7" TargetMode="External"/><Relationship Id="rId17" Type="http://schemas.openxmlformats.org/officeDocument/2006/relationships/hyperlink" Target="http://www.opentraintimes.com/schedule/W38837/2012/8/7" TargetMode="External"/><Relationship Id="rId38" Type="http://schemas.openxmlformats.org/officeDocument/2006/relationships/hyperlink" Target="http://www.opentraintimes.com/schedule/W00066/2012/8/7" TargetMode="External"/><Relationship Id="rId59" Type="http://schemas.openxmlformats.org/officeDocument/2006/relationships/hyperlink" Target="http://www.opentraintimes.com/schedule/W30131/2012/8/7" TargetMode="External"/><Relationship Id="rId103" Type="http://schemas.openxmlformats.org/officeDocument/2006/relationships/hyperlink" Target="http://www.opentraintimes.com/schedule/W39469/2012/8/7" TargetMode="External"/><Relationship Id="rId124" Type="http://schemas.openxmlformats.org/officeDocument/2006/relationships/hyperlink" Target="http://www.opentraintimes.com/schedule/W39399/2012/8/7" TargetMode="External"/><Relationship Id="rId310" Type="http://schemas.openxmlformats.org/officeDocument/2006/relationships/hyperlink" Target="http://www.opentraintimes.com/schedule/W39575/2012/8/7" TargetMode="External"/><Relationship Id="rId70" Type="http://schemas.openxmlformats.org/officeDocument/2006/relationships/hyperlink" Target="http://www.opentraintimes.com/schedule/W34007/2012/8/7" TargetMode="External"/><Relationship Id="rId91" Type="http://schemas.openxmlformats.org/officeDocument/2006/relationships/hyperlink" Target="http://www.opentraintimes.com/schedule/W39797/2012/8/6" TargetMode="External"/><Relationship Id="rId145" Type="http://schemas.openxmlformats.org/officeDocument/2006/relationships/hyperlink" Target="http://www.opentraintimes.com/schedule/W39683/2012/8/7" TargetMode="External"/><Relationship Id="rId166" Type="http://schemas.openxmlformats.org/officeDocument/2006/relationships/hyperlink" Target="http://www.opentraintimes.com/schedule/W39499/2012/8/7" TargetMode="External"/><Relationship Id="rId187" Type="http://schemas.openxmlformats.org/officeDocument/2006/relationships/hyperlink" Target="http://www.opentraintimes.com/schedule/W39703/2012/8/7" TargetMode="External"/><Relationship Id="rId331" Type="http://schemas.openxmlformats.org/officeDocument/2006/relationships/hyperlink" Target="http://www.opentraintimes.com/schedule/W39585/2012/8/7" TargetMode="External"/><Relationship Id="rId1" Type="http://schemas.openxmlformats.org/officeDocument/2006/relationships/hyperlink" Target="http://www.opentraintimes.com/schedule/W39630/2012/8/7" TargetMode="External"/><Relationship Id="rId212" Type="http://schemas.openxmlformats.org/officeDocument/2006/relationships/hyperlink" Target="http://www.opentraintimes.com/schedule/W39717/2012/8/7" TargetMode="External"/><Relationship Id="rId233" Type="http://schemas.openxmlformats.org/officeDocument/2006/relationships/hyperlink" Target="http://www.opentraintimes.com/schedule/W30244/2012/8/7" TargetMode="External"/><Relationship Id="rId254" Type="http://schemas.openxmlformats.org/officeDocument/2006/relationships/hyperlink" Target="http://www.opentraintimes.com/schedule/W30683/2012/8/7" TargetMode="External"/><Relationship Id="rId28" Type="http://schemas.openxmlformats.org/officeDocument/2006/relationships/hyperlink" Target="http://www.opentraintimes.com/schedule/W30114/2012/8/7" TargetMode="External"/><Relationship Id="rId49" Type="http://schemas.openxmlformats.org/officeDocument/2006/relationships/hyperlink" Target="http://www.opentraintimes.com/schedule/W30560/2012/8/7" TargetMode="External"/><Relationship Id="rId114" Type="http://schemas.openxmlformats.org/officeDocument/2006/relationships/hyperlink" Target="http://www.opentraintimes.com/schedule/W30142/2012/8/7" TargetMode="External"/><Relationship Id="rId275" Type="http://schemas.openxmlformats.org/officeDocument/2006/relationships/hyperlink" Target="http://www.opentraintimes.com/schedule/W39557/2012/8/7" TargetMode="External"/><Relationship Id="rId296" Type="http://schemas.openxmlformats.org/officeDocument/2006/relationships/hyperlink" Target="http://www.opentraintimes.com/schedule/W30713/2012/8/7" TargetMode="External"/><Relationship Id="rId300" Type="http://schemas.openxmlformats.org/officeDocument/2006/relationships/hyperlink" Target="http://www.opentraintimes.com/schedule/W39441/2012/8/7" TargetMode="External"/><Relationship Id="rId60" Type="http://schemas.openxmlformats.org/officeDocument/2006/relationships/hyperlink" Target="http://www.opentraintimes.com/schedule/W39465/2012/8/7" TargetMode="External"/><Relationship Id="rId81" Type="http://schemas.openxmlformats.org/officeDocument/2006/relationships/hyperlink" Target="http://www.opentraintimes.com/schedule/W36752/2012/8/7" TargetMode="External"/><Relationship Id="rId135" Type="http://schemas.openxmlformats.org/officeDocument/2006/relationships/hyperlink" Target="http://www.opentraintimes.com/schedule/W39485/2012/8/7" TargetMode="External"/><Relationship Id="rId156" Type="http://schemas.openxmlformats.org/officeDocument/2006/relationships/hyperlink" Target="http://www.opentraintimes.com/schedule/W39407/2012/8/7" TargetMode="External"/><Relationship Id="rId177" Type="http://schemas.openxmlformats.org/officeDocument/2006/relationships/hyperlink" Target="http://www.opentraintimes.com/schedule/W39699/2012/8/7" TargetMode="External"/><Relationship Id="rId198" Type="http://schemas.openxmlformats.org/officeDocument/2006/relationships/hyperlink" Target="http://www.opentraintimes.com/schedule/W39519/2012/8/7" TargetMode="External"/><Relationship Id="rId321" Type="http://schemas.openxmlformats.org/officeDocument/2006/relationships/hyperlink" Target="http://www.opentraintimes.com/schedule/W39579/2012/8/7" TargetMode="External"/><Relationship Id="rId342" Type="http://schemas.openxmlformats.org/officeDocument/2006/relationships/hyperlink" Target="http://www.opentraintimes.com/schedule/W39793/2012/8/7" TargetMode="External"/><Relationship Id="rId202" Type="http://schemas.openxmlformats.org/officeDocument/2006/relationships/hyperlink" Target="http://www.opentraintimes.com/schedule/W39713/2012/8/7" TargetMode="External"/><Relationship Id="rId223" Type="http://schemas.openxmlformats.org/officeDocument/2006/relationships/hyperlink" Target="http://www.opentraintimes.com/schedule/W30661/2012/8/7" TargetMode="External"/><Relationship Id="rId244" Type="http://schemas.openxmlformats.org/officeDocument/2006/relationships/hyperlink" Target="http://www.opentraintimes.com/schedule/W39733/2012/8/7" TargetMode="External"/><Relationship Id="rId18" Type="http://schemas.openxmlformats.org/officeDocument/2006/relationships/hyperlink" Target="http://www.opentraintimes.com/schedule/W38835/2012/8/7" TargetMode="External"/><Relationship Id="rId39" Type="http://schemas.openxmlformats.org/officeDocument/2006/relationships/hyperlink" Target="http://www.opentraintimes.com/schedule/W30005/2012/8/7" TargetMode="External"/><Relationship Id="rId265" Type="http://schemas.openxmlformats.org/officeDocument/2006/relationships/hyperlink" Target="http://www.opentraintimes.com/schedule/W30271/2012/8/7" TargetMode="External"/><Relationship Id="rId286" Type="http://schemas.openxmlformats.org/officeDocument/2006/relationships/hyperlink" Target="http://www.opentraintimes.com/schedule/W30707/2012/8/7" TargetMode="External"/><Relationship Id="rId50" Type="http://schemas.openxmlformats.org/officeDocument/2006/relationships/hyperlink" Target="http://www.opentraintimes.com/schedule/W30123/2012/8/7" TargetMode="External"/><Relationship Id="rId104" Type="http://schemas.openxmlformats.org/officeDocument/2006/relationships/hyperlink" Target="http://www.opentraintimes.com/schedule/W30568/2012/8/7" TargetMode="External"/><Relationship Id="rId125" Type="http://schemas.openxmlformats.org/officeDocument/2006/relationships/hyperlink" Target="http://www.opentraintimes.com/schedule/W39401/2012/8/7" TargetMode="External"/><Relationship Id="rId146" Type="http://schemas.openxmlformats.org/officeDocument/2006/relationships/hyperlink" Target="http://www.opentraintimes.com/schedule/W30171/2012/8/7" TargetMode="External"/><Relationship Id="rId167" Type="http://schemas.openxmlformats.org/officeDocument/2006/relationships/hyperlink" Target="http://www.opentraintimes.com/schedule/W39501/2012/8/7" TargetMode="External"/><Relationship Id="rId188" Type="http://schemas.openxmlformats.org/officeDocument/2006/relationships/hyperlink" Target="http://www.opentraintimes.com/schedule/W39415/2012/8/7" TargetMode="External"/><Relationship Id="rId311" Type="http://schemas.openxmlformats.org/officeDocument/2006/relationships/hyperlink" Target="http://www.opentraintimes.com/schedule/W39577/2012/8/7" TargetMode="External"/><Relationship Id="rId332" Type="http://schemas.openxmlformats.org/officeDocument/2006/relationships/hyperlink" Target="http://www.opentraintimes.com/schedule/W39783/2012/8/7" TargetMode="External"/><Relationship Id="rId71" Type="http://schemas.openxmlformats.org/officeDocument/2006/relationships/hyperlink" Target="http://www.opentraintimes.com/schedule/W39616/2012/8/7" TargetMode="External"/><Relationship Id="rId92" Type="http://schemas.openxmlformats.org/officeDocument/2006/relationships/hyperlink" Target="http://www.opentraintimes.com/schedule/W36743/2012/8/6" TargetMode="External"/><Relationship Id="rId213" Type="http://schemas.openxmlformats.org/officeDocument/2006/relationships/hyperlink" Target="http://www.opentraintimes.com/schedule/W30655/2012/8/7" TargetMode="External"/><Relationship Id="rId234" Type="http://schemas.openxmlformats.org/officeDocument/2006/relationships/hyperlink" Target="http://www.opentraintimes.com/schedule/W39729/2012/8/7" TargetMode="External"/><Relationship Id="rId2" Type="http://schemas.openxmlformats.org/officeDocument/2006/relationships/hyperlink" Target="http://www.opentraintimes.com/schedule/W39642/2012/8/7" TargetMode="External"/><Relationship Id="rId29" Type="http://schemas.openxmlformats.org/officeDocument/2006/relationships/hyperlink" Target="http://www.opentraintimes.com/schedule/W39451/2012/8/7" TargetMode="External"/><Relationship Id="rId255" Type="http://schemas.openxmlformats.org/officeDocument/2006/relationships/hyperlink" Target="http://www.opentraintimes.com/schedule/W30686/2012/8/7" TargetMode="External"/><Relationship Id="rId276" Type="http://schemas.openxmlformats.org/officeDocument/2006/relationships/hyperlink" Target="http://www.opentraintimes.com/schedule/W39749/2012/8/7" TargetMode="External"/><Relationship Id="rId297" Type="http://schemas.openxmlformats.org/officeDocument/2006/relationships/hyperlink" Target="http://www.opentraintimes.com/schedule/W30296/2012/8/7" TargetMode="External"/><Relationship Id="rId40" Type="http://schemas.openxmlformats.org/officeDocument/2006/relationships/hyperlink" Target="http://www.opentraintimes.com/schedule/W30559/2012/8/7" TargetMode="External"/><Relationship Id="rId115" Type="http://schemas.openxmlformats.org/officeDocument/2006/relationships/hyperlink" Target="http://www.opentraintimes.com/schedule/W39473/2012/8/7" TargetMode="External"/><Relationship Id="rId136" Type="http://schemas.openxmlformats.org/officeDocument/2006/relationships/hyperlink" Target="http://www.opentraintimes.com/schedule/W30592/2012/8/7" TargetMode="External"/><Relationship Id="rId157" Type="http://schemas.openxmlformats.org/officeDocument/2006/relationships/hyperlink" Target="http://www.opentraintimes.com/schedule/W39409/2012/8/7" TargetMode="External"/><Relationship Id="rId178" Type="http://schemas.openxmlformats.org/officeDocument/2006/relationships/hyperlink" Target="http://www.opentraintimes.com/schedule/W30200/2012/8/7" TargetMode="External"/><Relationship Id="rId301" Type="http://schemas.openxmlformats.org/officeDocument/2006/relationships/hyperlink" Target="http://www.opentraintimes.com/schedule/W39297/2012/8/7" TargetMode="External"/><Relationship Id="rId322" Type="http://schemas.openxmlformats.org/officeDocument/2006/relationships/hyperlink" Target="http://www.opentraintimes.com/schedule/W39775/2012/8/7" TargetMode="External"/><Relationship Id="rId343" Type="http://schemas.openxmlformats.org/officeDocument/2006/relationships/hyperlink" Target="http://www.opentraintimes.com/schedule/W39597/2012/8/7" TargetMode="External"/><Relationship Id="rId61" Type="http://schemas.openxmlformats.org/officeDocument/2006/relationships/hyperlink" Target="http://www.opentraintimes.com/schedule/W39628/2012/8/7" TargetMode="External"/><Relationship Id="rId82" Type="http://schemas.openxmlformats.org/officeDocument/2006/relationships/hyperlink" Target="http://www.opentraintimes.com/schedule/W36755/2012/8/7" TargetMode="External"/><Relationship Id="rId199" Type="http://schemas.openxmlformats.org/officeDocument/2006/relationships/hyperlink" Target="http://www.opentraintimes.com/schedule/W39521/2012/8/7" TargetMode="External"/><Relationship Id="rId203" Type="http://schemas.openxmlformats.org/officeDocument/2006/relationships/hyperlink" Target="http://www.opentraintimes.com/schedule/W39711/2012/8/7" TargetMode="External"/><Relationship Id="rId19" Type="http://schemas.openxmlformats.org/officeDocument/2006/relationships/hyperlink" Target="http://www.opentraintimes.com/schedule/W38840/2012/8/7" TargetMode="External"/><Relationship Id="rId224" Type="http://schemas.openxmlformats.org/officeDocument/2006/relationships/hyperlink" Target="http://www.opentraintimes.com/schedule/W39531/2012/8/7" TargetMode="External"/><Relationship Id="rId245" Type="http://schemas.openxmlformats.org/officeDocument/2006/relationships/hyperlink" Target="http://www.opentraintimes.com/schedule/W30680/2012/8/7" TargetMode="External"/><Relationship Id="rId266" Type="http://schemas.openxmlformats.org/officeDocument/2006/relationships/hyperlink" Target="http://www.opentraintimes.com/schedule/W39745/2012/8/7" TargetMode="External"/><Relationship Id="rId287" Type="http://schemas.openxmlformats.org/officeDocument/2006/relationships/hyperlink" Target="http://www.opentraintimes.com/schedule/W30710/2012/8/7" TargetMode="External"/><Relationship Id="rId30" Type="http://schemas.openxmlformats.org/officeDocument/2006/relationships/hyperlink" Target="http://www.opentraintimes.com/schedule/W30556/2012/8/7" TargetMode="External"/><Relationship Id="rId105" Type="http://schemas.openxmlformats.org/officeDocument/2006/relationships/hyperlink" Target="http://www.opentraintimes.com/schedule/W30133/2012/8/7" TargetMode="External"/><Relationship Id="rId126" Type="http://schemas.openxmlformats.org/officeDocument/2006/relationships/hyperlink" Target="http://www.opentraintimes.com/schedule/W30586/2012/8/7" TargetMode="External"/><Relationship Id="rId147" Type="http://schemas.openxmlformats.org/officeDocument/2006/relationships/hyperlink" Target="http://www.opentraintimes.com/schedule/W39489/2012/8/7" TargetMode="External"/><Relationship Id="rId168" Type="http://schemas.openxmlformats.org/officeDocument/2006/relationships/hyperlink" Target="http://www.opentraintimes.com/schedule/W30616/2012/8/7" TargetMode="External"/><Relationship Id="rId312" Type="http://schemas.openxmlformats.org/officeDocument/2006/relationships/hyperlink" Target="http://www.opentraintimes.com/schedule/W30725/2012/8/7" TargetMode="External"/><Relationship Id="rId333" Type="http://schemas.openxmlformats.org/officeDocument/2006/relationships/hyperlink" Target="http://www.opentraintimes.com/schedule/W39781/2012/8/7" TargetMode="External"/><Relationship Id="rId51" Type="http://schemas.openxmlformats.org/officeDocument/2006/relationships/hyperlink" Target="http://www.opentraintimes.com/schedule/W39657/2012/8/7" TargetMode="External"/><Relationship Id="rId72" Type="http://schemas.openxmlformats.org/officeDocument/2006/relationships/hyperlink" Target="http://www.opentraintimes.com/schedule/W39618/2012/8/7" TargetMode="External"/><Relationship Id="rId93" Type="http://schemas.openxmlformats.org/officeDocument/2006/relationships/hyperlink" Target="http://www.opentraintimes.com/schedule/W36746/2012/8/7" TargetMode="External"/><Relationship Id="rId189" Type="http://schemas.openxmlformats.org/officeDocument/2006/relationships/hyperlink" Target="http://www.opentraintimes.com/schedule/W39417/2012/8/7" TargetMode="External"/><Relationship Id="rId3" Type="http://schemas.openxmlformats.org/officeDocument/2006/relationships/hyperlink" Target="http://www.opentraintimes.com/schedule/W39632/2012/8/7" TargetMode="External"/><Relationship Id="rId214" Type="http://schemas.openxmlformats.org/officeDocument/2006/relationships/hyperlink" Target="http://www.opentraintimes.com/schedule/W39527/2012/8/7" TargetMode="External"/><Relationship Id="rId235" Type="http://schemas.openxmlformats.org/officeDocument/2006/relationships/hyperlink" Target="http://www.opentraintimes.com/schedule/W39727/2012/8/7" TargetMode="External"/><Relationship Id="rId256" Type="http://schemas.openxmlformats.org/officeDocument/2006/relationships/hyperlink" Target="http://www.opentraintimes.com/schedule/W39547/2012/8/7" TargetMode="External"/><Relationship Id="rId277" Type="http://schemas.openxmlformats.org/officeDocument/2006/relationships/hyperlink" Target="http://www.opentraintimes.com/schedule/W30704/2012/8/7" TargetMode="External"/><Relationship Id="rId298" Type="http://schemas.openxmlformats.org/officeDocument/2006/relationships/hyperlink" Target="http://www.opentraintimes.com/schedule/W39761/2012/8/7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G20841/2012/8/7" TargetMode="External"/><Relationship Id="rId671" Type="http://schemas.openxmlformats.org/officeDocument/2006/relationships/hyperlink" Target="http://www.opentraintimes.com/schedule/G22532/2012/8/8" TargetMode="External"/><Relationship Id="rId769" Type="http://schemas.openxmlformats.org/officeDocument/2006/relationships/hyperlink" Target="http://www.opentraintimes.com/schedule/G22408/2012/8/8" TargetMode="External"/><Relationship Id="rId976" Type="http://schemas.openxmlformats.org/officeDocument/2006/relationships/hyperlink" Target="http://www.opentraintimes.com/schedule/L70389/2012/8/8" TargetMode="External"/><Relationship Id="rId21" Type="http://schemas.openxmlformats.org/officeDocument/2006/relationships/hyperlink" Target="http://www.opentraintimes.com/schedule/G70935/2012/8/7" TargetMode="External"/><Relationship Id="rId324" Type="http://schemas.openxmlformats.org/officeDocument/2006/relationships/hyperlink" Target="http://www.opentraintimes.com/schedule/G20918/2012/8/7" TargetMode="External"/><Relationship Id="rId531" Type="http://schemas.openxmlformats.org/officeDocument/2006/relationships/hyperlink" Target="http://www.opentraintimes.com/schedule/L70448/2012/8/8" TargetMode="External"/><Relationship Id="rId629" Type="http://schemas.openxmlformats.org/officeDocument/2006/relationships/hyperlink" Target="http://www.opentraintimes.com/schedule/L70465/2012/8/8" TargetMode="External"/><Relationship Id="rId170" Type="http://schemas.openxmlformats.org/officeDocument/2006/relationships/hyperlink" Target="http://www.opentraintimes.com/schedule/L70360/2012/8/7" TargetMode="External"/><Relationship Id="rId836" Type="http://schemas.openxmlformats.org/officeDocument/2006/relationships/hyperlink" Target="http://www.opentraintimes.com/schedule/G26818/2012/8/8" TargetMode="External"/><Relationship Id="rId1021" Type="http://schemas.openxmlformats.org/officeDocument/2006/relationships/hyperlink" Target="http://www.opentraintimes.com/schedule/G26146/2012/8/8" TargetMode="External"/><Relationship Id="rId268" Type="http://schemas.openxmlformats.org/officeDocument/2006/relationships/hyperlink" Target="http://www.opentraintimes.com/schedule/L70380/2012/8/7" TargetMode="External"/><Relationship Id="rId475" Type="http://schemas.openxmlformats.org/officeDocument/2006/relationships/hyperlink" Target="http://www.opentraintimes.com/schedule/G21904/2012/8/8" TargetMode="External"/><Relationship Id="rId682" Type="http://schemas.openxmlformats.org/officeDocument/2006/relationships/hyperlink" Target="http://www.opentraintimes.com/schedule/L77141/2012/8/8" TargetMode="External"/><Relationship Id="rId903" Type="http://schemas.openxmlformats.org/officeDocument/2006/relationships/hyperlink" Target="http://www.opentraintimes.com/schedule/L70365/2012/8/8" TargetMode="External"/><Relationship Id="rId32" Type="http://schemas.openxmlformats.org/officeDocument/2006/relationships/hyperlink" Target="http://www.opentraintimes.com/schedule/L70319/2012/8/7" TargetMode="External"/><Relationship Id="rId128" Type="http://schemas.openxmlformats.org/officeDocument/2006/relationships/hyperlink" Target="http://www.opentraintimes.com/schedule/G21864/2012/8/7" TargetMode="External"/><Relationship Id="rId335" Type="http://schemas.openxmlformats.org/officeDocument/2006/relationships/hyperlink" Target="http://www.opentraintimes.com/schedule/G26657/2012/8/7" TargetMode="External"/><Relationship Id="rId542" Type="http://schemas.openxmlformats.org/officeDocument/2006/relationships/hyperlink" Target="http://www.opentraintimes.com/schedule/L70450/2012/8/8" TargetMode="External"/><Relationship Id="rId987" Type="http://schemas.openxmlformats.org/officeDocument/2006/relationships/hyperlink" Target="http://www.opentraintimes.com/schedule/G20874/2012/8/8" TargetMode="External"/><Relationship Id="rId181" Type="http://schemas.openxmlformats.org/officeDocument/2006/relationships/hyperlink" Target="http://www.opentraintimes.com/schedule/G21860/2012/8/7" TargetMode="External"/><Relationship Id="rId402" Type="http://schemas.openxmlformats.org/officeDocument/2006/relationships/hyperlink" Target="http://www.opentraintimes.com/schedule/G21035/2012/8/7" TargetMode="External"/><Relationship Id="rId847" Type="http://schemas.openxmlformats.org/officeDocument/2006/relationships/hyperlink" Target="http://www.opentraintimes.com/schedule/L70327/2012/8/8" TargetMode="External"/><Relationship Id="rId1032" Type="http://schemas.openxmlformats.org/officeDocument/2006/relationships/hyperlink" Target="http://www.opentraintimes.com/schedule/L70548/2012/8/8" TargetMode="External"/><Relationship Id="rId279" Type="http://schemas.openxmlformats.org/officeDocument/2006/relationships/hyperlink" Target="http://www.opentraintimes.com/schedule/G26590/2012/8/7" TargetMode="External"/><Relationship Id="rId486" Type="http://schemas.openxmlformats.org/officeDocument/2006/relationships/hyperlink" Target="http://www.opentraintimes.com/schedule/G27030/2012/8/8" TargetMode="External"/><Relationship Id="rId693" Type="http://schemas.openxmlformats.org/officeDocument/2006/relationships/hyperlink" Target="http://www.opentraintimes.com/schedule/G21227/2012/8/8" TargetMode="External"/><Relationship Id="rId707" Type="http://schemas.openxmlformats.org/officeDocument/2006/relationships/hyperlink" Target="http://www.opentraintimes.com/schedule/L70283/2012/8/8" TargetMode="External"/><Relationship Id="rId914" Type="http://schemas.openxmlformats.org/officeDocument/2006/relationships/hyperlink" Target="http://www.opentraintimes.com/schedule/L70296/2012/8/8" TargetMode="External"/><Relationship Id="rId43" Type="http://schemas.openxmlformats.org/officeDocument/2006/relationships/hyperlink" Target="http://www.opentraintimes.com/schedule/G26507/2012/8/7" TargetMode="External"/><Relationship Id="rId139" Type="http://schemas.openxmlformats.org/officeDocument/2006/relationships/hyperlink" Target="http://www.opentraintimes.com/schedule/L77134/2012/8/7" TargetMode="External"/><Relationship Id="rId346" Type="http://schemas.openxmlformats.org/officeDocument/2006/relationships/hyperlink" Target="http://www.opentraintimes.com/schedule/L70497/2012/8/7" TargetMode="External"/><Relationship Id="rId553" Type="http://schemas.openxmlformats.org/officeDocument/2006/relationships/hyperlink" Target="http://www.opentraintimes.com/schedule/G26032/2012/8/8" TargetMode="External"/><Relationship Id="rId760" Type="http://schemas.openxmlformats.org/officeDocument/2006/relationships/hyperlink" Target="http://www.opentraintimes.com/schedule/G20793/2012/8/8" TargetMode="External"/><Relationship Id="rId998" Type="http://schemas.openxmlformats.org/officeDocument/2006/relationships/hyperlink" Target="http://www.opentraintimes.com/schedule/L70303/2012/8/8" TargetMode="External"/><Relationship Id="rId192" Type="http://schemas.openxmlformats.org/officeDocument/2006/relationships/hyperlink" Target="http://www.opentraintimes.com/schedule/G21368/2012/8/7" TargetMode="External"/><Relationship Id="rId206" Type="http://schemas.openxmlformats.org/officeDocument/2006/relationships/hyperlink" Target="http://www.opentraintimes.com/schedule/G20581/2012/8/7" TargetMode="External"/><Relationship Id="rId413" Type="http://schemas.openxmlformats.org/officeDocument/2006/relationships/hyperlink" Target="http://www.opentraintimes.com/schedule/G20599/2012/8/7" TargetMode="External"/><Relationship Id="rId858" Type="http://schemas.openxmlformats.org/officeDocument/2006/relationships/hyperlink" Target="http://www.opentraintimes.com/schedule/G20879/2012/8/8" TargetMode="External"/><Relationship Id="rId1043" Type="http://schemas.openxmlformats.org/officeDocument/2006/relationships/hyperlink" Target="http://www.opentraintimes.com/schedule/G21523/2012/8/8" TargetMode="External"/><Relationship Id="rId497" Type="http://schemas.openxmlformats.org/officeDocument/2006/relationships/hyperlink" Target="http://www.opentraintimes.com/schedule/G27009/2012/8/8" TargetMode="External"/><Relationship Id="rId620" Type="http://schemas.openxmlformats.org/officeDocument/2006/relationships/hyperlink" Target="http://www.opentraintimes.com/schedule/L77146/2012/8/8" TargetMode="External"/><Relationship Id="rId718" Type="http://schemas.openxmlformats.org/officeDocument/2006/relationships/hyperlink" Target="http://www.opentraintimes.com/schedule/G21469/2012/8/8" TargetMode="External"/><Relationship Id="rId925" Type="http://schemas.openxmlformats.org/officeDocument/2006/relationships/hyperlink" Target="http://www.opentraintimes.com/schedule/L70539/2012/8/8" TargetMode="External"/><Relationship Id="rId357" Type="http://schemas.openxmlformats.org/officeDocument/2006/relationships/hyperlink" Target="http://www.opentraintimes.com/schedule/L70386/2012/8/7" TargetMode="External"/><Relationship Id="rId54" Type="http://schemas.openxmlformats.org/officeDocument/2006/relationships/hyperlink" Target="http://www.opentraintimes.com/schedule/G26618/2012/8/7" TargetMode="External"/><Relationship Id="rId217" Type="http://schemas.openxmlformats.org/officeDocument/2006/relationships/hyperlink" Target="http://www.opentraintimes.com/schedule/L70350/2012/8/7" TargetMode="External"/><Relationship Id="rId564" Type="http://schemas.openxmlformats.org/officeDocument/2006/relationships/hyperlink" Target="http://www.opentraintimes.com/schedule/G21057/2012/8/8" TargetMode="External"/><Relationship Id="rId771" Type="http://schemas.openxmlformats.org/officeDocument/2006/relationships/hyperlink" Target="http://www.opentraintimes.com/schedule/G21477/2012/8/8" TargetMode="External"/><Relationship Id="rId869" Type="http://schemas.openxmlformats.org/officeDocument/2006/relationships/hyperlink" Target="http://www.opentraintimes.com/schedule/G20696/2012/8/8" TargetMode="External"/><Relationship Id="rId424" Type="http://schemas.openxmlformats.org/officeDocument/2006/relationships/hyperlink" Target="http://www.opentraintimes.com/schedule/G29153/2012/8/8" TargetMode="External"/><Relationship Id="rId631" Type="http://schemas.openxmlformats.org/officeDocument/2006/relationships/hyperlink" Target="http://www.opentraintimes.com/schedule/G21447/2012/8/8" TargetMode="External"/><Relationship Id="rId729" Type="http://schemas.openxmlformats.org/officeDocument/2006/relationships/hyperlink" Target="http://www.opentraintimes.com/schedule/G29175/2012/8/8" TargetMode="External"/><Relationship Id="rId1054" Type="http://schemas.openxmlformats.org/officeDocument/2006/relationships/hyperlink" Target="http://www.opentraintimes.com/schedule/G22027/2012/8/8" TargetMode="External"/><Relationship Id="rId270" Type="http://schemas.openxmlformats.org/officeDocument/2006/relationships/hyperlink" Target="http://www.opentraintimes.com/schedule/G20601/2012/8/7" TargetMode="External"/><Relationship Id="rId936" Type="http://schemas.openxmlformats.org/officeDocument/2006/relationships/hyperlink" Target="http://www.opentraintimes.com/schedule/G26951/2012/8/8" TargetMode="External"/><Relationship Id="rId65" Type="http://schemas.openxmlformats.org/officeDocument/2006/relationships/hyperlink" Target="http://www.opentraintimes.com/schedule/L70325/2012/8/7" TargetMode="External"/><Relationship Id="rId130" Type="http://schemas.openxmlformats.org/officeDocument/2006/relationships/hyperlink" Target="http://www.opentraintimes.com/schedule/L70484/2012/8/7" TargetMode="External"/><Relationship Id="rId368" Type="http://schemas.openxmlformats.org/officeDocument/2006/relationships/hyperlink" Target="http://www.opentraintimes.com/schedule/L70390/2012/8/7" TargetMode="External"/><Relationship Id="rId575" Type="http://schemas.openxmlformats.org/officeDocument/2006/relationships/hyperlink" Target="http://www.opentraintimes.com/schedule/G26126/2012/8/8" TargetMode="External"/><Relationship Id="rId782" Type="http://schemas.openxmlformats.org/officeDocument/2006/relationships/hyperlink" Target="http://www.opentraintimes.com/schedule/G20023/2012/8/8" TargetMode="External"/><Relationship Id="rId228" Type="http://schemas.openxmlformats.org/officeDocument/2006/relationships/hyperlink" Target="http://www.opentraintimes.com/schedule/G22412/2012/8/7" TargetMode="External"/><Relationship Id="rId435" Type="http://schemas.openxmlformats.org/officeDocument/2006/relationships/hyperlink" Target="http://www.opentraintimes.com/schedule/L70431/2012/8/8" TargetMode="External"/><Relationship Id="rId642" Type="http://schemas.openxmlformats.org/officeDocument/2006/relationships/hyperlink" Target="http://www.opentraintimes.com/schedule/L70279/2012/8/8" TargetMode="External"/><Relationship Id="rId1065" Type="http://schemas.openxmlformats.org/officeDocument/2006/relationships/hyperlink" Target="http://www.opentraintimes.com/schedule/G20932/2012/8/8" TargetMode="External"/><Relationship Id="rId281" Type="http://schemas.openxmlformats.org/officeDocument/2006/relationships/hyperlink" Target="http://www.opentraintimes.com/schedule/G26537/2012/8/7" TargetMode="External"/><Relationship Id="rId502" Type="http://schemas.openxmlformats.org/officeDocument/2006/relationships/hyperlink" Target="http://www.opentraintimes.com/schedule/L70510/2012/8/8" TargetMode="External"/><Relationship Id="rId947" Type="http://schemas.openxmlformats.org/officeDocument/2006/relationships/hyperlink" Target="http://www.opentraintimes.com/schedule/L70541/2012/8/8" TargetMode="External"/><Relationship Id="rId76" Type="http://schemas.openxmlformats.org/officeDocument/2006/relationships/hyperlink" Target="http://www.opentraintimes.com/schedule/G21338/2012/8/7" TargetMode="External"/><Relationship Id="rId141" Type="http://schemas.openxmlformats.org/officeDocument/2006/relationships/hyperlink" Target="http://www.opentraintimes.com/schedule/G21347/2012/8/7" TargetMode="External"/><Relationship Id="rId379" Type="http://schemas.openxmlformats.org/officeDocument/2006/relationships/hyperlink" Target="http://www.opentraintimes.com/schedule/G21892/2012/8/7" TargetMode="External"/><Relationship Id="rId586" Type="http://schemas.openxmlformats.org/officeDocument/2006/relationships/hyperlink" Target="http://www.opentraintimes.com/schedule/L70449/2012/8/8" TargetMode="External"/><Relationship Id="rId793" Type="http://schemas.openxmlformats.org/officeDocument/2006/relationships/hyperlink" Target="http://www.opentraintimes.com/schedule/G21283/2012/8/8" TargetMode="External"/><Relationship Id="rId807" Type="http://schemas.openxmlformats.org/officeDocument/2006/relationships/hyperlink" Target="http://www.opentraintimes.com/schedule/G26745/2012/8/8" TargetMode="External"/><Relationship Id="rId7" Type="http://schemas.openxmlformats.org/officeDocument/2006/relationships/hyperlink" Target="http://www.opentraintimes.com/schedule/G21055/2012/8/6" TargetMode="External"/><Relationship Id="rId239" Type="http://schemas.openxmlformats.org/officeDocument/2006/relationships/hyperlink" Target="http://www.opentraintimes.com/schedule/G20573/2012/8/7" TargetMode="External"/><Relationship Id="rId446" Type="http://schemas.openxmlformats.org/officeDocument/2006/relationships/hyperlink" Target="http://www.opentraintimes.com/schedule/G21644/2012/8/8" TargetMode="External"/><Relationship Id="rId653" Type="http://schemas.openxmlformats.org/officeDocument/2006/relationships/hyperlink" Target="http://www.opentraintimes.com/schedule/L70522/2012/8/8" TargetMode="External"/><Relationship Id="rId292" Type="http://schemas.openxmlformats.org/officeDocument/2006/relationships/hyperlink" Target="http://www.opentraintimes.com/schedule/G26608/2012/8/7" TargetMode="External"/><Relationship Id="rId306" Type="http://schemas.openxmlformats.org/officeDocument/2006/relationships/hyperlink" Target="http://www.opentraintimes.com/schedule/G21427/2012/8/7" TargetMode="External"/><Relationship Id="rId860" Type="http://schemas.openxmlformats.org/officeDocument/2006/relationships/hyperlink" Target="http://www.opentraintimes.com/schedule/L70331/2012/8/8" TargetMode="External"/><Relationship Id="rId958" Type="http://schemas.openxmlformats.org/officeDocument/2006/relationships/hyperlink" Target="http://www.opentraintimes.com/schedule/G20554/2012/8/8" TargetMode="External"/><Relationship Id="rId87" Type="http://schemas.openxmlformats.org/officeDocument/2006/relationships/hyperlink" Target="http://www.opentraintimes.com/schedule/G29132/2012/8/7" TargetMode="External"/><Relationship Id="rId513" Type="http://schemas.openxmlformats.org/officeDocument/2006/relationships/hyperlink" Target="http://www.opentraintimes.com/schedule/G29160/2012/8/8" TargetMode="External"/><Relationship Id="rId597" Type="http://schemas.openxmlformats.org/officeDocument/2006/relationships/hyperlink" Target="http://www.opentraintimes.com/schedule/L70518/2012/8/8" TargetMode="External"/><Relationship Id="rId720" Type="http://schemas.openxmlformats.org/officeDocument/2006/relationships/hyperlink" Target="http://www.opentraintimes.com/schedule/G22549/2012/8/8" TargetMode="External"/><Relationship Id="rId818" Type="http://schemas.openxmlformats.org/officeDocument/2006/relationships/hyperlink" Target="http://www.opentraintimes.com/schedule/G26698/2012/8/8" TargetMode="External"/><Relationship Id="rId152" Type="http://schemas.openxmlformats.org/officeDocument/2006/relationships/hyperlink" Target="http://www.opentraintimes.com/schedule/G20561/2012/8/7" TargetMode="External"/><Relationship Id="rId457" Type="http://schemas.openxmlformats.org/officeDocument/2006/relationships/hyperlink" Target="http://www.opentraintimes.com/schedule/G26930/2012/8/8" TargetMode="External"/><Relationship Id="rId1003" Type="http://schemas.openxmlformats.org/officeDocument/2006/relationships/hyperlink" Target="http://www.opentraintimes.com/schedule/G26083/2012/8/8" TargetMode="External"/><Relationship Id="rId664" Type="http://schemas.openxmlformats.org/officeDocument/2006/relationships/hyperlink" Target="http://www.opentraintimes.com/schedule/G26502/2012/8/8" TargetMode="External"/><Relationship Id="rId871" Type="http://schemas.openxmlformats.org/officeDocument/2006/relationships/hyperlink" Target="http://www.opentraintimes.com/schedule/L70335/2012/8/8" TargetMode="External"/><Relationship Id="rId969" Type="http://schemas.openxmlformats.org/officeDocument/2006/relationships/hyperlink" Target="http://www.opentraintimes.com/schedule/G27013/2012/8/8" TargetMode="External"/><Relationship Id="rId14" Type="http://schemas.openxmlformats.org/officeDocument/2006/relationships/hyperlink" Target="http://www.opentraintimes.com/schedule/L70310/2012/8/6" TargetMode="External"/><Relationship Id="rId317" Type="http://schemas.openxmlformats.org/officeDocument/2006/relationships/hyperlink" Target="http://www.opentraintimes.com/schedule/G20585/2012/8/7" TargetMode="External"/><Relationship Id="rId524" Type="http://schemas.openxmlformats.org/officeDocument/2006/relationships/hyperlink" Target="http://www.opentraintimes.com/schedule/L70439/2012/8/8" TargetMode="External"/><Relationship Id="rId731" Type="http://schemas.openxmlformats.org/officeDocument/2006/relationships/hyperlink" Target="http://www.opentraintimes.com/schedule/L70284/2012/8/8" TargetMode="External"/><Relationship Id="rId98" Type="http://schemas.openxmlformats.org/officeDocument/2006/relationships/hyperlink" Target="http://www.opentraintimes.com/schedule/G20817/2012/8/7" TargetMode="External"/><Relationship Id="rId163" Type="http://schemas.openxmlformats.org/officeDocument/2006/relationships/hyperlink" Target="http://www.opentraintimes.com/schedule/G20557/2012/8/7" TargetMode="External"/><Relationship Id="rId370" Type="http://schemas.openxmlformats.org/officeDocument/2006/relationships/hyperlink" Target="http://www.opentraintimes.com/schedule/L70499/2012/8/7" TargetMode="External"/><Relationship Id="rId829" Type="http://schemas.openxmlformats.org/officeDocument/2006/relationships/hyperlink" Target="http://www.opentraintimes.com/schedule/G26717/2012/8/8" TargetMode="External"/><Relationship Id="rId1014" Type="http://schemas.openxmlformats.org/officeDocument/2006/relationships/hyperlink" Target="http://www.opentraintimes.com/schedule/G26115/2012/8/8" TargetMode="External"/><Relationship Id="rId230" Type="http://schemas.openxmlformats.org/officeDocument/2006/relationships/hyperlink" Target="http://www.opentraintimes.com/schedule/G21575/2012/8/7" TargetMode="External"/><Relationship Id="rId468" Type="http://schemas.openxmlformats.org/officeDocument/2006/relationships/hyperlink" Target="http://www.opentraintimes.com/schedule/G21004/2012/8/8" TargetMode="External"/><Relationship Id="rId675" Type="http://schemas.openxmlformats.org/officeDocument/2006/relationships/hyperlink" Target="http://www.opentraintimes.com/schedule/G22001/2012/8/8" TargetMode="External"/><Relationship Id="rId882" Type="http://schemas.openxmlformats.org/officeDocument/2006/relationships/hyperlink" Target="http://www.opentraintimes.com/schedule/G21975/2012/8/8" TargetMode="External"/><Relationship Id="rId25" Type="http://schemas.openxmlformats.org/officeDocument/2006/relationships/hyperlink" Target="http://www.opentraintimes.com/schedule/L70311/2012/8/6" TargetMode="External"/><Relationship Id="rId328" Type="http://schemas.openxmlformats.org/officeDocument/2006/relationships/hyperlink" Target="http://www.opentraintimes.com/schedule/G29145/2012/8/7" TargetMode="External"/><Relationship Id="rId535" Type="http://schemas.openxmlformats.org/officeDocument/2006/relationships/hyperlink" Target="http://www.opentraintimes.com/schedule/L70441/2012/8/8" TargetMode="External"/><Relationship Id="rId742" Type="http://schemas.openxmlformats.org/officeDocument/2006/relationships/hyperlink" Target="http://www.opentraintimes.com/schedule/G22384/2012/8/8" TargetMode="External"/><Relationship Id="rId174" Type="http://schemas.openxmlformats.org/officeDocument/2006/relationships/hyperlink" Target="http://www.opentraintimes.com/schedule/G26313/2012/8/7" TargetMode="External"/><Relationship Id="rId381" Type="http://schemas.openxmlformats.org/officeDocument/2006/relationships/hyperlink" Target="http://www.opentraintimes.com/schedule/L70394/2012/8/7" TargetMode="External"/><Relationship Id="rId602" Type="http://schemas.openxmlformats.org/officeDocument/2006/relationships/hyperlink" Target="http://www.opentraintimes.com/schedule/G20672/2012/8/8" TargetMode="External"/><Relationship Id="rId1025" Type="http://schemas.openxmlformats.org/officeDocument/2006/relationships/hyperlink" Target="http://www.opentraintimes.com/schedule/G20906/2012/8/8" TargetMode="External"/><Relationship Id="rId241" Type="http://schemas.openxmlformats.org/officeDocument/2006/relationships/hyperlink" Target="http://www.opentraintimes.com/schedule/G20017/2012/8/7" TargetMode="External"/><Relationship Id="rId479" Type="http://schemas.openxmlformats.org/officeDocument/2006/relationships/hyperlink" Target="http://www.opentraintimes.com/schedule/G26979/2012/8/8" TargetMode="External"/><Relationship Id="rId686" Type="http://schemas.openxmlformats.org/officeDocument/2006/relationships/hyperlink" Target="http://www.opentraintimes.com/schedule/G26555/2012/8/8" TargetMode="External"/><Relationship Id="rId893" Type="http://schemas.openxmlformats.org/officeDocument/2006/relationships/hyperlink" Target="http://www.opentraintimes.com/schedule/G21497/2012/8/8" TargetMode="External"/><Relationship Id="rId907" Type="http://schemas.openxmlformats.org/officeDocument/2006/relationships/hyperlink" Target="http://www.opentraintimes.com/schedule/G20946/2012/8/8" TargetMode="External"/><Relationship Id="rId36" Type="http://schemas.openxmlformats.org/officeDocument/2006/relationships/hyperlink" Target="http://www.opentraintimes.com/schedule/G20960/2012/8/7" TargetMode="External"/><Relationship Id="rId339" Type="http://schemas.openxmlformats.org/officeDocument/2006/relationships/hyperlink" Target="http://www.opentraintimes.com/schedule/L70400/2012/8/7" TargetMode="External"/><Relationship Id="rId546" Type="http://schemas.openxmlformats.org/officeDocument/2006/relationships/hyperlink" Target="http://www.opentraintimes.com/schedule/G21126/2012/8/8" TargetMode="External"/><Relationship Id="rId753" Type="http://schemas.openxmlformats.org/officeDocument/2006/relationships/hyperlink" Target="http://www.opentraintimes.com/schedule/L70324/2012/8/8" TargetMode="External"/><Relationship Id="rId101" Type="http://schemas.openxmlformats.org/officeDocument/2006/relationships/hyperlink" Target="http://www.opentraintimes.com/schedule/G21535/2012/8/7" TargetMode="External"/><Relationship Id="rId185" Type="http://schemas.openxmlformats.org/officeDocument/2006/relationships/hyperlink" Target="http://www.opentraintimes.com/schedule/G20901/2012/8/7" TargetMode="External"/><Relationship Id="rId406" Type="http://schemas.openxmlformats.org/officeDocument/2006/relationships/hyperlink" Target="http://www.opentraintimes.com/schedule/G23152/2012/8/7" TargetMode="External"/><Relationship Id="rId960" Type="http://schemas.openxmlformats.org/officeDocument/2006/relationships/hyperlink" Target="http://www.opentraintimes.com/schedule/G27066/2012/8/8" TargetMode="External"/><Relationship Id="rId1036" Type="http://schemas.openxmlformats.org/officeDocument/2006/relationships/hyperlink" Target="http://www.opentraintimes.com/schedule/L70306/2012/8/8" TargetMode="External"/><Relationship Id="rId392" Type="http://schemas.openxmlformats.org/officeDocument/2006/relationships/hyperlink" Target="http://www.opentraintimes.com/schedule/G26785/2012/8/7" TargetMode="External"/><Relationship Id="rId613" Type="http://schemas.openxmlformats.org/officeDocument/2006/relationships/hyperlink" Target="http://www.opentraintimes.com/schedule/L70277/2012/8/8" TargetMode="External"/><Relationship Id="rId697" Type="http://schemas.openxmlformats.org/officeDocument/2006/relationships/hyperlink" Target="http://www.opentraintimes.com/schedule/G21159/2012/8/8" TargetMode="External"/><Relationship Id="rId820" Type="http://schemas.openxmlformats.org/officeDocument/2006/relationships/hyperlink" Target="http://www.opentraintimes.com/schedule/L70531/2012/8/8" TargetMode="External"/><Relationship Id="rId918" Type="http://schemas.openxmlformats.org/officeDocument/2006/relationships/hyperlink" Target="http://www.opentraintimes.com/schedule/G20704/2012/8/8" TargetMode="External"/><Relationship Id="rId252" Type="http://schemas.openxmlformats.org/officeDocument/2006/relationships/hyperlink" Target="http://www.opentraintimes.com/schedule/G20579/2012/8/7" TargetMode="External"/><Relationship Id="rId47" Type="http://schemas.openxmlformats.org/officeDocument/2006/relationships/hyperlink" Target="http://www.opentraintimes.com/schedule/G20967/2012/8/7" TargetMode="External"/><Relationship Id="rId112" Type="http://schemas.openxmlformats.org/officeDocument/2006/relationships/hyperlink" Target="http://www.opentraintimes.com/schedule/G20545/2012/8/7" TargetMode="External"/><Relationship Id="rId557" Type="http://schemas.openxmlformats.org/officeDocument/2006/relationships/hyperlink" Target="http://www.opentraintimes.com/schedule/G20615/2012/8/8" TargetMode="External"/><Relationship Id="rId764" Type="http://schemas.openxmlformats.org/officeDocument/2006/relationships/hyperlink" Target="http://www.opentraintimes.com/schedule/G26671/2012/8/8" TargetMode="External"/><Relationship Id="rId971" Type="http://schemas.openxmlformats.org/officeDocument/2006/relationships/hyperlink" Target="http://www.opentraintimes.com/schedule/L70543/2012/8/8" TargetMode="External"/><Relationship Id="rId196" Type="http://schemas.openxmlformats.org/officeDocument/2006/relationships/hyperlink" Target="http://www.opentraintimes.com/schedule/G21874/2012/8/7" TargetMode="External"/><Relationship Id="rId417" Type="http://schemas.openxmlformats.org/officeDocument/2006/relationships/hyperlink" Target="http://www.opentraintimes.com/schedule/G29152/2012/8/7" TargetMode="External"/><Relationship Id="rId624" Type="http://schemas.openxmlformats.org/officeDocument/2006/relationships/hyperlink" Target="http://www.opentraintimes.com/schedule/G21099/2012/8/8" TargetMode="External"/><Relationship Id="rId831" Type="http://schemas.openxmlformats.org/officeDocument/2006/relationships/hyperlink" Target="http://www.opentraintimes.com/schedule/L77145/2012/8/8" TargetMode="External"/><Relationship Id="rId1047" Type="http://schemas.openxmlformats.org/officeDocument/2006/relationships/hyperlink" Target="http://www.opentraintimes.com/schedule/G22534/2012/8/8" TargetMode="External"/><Relationship Id="rId263" Type="http://schemas.openxmlformats.org/officeDocument/2006/relationships/hyperlink" Target="http://www.opentraintimes.com/schedule/G22452/2012/8/7" TargetMode="External"/><Relationship Id="rId470" Type="http://schemas.openxmlformats.org/officeDocument/2006/relationships/hyperlink" Target="http://www.opentraintimes.com/schedule/G21971/2012/8/8" TargetMode="External"/><Relationship Id="rId929" Type="http://schemas.openxmlformats.org/officeDocument/2006/relationships/hyperlink" Target="http://www.opentraintimes.com/schedule/G22018/2012/8/8" TargetMode="External"/><Relationship Id="rId58" Type="http://schemas.openxmlformats.org/officeDocument/2006/relationships/hyperlink" Target="http://www.opentraintimes.com/schedule/G23961/2012/8/7" TargetMode="External"/><Relationship Id="rId123" Type="http://schemas.openxmlformats.org/officeDocument/2006/relationships/hyperlink" Target="http://www.opentraintimes.com/schedule/G20550/2012/8/7" TargetMode="External"/><Relationship Id="rId330" Type="http://schemas.openxmlformats.org/officeDocument/2006/relationships/hyperlink" Target="http://www.opentraintimes.com/schedule/G26637/2012/8/7" TargetMode="External"/><Relationship Id="rId568" Type="http://schemas.openxmlformats.org/officeDocument/2006/relationships/hyperlink" Target="http://www.opentraintimes.com/schedule/L70455/2012/8/8" TargetMode="External"/><Relationship Id="rId775" Type="http://schemas.openxmlformats.org/officeDocument/2006/relationships/hyperlink" Target="http://www.opentraintimes.com/schedule/G21243/2012/8/8" TargetMode="External"/><Relationship Id="rId982" Type="http://schemas.openxmlformats.org/officeDocument/2006/relationships/hyperlink" Target="http://www.opentraintimes.com/schedule/L70544/2012/8/8" TargetMode="External"/><Relationship Id="rId428" Type="http://schemas.openxmlformats.org/officeDocument/2006/relationships/hyperlink" Target="http://www.opentraintimes.com/schedule/L70410/2012/8/8" TargetMode="External"/><Relationship Id="rId635" Type="http://schemas.openxmlformats.org/officeDocument/2006/relationships/hyperlink" Target="http://www.opentraintimes.com/schedule/G26348/2012/8/8" TargetMode="External"/><Relationship Id="rId842" Type="http://schemas.openxmlformats.org/officeDocument/2006/relationships/hyperlink" Target="http://www.opentraintimes.com/schedule/G21489/2012/8/8" TargetMode="External"/><Relationship Id="rId1058" Type="http://schemas.openxmlformats.org/officeDocument/2006/relationships/hyperlink" Target="http://www.opentraintimes.com/schedule/L70395/2012/8/8" TargetMode="External"/><Relationship Id="rId274" Type="http://schemas.openxmlformats.org/officeDocument/2006/relationships/hyperlink" Target="http://www.opentraintimes.com/schedule/G22558/2012/8/7" TargetMode="External"/><Relationship Id="rId481" Type="http://schemas.openxmlformats.org/officeDocument/2006/relationships/hyperlink" Target="http://www.opentraintimes.com/schedule/G21083/2012/8/8" TargetMode="External"/><Relationship Id="rId702" Type="http://schemas.openxmlformats.org/officeDocument/2006/relationships/hyperlink" Target="http://www.opentraintimes.com/schedule/L70464/2012/8/8" TargetMode="External"/><Relationship Id="rId69" Type="http://schemas.openxmlformats.org/officeDocument/2006/relationships/hyperlink" Target="http://www.opentraintimes.com/schedule/L70479/2012/8/7" TargetMode="External"/><Relationship Id="rId134" Type="http://schemas.openxmlformats.org/officeDocument/2006/relationships/hyperlink" Target="http://www.opentraintimes.com/schedule/G20853/2012/8/7" TargetMode="External"/><Relationship Id="rId579" Type="http://schemas.openxmlformats.org/officeDocument/2006/relationships/hyperlink" Target="http://www.opentraintimes.com/schedule/L70457/2012/8/8" TargetMode="External"/><Relationship Id="rId786" Type="http://schemas.openxmlformats.org/officeDocument/2006/relationships/hyperlink" Target="http://www.opentraintimes.com/schedule/L70287/2012/8/8" TargetMode="External"/><Relationship Id="rId993" Type="http://schemas.openxmlformats.org/officeDocument/2006/relationships/hyperlink" Target="http://www.opentraintimes.com/schedule/G26051/2012/8/8" TargetMode="External"/><Relationship Id="rId341" Type="http://schemas.openxmlformats.org/officeDocument/2006/relationships/hyperlink" Target="http://www.opentraintimes.com/schedule/G21385/2012/8/7" TargetMode="External"/><Relationship Id="rId439" Type="http://schemas.openxmlformats.org/officeDocument/2006/relationships/hyperlink" Target="http://www.opentraintimes.com/schedule/G26896/2012/8/8" TargetMode="External"/><Relationship Id="rId646" Type="http://schemas.openxmlformats.org/officeDocument/2006/relationships/hyperlink" Target="http://www.opentraintimes.com/schedule/G26376/2012/8/8" TargetMode="External"/><Relationship Id="rId1069" Type="http://schemas.openxmlformats.org/officeDocument/2006/relationships/hyperlink" Target="http://www.opentraintimes.com/schedule/G29048/2012/8/8" TargetMode="External"/><Relationship Id="rId201" Type="http://schemas.openxmlformats.org/officeDocument/2006/relationships/hyperlink" Target="http://www.opentraintimes.com/schedule/G26442/2012/8/7" TargetMode="External"/><Relationship Id="rId285" Type="http://schemas.openxmlformats.org/officeDocument/2006/relationships/hyperlink" Target="http://www.opentraintimes.com/schedule/G20969/2012/8/7" TargetMode="External"/><Relationship Id="rId506" Type="http://schemas.openxmlformats.org/officeDocument/2006/relationships/hyperlink" Target="http://www.opentraintimes.com/schedule/L70268/2012/8/8" TargetMode="External"/><Relationship Id="rId853" Type="http://schemas.openxmlformats.org/officeDocument/2006/relationships/hyperlink" Target="http://www.opentraintimes.com/schedule/G29121/2012/8/8" TargetMode="External"/><Relationship Id="rId492" Type="http://schemas.openxmlformats.org/officeDocument/2006/relationships/hyperlink" Target="http://www.opentraintimes.com/schedule/G23140/2012/8/8" TargetMode="External"/><Relationship Id="rId713" Type="http://schemas.openxmlformats.org/officeDocument/2006/relationships/hyperlink" Target="http://www.opentraintimes.com/schedule/L70475/2012/8/8" TargetMode="External"/><Relationship Id="rId797" Type="http://schemas.openxmlformats.org/officeDocument/2006/relationships/hyperlink" Target="http://www.opentraintimes.com/schedule/G22503/2012/8/8" TargetMode="External"/><Relationship Id="rId920" Type="http://schemas.openxmlformats.org/officeDocument/2006/relationships/hyperlink" Target="http://www.opentraintimes.com/schedule/G26918/2012/8/8" TargetMode="External"/><Relationship Id="rId145" Type="http://schemas.openxmlformats.org/officeDocument/2006/relationships/hyperlink" Target="http://www.opentraintimes.com/schedule/L70334/2012/8/7" TargetMode="External"/><Relationship Id="rId352" Type="http://schemas.openxmlformats.org/officeDocument/2006/relationships/hyperlink" Target="http://www.opentraintimes.com/schedule/G21608/2012/8/7" TargetMode="External"/><Relationship Id="rId212" Type="http://schemas.openxmlformats.org/officeDocument/2006/relationships/hyperlink" Target="http://www.opentraintimes.com/schedule/G21363/2012/8/7" TargetMode="External"/><Relationship Id="rId657" Type="http://schemas.openxmlformats.org/officeDocument/2006/relationships/hyperlink" Target="http://www.opentraintimes.com/schedule/G21119/2012/8/8" TargetMode="External"/><Relationship Id="rId864" Type="http://schemas.openxmlformats.org/officeDocument/2006/relationships/hyperlink" Target="http://www.opentraintimes.com/schedule/G26874/2012/8/8" TargetMode="External"/><Relationship Id="rId296" Type="http://schemas.openxmlformats.org/officeDocument/2006/relationships/hyperlink" Target="http://www.opentraintimes.com/schedule/L70493/2012/8/7" TargetMode="External"/><Relationship Id="rId517" Type="http://schemas.openxmlformats.org/officeDocument/2006/relationships/hyperlink" Target="http://www.opentraintimes.com/schedule/L70269/2012/8/8" TargetMode="External"/><Relationship Id="rId724" Type="http://schemas.openxmlformats.org/officeDocument/2006/relationships/hyperlink" Target="http://www.opentraintimes.com/schedule/L70466/2012/8/8" TargetMode="External"/><Relationship Id="rId931" Type="http://schemas.openxmlformats.org/officeDocument/2006/relationships/hyperlink" Target="http://www.opentraintimes.com/schedule/G26934/2012/8/8" TargetMode="External"/><Relationship Id="rId60" Type="http://schemas.openxmlformats.org/officeDocument/2006/relationships/hyperlink" Target="http://www.opentraintimes.com/schedule/G24196/2012/8/7" TargetMode="External"/><Relationship Id="rId156" Type="http://schemas.openxmlformats.org/officeDocument/2006/relationships/hyperlink" Target="http://www.opentraintimes.com/schedule/G06361/2012/8/7" TargetMode="External"/><Relationship Id="rId363" Type="http://schemas.openxmlformats.org/officeDocument/2006/relationships/hyperlink" Target="http://www.opentraintimes.com/schedule/L70408/2012/8/7" TargetMode="External"/><Relationship Id="rId570" Type="http://schemas.openxmlformats.org/officeDocument/2006/relationships/hyperlink" Target="http://www.opentraintimes.com/schedule/G26096/2012/8/8" TargetMode="External"/><Relationship Id="rId1007" Type="http://schemas.openxmlformats.org/officeDocument/2006/relationships/hyperlink" Target="http://www.opentraintimes.com/schedule/L70546/2012/8/8" TargetMode="External"/><Relationship Id="rId223" Type="http://schemas.openxmlformats.org/officeDocument/2006/relationships/hyperlink" Target="http://www.opentraintimes.com/schedule/G20934/2012/8/7" TargetMode="External"/><Relationship Id="rId430" Type="http://schemas.openxmlformats.org/officeDocument/2006/relationships/hyperlink" Target="http://www.opentraintimes.com/schedule/G26922/2012/8/8" TargetMode="External"/><Relationship Id="rId668" Type="http://schemas.openxmlformats.org/officeDocument/2006/relationships/hyperlink" Target="http://www.opentraintimes.com/schedule/G21220/2012/8/8" TargetMode="External"/><Relationship Id="rId875" Type="http://schemas.openxmlformats.org/officeDocument/2006/relationships/hyperlink" Target="http://www.opentraintimes.com/schedule/G24014/2012/8/8" TargetMode="External"/><Relationship Id="rId1060" Type="http://schemas.openxmlformats.org/officeDocument/2006/relationships/hyperlink" Target="http://www.opentraintimes.com/schedule/G20733/2012/8/8" TargetMode="External"/><Relationship Id="rId18" Type="http://schemas.openxmlformats.org/officeDocument/2006/relationships/hyperlink" Target="http://www.opentraintimes.com/schedule/G20741/2012/8/7" TargetMode="External"/><Relationship Id="rId528" Type="http://schemas.openxmlformats.org/officeDocument/2006/relationships/hyperlink" Target="http://www.opentraintimes.com/schedule/G27068/2012/8/8" TargetMode="External"/><Relationship Id="rId735" Type="http://schemas.openxmlformats.org/officeDocument/2006/relationships/hyperlink" Target="http://www.opentraintimes.com/schedule/L70477/2012/8/8" TargetMode="External"/><Relationship Id="rId942" Type="http://schemas.openxmlformats.org/officeDocument/2006/relationships/hyperlink" Target="http://www.opentraintimes.com/schedule/G21509/2012/8/8" TargetMode="External"/><Relationship Id="rId167" Type="http://schemas.openxmlformats.org/officeDocument/2006/relationships/hyperlink" Target="http://www.opentraintimes.com/schedule/L70244/2012/8/7" TargetMode="External"/><Relationship Id="rId374" Type="http://schemas.openxmlformats.org/officeDocument/2006/relationships/hyperlink" Target="http://www.opentraintimes.com/schedule/G21956/2012/8/7" TargetMode="External"/><Relationship Id="rId581" Type="http://schemas.openxmlformats.org/officeDocument/2006/relationships/hyperlink" Target="http://www.opentraintimes.com/schedule/G21419/2012/8/8" TargetMode="External"/><Relationship Id="rId1018" Type="http://schemas.openxmlformats.org/officeDocument/2006/relationships/hyperlink" Target="http://www.opentraintimes.com/schedule/G20758/2012/8/8" TargetMode="External"/><Relationship Id="rId71" Type="http://schemas.openxmlformats.org/officeDocument/2006/relationships/hyperlink" Target="http://www.opentraintimes.com/schedule/G29118/2012/8/7" TargetMode="External"/><Relationship Id="rId234" Type="http://schemas.openxmlformats.org/officeDocument/2006/relationships/hyperlink" Target="http://www.opentraintimes.com/schedule/G20025/2012/8/7" TargetMode="External"/><Relationship Id="rId679" Type="http://schemas.openxmlformats.org/officeDocument/2006/relationships/hyperlink" Target="http://www.opentraintimes.com/schedule/G22328/2012/8/8" TargetMode="External"/><Relationship Id="rId802" Type="http://schemas.openxmlformats.org/officeDocument/2006/relationships/hyperlink" Target="http://www.opentraintimes.com/schedule/L70530/2012/8/8" TargetMode="External"/><Relationship Id="rId886" Type="http://schemas.openxmlformats.org/officeDocument/2006/relationships/hyperlink" Target="http://www.opentraintimes.com/schedule/G20744/2012/8/8" TargetMode="External"/><Relationship Id="rId2" Type="http://schemas.openxmlformats.org/officeDocument/2006/relationships/hyperlink" Target="http://www.opentraintimes.com/schedule/G26336/2012/8/6" TargetMode="External"/><Relationship Id="rId29" Type="http://schemas.openxmlformats.org/officeDocument/2006/relationships/hyperlink" Target="http://www.opentraintimes.com/schedule/G26452/2012/8/7" TargetMode="External"/><Relationship Id="rId276" Type="http://schemas.openxmlformats.org/officeDocument/2006/relationships/hyperlink" Target="http://www.opentraintimes.com/schedule/L70362/2012/8/7" TargetMode="External"/><Relationship Id="rId441" Type="http://schemas.openxmlformats.org/officeDocument/2006/relationships/hyperlink" Target="http://www.opentraintimes.com/schedule/G29154/2012/8/8" TargetMode="External"/><Relationship Id="rId483" Type="http://schemas.openxmlformats.org/officeDocument/2006/relationships/hyperlink" Target="http://www.opentraintimes.com/schedule/L70440/2012/8/8" TargetMode="External"/><Relationship Id="rId539" Type="http://schemas.openxmlformats.org/officeDocument/2006/relationships/hyperlink" Target="http://www.opentraintimes.com/schedule/L70271/2012/8/8" TargetMode="External"/><Relationship Id="rId690" Type="http://schemas.openxmlformats.org/officeDocument/2006/relationships/hyperlink" Target="http://www.opentraintimes.com/schedule/G22336/2012/8/8" TargetMode="External"/><Relationship Id="rId704" Type="http://schemas.openxmlformats.org/officeDocument/2006/relationships/hyperlink" Target="http://www.opentraintimes.com/schedule/G20655/2012/8/8" TargetMode="External"/><Relationship Id="rId746" Type="http://schemas.openxmlformats.org/officeDocument/2006/relationships/hyperlink" Target="http://www.opentraintimes.com/schedule/G26651/2012/8/8" TargetMode="External"/><Relationship Id="rId911" Type="http://schemas.openxmlformats.org/officeDocument/2006/relationships/hyperlink" Target="http://www.opentraintimes.com/schedule/G20539/2012/8/8" TargetMode="External"/><Relationship Id="rId1071" Type="http://schemas.openxmlformats.org/officeDocument/2006/relationships/hyperlink" Target="http://www.opentraintimes.com/schedule/L70399/2012/8/8" TargetMode="External"/><Relationship Id="rId40" Type="http://schemas.openxmlformats.org/officeDocument/2006/relationships/hyperlink" Target="http://www.opentraintimes.com/schedule/L70321/2012/8/7" TargetMode="External"/><Relationship Id="rId136" Type="http://schemas.openxmlformats.org/officeDocument/2006/relationships/hyperlink" Target="http://www.opentraintimes.com/schedule/G22344/2012/8/7" TargetMode="External"/><Relationship Id="rId178" Type="http://schemas.openxmlformats.org/officeDocument/2006/relationships/hyperlink" Target="http://www.opentraintimes.com/schedule/G26385/2012/8/7" TargetMode="External"/><Relationship Id="rId301" Type="http://schemas.openxmlformats.org/officeDocument/2006/relationships/hyperlink" Target="http://www.opentraintimes.com/schedule/G20613/2012/8/7" TargetMode="External"/><Relationship Id="rId343" Type="http://schemas.openxmlformats.org/officeDocument/2006/relationships/hyperlink" Target="http://www.opentraintimes.com/schedule/G26675/2012/8/7" TargetMode="External"/><Relationship Id="rId550" Type="http://schemas.openxmlformats.org/officeDocument/2006/relationships/hyperlink" Target="http://www.opentraintimes.com/schedule/G23222/2012/8/8" TargetMode="External"/><Relationship Id="rId788" Type="http://schemas.openxmlformats.org/officeDocument/2006/relationships/hyperlink" Target="http://www.opentraintimes.com/schedule/G26662/2012/8/8" TargetMode="External"/><Relationship Id="rId953" Type="http://schemas.openxmlformats.org/officeDocument/2006/relationships/hyperlink" Target="http://www.opentraintimes.com/schedule/G20985/2012/8/8" TargetMode="External"/><Relationship Id="rId995" Type="http://schemas.openxmlformats.org/officeDocument/2006/relationships/hyperlink" Target="http://www.opentraintimes.com/schedule/L70545/2012/8/8" TargetMode="External"/><Relationship Id="rId1029" Type="http://schemas.openxmlformats.org/officeDocument/2006/relationships/hyperlink" Target="http://www.opentraintimes.com/schedule/G20762/2012/8/8" TargetMode="External"/><Relationship Id="rId82" Type="http://schemas.openxmlformats.org/officeDocument/2006/relationships/hyperlink" Target="http://www.opentraintimes.com/schedule/G20811/2012/8/7" TargetMode="External"/><Relationship Id="rId203" Type="http://schemas.openxmlformats.org/officeDocument/2006/relationships/hyperlink" Target="http://www.opentraintimes.com/schedule/G20575/2012/8/7" TargetMode="External"/><Relationship Id="rId385" Type="http://schemas.openxmlformats.org/officeDocument/2006/relationships/hyperlink" Target="http://www.opentraintimes.com/schedule/G21022/2012/8/7" TargetMode="External"/><Relationship Id="rId592" Type="http://schemas.openxmlformats.org/officeDocument/2006/relationships/hyperlink" Target="http://www.opentraintimes.com/schedule/G26191/2012/8/8" TargetMode="External"/><Relationship Id="rId606" Type="http://schemas.openxmlformats.org/officeDocument/2006/relationships/hyperlink" Target="http://www.opentraintimes.com/schedule/L70453/2012/8/8" TargetMode="External"/><Relationship Id="rId648" Type="http://schemas.openxmlformats.org/officeDocument/2006/relationships/hyperlink" Target="http://www.opentraintimes.com/schedule/L77147/2012/8/8" TargetMode="External"/><Relationship Id="rId813" Type="http://schemas.openxmlformats.org/officeDocument/2006/relationships/hyperlink" Target="http://www.opentraintimes.com/schedule/G21277/2012/8/8" TargetMode="External"/><Relationship Id="rId855" Type="http://schemas.openxmlformats.org/officeDocument/2006/relationships/hyperlink" Target="http://www.opentraintimes.com/schedule/G26857/2012/8/8" TargetMode="External"/><Relationship Id="rId1040" Type="http://schemas.openxmlformats.org/officeDocument/2006/relationships/hyperlink" Target="http://www.opentraintimes.com/schedule/G21026/2012/8/8" TargetMode="External"/><Relationship Id="rId245" Type="http://schemas.openxmlformats.org/officeDocument/2006/relationships/hyperlink" Target="http://www.opentraintimes.com/schedule/L70248/2012/8/7" TargetMode="External"/><Relationship Id="rId287" Type="http://schemas.openxmlformats.org/officeDocument/2006/relationships/hyperlink" Target="http://www.opentraintimes.com/schedule/G22561/2012/8/7" TargetMode="External"/><Relationship Id="rId410" Type="http://schemas.openxmlformats.org/officeDocument/2006/relationships/hyperlink" Target="http://www.opentraintimes.com/schedule/L70260/2012/8/7" TargetMode="External"/><Relationship Id="rId452" Type="http://schemas.openxmlformats.org/officeDocument/2006/relationships/hyperlink" Target="http://www.opentraintimes.com/schedule/L70418/2012/8/8" TargetMode="External"/><Relationship Id="rId494" Type="http://schemas.openxmlformats.org/officeDocument/2006/relationships/hyperlink" Target="http://www.opentraintimes.com/schedule/G29159/2012/8/8" TargetMode="External"/><Relationship Id="rId508" Type="http://schemas.openxmlformats.org/officeDocument/2006/relationships/hyperlink" Target="http://www.opentraintimes.com/schedule/G20658/2012/8/8" TargetMode="External"/><Relationship Id="rId715" Type="http://schemas.openxmlformats.org/officeDocument/2006/relationships/hyperlink" Target="http://www.opentraintimes.com/schedule/G22358/2012/8/8" TargetMode="External"/><Relationship Id="rId897" Type="http://schemas.openxmlformats.org/officeDocument/2006/relationships/hyperlink" Target="http://www.opentraintimes.com/schedule/L70343/2012/8/8" TargetMode="External"/><Relationship Id="rId922" Type="http://schemas.openxmlformats.org/officeDocument/2006/relationships/hyperlink" Target="http://www.opentraintimes.com/schedule/G29184/2012/8/8" TargetMode="External"/><Relationship Id="rId105" Type="http://schemas.openxmlformats.org/officeDocument/2006/relationships/hyperlink" Target="http://www.opentraintimes.com/schedule/L77163/2012/8/7" TargetMode="External"/><Relationship Id="rId147" Type="http://schemas.openxmlformats.org/officeDocument/2006/relationships/hyperlink" Target="http://www.opentraintimes.com/schedule/G22353/2012/8/7" TargetMode="External"/><Relationship Id="rId312" Type="http://schemas.openxmlformats.org/officeDocument/2006/relationships/hyperlink" Target="http://www.opentraintimes.com/schedule/G26646/2012/8/7" TargetMode="External"/><Relationship Id="rId354" Type="http://schemas.openxmlformats.org/officeDocument/2006/relationships/hyperlink" Target="http://www.opentraintimes.com/schedule/G21008/2012/8/7" TargetMode="External"/><Relationship Id="rId757" Type="http://schemas.openxmlformats.org/officeDocument/2006/relationships/hyperlink" Target="http://www.opentraintimes.com/schedule/G22398/2012/8/8" TargetMode="External"/><Relationship Id="rId799" Type="http://schemas.openxmlformats.org/officeDocument/2006/relationships/hyperlink" Target="http://www.opentraintimes.com/schedule/G21264/2012/8/8" TargetMode="External"/><Relationship Id="rId964" Type="http://schemas.openxmlformats.org/officeDocument/2006/relationships/hyperlink" Target="http://www.opentraintimes.com/schedule/G20754/2012/8/8" TargetMode="External"/><Relationship Id="rId51" Type="http://schemas.openxmlformats.org/officeDocument/2006/relationships/hyperlink" Target="http://www.opentraintimes.com/schedule/G22560/2012/8/7" TargetMode="External"/><Relationship Id="rId93" Type="http://schemas.openxmlformats.org/officeDocument/2006/relationships/hyperlink" Target="http://www.opentraintimes.com/schedule/L77162/2012/8/7" TargetMode="External"/><Relationship Id="rId189" Type="http://schemas.openxmlformats.org/officeDocument/2006/relationships/hyperlink" Target="http://www.opentraintimes.com/schedule/G20571/2012/8/7" TargetMode="External"/><Relationship Id="rId396" Type="http://schemas.openxmlformats.org/officeDocument/2006/relationships/hyperlink" Target="http://www.opentraintimes.com/schedule/G23084/2012/8/7" TargetMode="External"/><Relationship Id="rId561" Type="http://schemas.openxmlformats.org/officeDocument/2006/relationships/hyperlink" Target="http://www.opentraintimes.com/schedule/G21143/2012/8/8" TargetMode="External"/><Relationship Id="rId617" Type="http://schemas.openxmlformats.org/officeDocument/2006/relationships/hyperlink" Target="http://www.opentraintimes.com/schedule/G26390/2012/8/8" TargetMode="External"/><Relationship Id="rId659" Type="http://schemas.openxmlformats.org/officeDocument/2006/relationships/hyperlink" Target="http://www.opentraintimes.com/schedule/L70280/2012/8/8" TargetMode="External"/><Relationship Id="rId824" Type="http://schemas.openxmlformats.org/officeDocument/2006/relationships/hyperlink" Target="http://www.opentraintimes.com/schedule/G20726/2012/8/8" TargetMode="External"/><Relationship Id="rId866" Type="http://schemas.openxmlformats.org/officeDocument/2006/relationships/hyperlink" Target="http://www.opentraintimes.com/schedule/L70292/2012/8/8" TargetMode="External"/><Relationship Id="rId214" Type="http://schemas.openxmlformats.org/officeDocument/2006/relationships/hyperlink" Target="http://www.opentraintimes.com/schedule/G21372/2012/8/7" TargetMode="External"/><Relationship Id="rId256" Type="http://schemas.openxmlformats.org/officeDocument/2006/relationships/hyperlink" Target="http://www.opentraintimes.com/schedule/L70358/2012/8/7" TargetMode="External"/><Relationship Id="rId298" Type="http://schemas.openxmlformats.org/officeDocument/2006/relationships/hyperlink" Target="http://www.opentraintimes.com/schedule/L70251/2012/8/7" TargetMode="External"/><Relationship Id="rId421" Type="http://schemas.openxmlformats.org/officeDocument/2006/relationships/hyperlink" Target="http://www.opentraintimes.com/schedule/L70261/2012/8/8" TargetMode="External"/><Relationship Id="rId463" Type="http://schemas.openxmlformats.org/officeDocument/2006/relationships/hyperlink" Target="http://www.opentraintimes.com/schedule/G26947/2012/8/8" TargetMode="External"/><Relationship Id="rId519" Type="http://schemas.openxmlformats.org/officeDocument/2006/relationships/hyperlink" Target="http://www.opentraintimes.com/schedule/L70446/2012/8/8" TargetMode="External"/><Relationship Id="rId670" Type="http://schemas.openxmlformats.org/officeDocument/2006/relationships/hyperlink" Target="http://www.opentraintimes.com/schedule/L70523/2012/8/8" TargetMode="External"/><Relationship Id="rId1051" Type="http://schemas.openxmlformats.org/officeDocument/2006/relationships/hyperlink" Target="http://www.opentraintimes.com/schedule/G26036/2012/8/8" TargetMode="External"/><Relationship Id="rId116" Type="http://schemas.openxmlformats.org/officeDocument/2006/relationships/hyperlink" Target="http://www.opentraintimes.com/schedule/G20830/2012/8/7" TargetMode="External"/><Relationship Id="rId158" Type="http://schemas.openxmlformats.org/officeDocument/2006/relationships/hyperlink" Target="http://www.opentraintimes.com/schedule/G20875/2012/8/7" TargetMode="External"/><Relationship Id="rId323" Type="http://schemas.openxmlformats.org/officeDocument/2006/relationships/hyperlink" Target="http://www.opentraintimes.com/schedule/G24068/2012/8/7" TargetMode="External"/><Relationship Id="rId530" Type="http://schemas.openxmlformats.org/officeDocument/2006/relationships/hyperlink" Target="http://www.opentraintimes.com/schedule/G24094/2012/8/8" TargetMode="External"/><Relationship Id="rId726" Type="http://schemas.openxmlformats.org/officeDocument/2006/relationships/hyperlink" Target="http://www.opentraintimes.com/schedule/G26566/2012/8/8" TargetMode="External"/><Relationship Id="rId768" Type="http://schemas.openxmlformats.org/officeDocument/2006/relationships/hyperlink" Target="http://www.opentraintimes.com/schedule/G29055/2012/8/8" TargetMode="External"/><Relationship Id="rId933" Type="http://schemas.openxmlformats.org/officeDocument/2006/relationships/hyperlink" Target="http://www.opentraintimes.com/schedule/L70355/2012/8/8" TargetMode="External"/><Relationship Id="rId975" Type="http://schemas.openxmlformats.org/officeDocument/2006/relationships/hyperlink" Target="http://www.opentraintimes.com/schedule/G06360/2012/8/8" TargetMode="External"/><Relationship Id="rId1009" Type="http://schemas.openxmlformats.org/officeDocument/2006/relationships/hyperlink" Target="http://www.opentraintimes.com/schedule/G22528/2012/8/8" TargetMode="External"/><Relationship Id="rId20" Type="http://schemas.openxmlformats.org/officeDocument/2006/relationships/hyperlink" Target="http://www.opentraintimes.com/schedule/L70407/2012/8/6" TargetMode="External"/><Relationship Id="rId62" Type="http://schemas.openxmlformats.org/officeDocument/2006/relationships/hyperlink" Target="http://www.opentraintimes.com/schedule/G23971/2012/8/7" TargetMode="External"/><Relationship Id="rId365" Type="http://schemas.openxmlformats.org/officeDocument/2006/relationships/hyperlink" Target="http://www.opentraintimes.com/schedule/G20591/2012/8/7" TargetMode="External"/><Relationship Id="rId572" Type="http://schemas.openxmlformats.org/officeDocument/2006/relationships/hyperlink" Target="http://www.opentraintimes.com/schedule/L70447/2012/8/8" TargetMode="External"/><Relationship Id="rId628" Type="http://schemas.openxmlformats.org/officeDocument/2006/relationships/hyperlink" Target="http://www.opentraintimes.com/schedule/G21193/2012/8/8" TargetMode="External"/><Relationship Id="rId835" Type="http://schemas.openxmlformats.org/officeDocument/2006/relationships/hyperlink" Target="http://www.opentraintimes.com/schedule/L70532/2012/8/8" TargetMode="External"/><Relationship Id="rId225" Type="http://schemas.openxmlformats.org/officeDocument/2006/relationships/hyperlink" Target="http://www.opentraintimes.com/schedule/G22544/2012/8/7" TargetMode="External"/><Relationship Id="rId267" Type="http://schemas.openxmlformats.org/officeDocument/2006/relationships/hyperlink" Target="http://www.opentraintimes.com/schedule/G26512/2012/8/7" TargetMode="External"/><Relationship Id="rId432" Type="http://schemas.openxmlformats.org/officeDocument/2006/relationships/hyperlink" Target="http://www.opentraintimes.com/schedule/L70262/2012/8/8" TargetMode="External"/><Relationship Id="rId474" Type="http://schemas.openxmlformats.org/officeDocument/2006/relationships/hyperlink" Target="http://www.opentraintimes.com/schedule/G26963/2012/8/8" TargetMode="External"/><Relationship Id="rId877" Type="http://schemas.openxmlformats.org/officeDocument/2006/relationships/hyperlink" Target="http://www.opentraintimes.com/schedule/L70293/2012/8/8" TargetMode="External"/><Relationship Id="rId1020" Type="http://schemas.openxmlformats.org/officeDocument/2006/relationships/hyperlink" Target="http://www.opentraintimes.com/schedule/L70547/2012/8/8" TargetMode="External"/><Relationship Id="rId1062" Type="http://schemas.openxmlformats.org/officeDocument/2006/relationships/hyperlink" Target="http://www.opentraintimes.com/schedule/L70308/2012/8/8" TargetMode="External"/><Relationship Id="rId127" Type="http://schemas.openxmlformats.org/officeDocument/2006/relationships/hyperlink" Target="http://www.opentraintimes.com/schedule/L70330/2012/8/7" TargetMode="External"/><Relationship Id="rId681" Type="http://schemas.openxmlformats.org/officeDocument/2006/relationships/hyperlink" Target="http://www.opentraintimes.com/schedule/G21731/2012/8/8" TargetMode="External"/><Relationship Id="rId737" Type="http://schemas.openxmlformats.org/officeDocument/2006/relationships/hyperlink" Target="http://www.opentraintimes.com/schedule/G26633/2012/8/8" TargetMode="External"/><Relationship Id="rId779" Type="http://schemas.openxmlformats.org/officeDocument/2006/relationships/hyperlink" Target="http://www.opentraintimes.com/schedule/G21951/2012/8/8" TargetMode="External"/><Relationship Id="rId902" Type="http://schemas.openxmlformats.org/officeDocument/2006/relationships/hyperlink" Target="http://www.opentraintimes.com/schedule/G29122/2012/8/8" TargetMode="External"/><Relationship Id="rId944" Type="http://schemas.openxmlformats.org/officeDocument/2006/relationships/hyperlink" Target="http://www.opentraintimes.com/schedule/G26967/2012/8/8" TargetMode="External"/><Relationship Id="rId986" Type="http://schemas.openxmlformats.org/officeDocument/2006/relationships/hyperlink" Target="http://www.opentraintimes.com/schedule/L70302/2012/8/8" TargetMode="External"/><Relationship Id="rId31" Type="http://schemas.openxmlformats.org/officeDocument/2006/relationships/hyperlink" Target="http://www.opentraintimes.com/schedule/L70411/2012/8/7" TargetMode="External"/><Relationship Id="rId73" Type="http://schemas.openxmlformats.org/officeDocument/2006/relationships/hyperlink" Target="http://www.opentraintimes.com/schedule/L70332/2012/8/7" TargetMode="External"/><Relationship Id="rId169" Type="http://schemas.openxmlformats.org/officeDocument/2006/relationships/hyperlink" Target="http://www.opentraintimes.com/schedule/G22369/2012/8/7" TargetMode="External"/><Relationship Id="rId334" Type="http://schemas.openxmlformats.org/officeDocument/2006/relationships/hyperlink" Target="http://www.opentraintimes.com/schedule/G26702/2012/8/7" TargetMode="External"/><Relationship Id="rId376" Type="http://schemas.openxmlformats.org/officeDocument/2006/relationships/hyperlink" Target="http://www.opentraintimes.com/schedule/L70412/2012/8/7" TargetMode="External"/><Relationship Id="rId541" Type="http://schemas.openxmlformats.org/officeDocument/2006/relationships/hyperlink" Target="http://www.opentraintimes.com/schedule/G29163/2012/8/8" TargetMode="External"/><Relationship Id="rId583" Type="http://schemas.openxmlformats.org/officeDocument/2006/relationships/hyperlink" Target="http://www.opentraintimes.com/schedule/G26269/2012/8/8" TargetMode="External"/><Relationship Id="rId639" Type="http://schemas.openxmlformats.org/officeDocument/2006/relationships/hyperlink" Target="http://www.opentraintimes.com/schedule/G21107/2012/8/8" TargetMode="External"/><Relationship Id="rId790" Type="http://schemas.openxmlformats.org/officeDocument/2006/relationships/hyperlink" Target="http://www.opentraintimes.com/schedule/L70333/2012/8/8" TargetMode="External"/><Relationship Id="rId804" Type="http://schemas.openxmlformats.org/officeDocument/2006/relationships/hyperlink" Target="http://www.opentraintimes.com/schedule/G21758/2012/8/8" TargetMode="External"/><Relationship Id="rId4" Type="http://schemas.openxmlformats.org/officeDocument/2006/relationships/hyperlink" Target="http://www.opentraintimes.com/schedule/G26100/2012/8/6" TargetMode="External"/><Relationship Id="rId180" Type="http://schemas.openxmlformats.org/officeDocument/2006/relationships/hyperlink" Target="http://www.opentraintimes.com/schedule/L70487/2012/8/7" TargetMode="External"/><Relationship Id="rId236" Type="http://schemas.openxmlformats.org/officeDocument/2006/relationships/hyperlink" Target="http://www.opentraintimes.com/schedule/G20942/2012/8/7" TargetMode="External"/><Relationship Id="rId278" Type="http://schemas.openxmlformats.org/officeDocument/2006/relationships/hyperlink" Target="http://www.opentraintimes.com/schedule/G21589/2012/8/7" TargetMode="External"/><Relationship Id="rId401" Type="http://schemas.openxmlformats.org/officeDocument/2006/relationships/hyperlink" Target="http://www.opentraintimes.com/schedule/G26804/2012/8/7" TargetMode="External"/><Relationship Id="rId443" Type="http://schemas.openxmlformats.org/officeDocument/2006/relationships/hyperlink" Target="http://www.opentraintimes.com/schedule/L70263/2012/8/8" TargetMode="External"/><Relationship Id="rId650" Type="http://schemas.openxmlformats.org/officeDocument/2006/relationships/hyperlink" Target="http://www.opentraintimes.com/schedule/G20633/2012/8/8" TargetMode="External"/><Relationship Id="rId846" Type="http://schemas.openxmlformats.org/officeDocument/2006/relationships/hyperlink" Target="http://www.opentraintimes.com/schedule/G26837/2012/8/8" TargetMode="External"/><Relationship Id="rId888" Type="http://schemas.openxmlformats.org/officeDocument/2006/relationships/hyperlink" Target="http://www.opentraintimes.com/schedule/G26847/2012/8/8" TargetMode="External"/><Relationship Id="rId1031" Type="http://schemas.openxmlformats.org/officeDocument/2006/relationships/hyperlink" Target="http://www.opentraintimes.com/schedule/L70387/2012/8/8" TargetMode="External"/><Relationship Id="rId303" Type="http://schemas.openxmlformats.org/officeDocument/2006/relationships/hyperlink" Target="http://www.opentraintimes.com/schedule/G26581/2012/8/7" TargetMode="External"/><Relationship Id="rId485" Type="http://schemas.openxmlformats.org/officeDocument/2006/relationships/hyperlink" Target="http://www.opentraintimes.com/schedule/G21403/2012/8/8" TargetMode="External"/><Relationship Id="rId692" Type="http://schemas.openxmlformats.org/officeDocument/2006/relationships/hyperlink" Target="http://www.opentraintimes.com/schedule/G26488/2012/8/8" TargetMode="External"/><Relationship Id="rId706" Type="http://schemas.openxmlformats.org/officeDocument/2006/relationships/hyperlink" Target="http://www.opentraintimes.com/schedule/G20791/2012/8/8" TargetMode="External"/><Relationship Id="rId748" Type="http://schemas.openxmlformats.org/officeDocument/2006/relationships/hyperlink" Target="http://www.opentraintimes.com/schedule/L70285/2012/8/8" TargetMode="External"/><Relationship Id="rId913" Type="http://schemas.openxmlformats.org/officeDocument/2006/relationships/hyperlink" Target="http://www.opentraintimes.com/schedule/G26975/2012/8/8" TargetMode="External"/><Relationship Id="rId955" Type="http://schemas.openxmlformats.org/officeDocument/2006/relationships/hyperlink" Target="http://www.opentraintimes.com/schedule/G20752/2012/8/8" TargetMode="External"/><Relationship Id="rId42" Type="http://schemas.openxmlformats.org/officeDocument/2006/relationships/hyperlink" Target="http://www.opentraintimes.com/schedule/G22554/2012/8/7" TargetMode="External"/><Relationship Id="rId84" Type="http://schemas.openxmlformats.org/officeDocument/2006/relationships/hyperlink" Target="http://www.opentraintimes.com/schedule/L70336/2012/8/7" TargetMode="External"/><Relationship Id="rId138" Type="http://schemas.openxmlformats.org/officeDocument/2006/relationships/hyperlink" Target="http://www.opentraintimes.com/schedule/G20555/2012/8/7" TargetMode="External"/><Relationship Id="rId345" Type="http://schemas.openxmlformats.org/officeDocument/2006/relationships/hyperlink" Target="http://www.opentraintimes.com/schedule/G29146/2012/8/7" TargetMode="External"/><Relationship Id="rId387" Type="http://schemas.openxmlformats.org/officeDocument/2006/relationships/hyperlink" Target="http://www.opentraintimes.com/schedule/G24044/2012/8/7" TargetMode="External"/><Relationship Id="rId510" Type="http://schemas.openxmlformats.org/officeDocument/2006/relationships/hyperlink" Target="http://www.opentraintimes.com/schedule/G27076/2012/8/8" TargetMode="External"/><Relationship Id="rId552" Type="http://schemas.openxmlformats.org/officeDocument/2006/relationships/hyperlink" Target="http://www.opentraintimes.com/schedule/G26142/2012/8/8" TargetMode="External"/><Relationship Id="rId594" Type="http://schemas.openxmlformats.org/officeDocument/2006/relationships/hyperlink" Target="http://www.opentraintimes.com/schedule/G21077/2012/8/8" TargetMode="External"/><Relationship Id="rId608" Type="http://schemas.openxmlformats.org/officeDocument/2006/relationships/hyperlink" Target="http://www.opentraintimes.com/schedule/L70519/2012/8/8" TargetMode="External"/><Relationship Id="rId815" Type="http://schemas.openxmlformats.org/officeDocument/2006/relationships/hyperlink" Target="http://www.opentraintimes.com/schedule/G21295/2012/8/8" TargetMode="External"/><Relationship Id="rId997" Type="http://schemas.openxmlformats.org/officeDocument/2006/relationships/hyperlink" Target="http://www.opentraintimes.com/schedule/G29190/2012/8/8" TargetMode="External"/><Relationship Id="rId191" Type="http://schemas.openxmlformats.org/officeDocument/2006/relationships/hyperlink" Target="http://www.opentraintimes.com/schedule/G22034/2012/8/7" TargetMode="External"/><Relationship Id="rId205" Type="http://schemas.openxmlformats.org/officeDocument/2006/relationships/hyperlink" Target="http://www.opentraintimes.com/schedule/G20871/2012/8/7" TargetMode="External"/><Relationship Id="rId247" Type="http://schemas.openxmlformats.org/officeDocument/2006/relationships/hyperlink" Target="http://www.opentraintimes.com/schedule/L70376/2012/8/7" TargetMode="External"/><Relationship Id="rId412" Type="http://schemas.openxmlformats.org/officeDocument/2006/relationships/hyperlink" Target="http://www.opentraintimes.com/schedule/L70423/2012/8/7" TargetMode="External"/><Relationship Id="rId857" Type="http://schemas.openxmlformats.org/officeDocument/2006/relationships/hyperlink" Target="http://www.opentraintimes.com/schedule/G26774/2012/8/8" TargetMode="External"/><Relationship Id="rId899" Type="http://schemas.openxmlformats.org/officeDocument/2006/relationships/hyperlink" Target="http://www.opentraintimes.com/schedule/L70537/2012/8/8" TargetMode="External"/><Relationship Id="rId1000" Type="http://schemas.openxmlformats.org/officeDocument/2006/relationships/hyperlink" Target="http://www.opentraintimes.com/schedule/G06377/2012/8/8" TargetMode="External"/><Relationship Id="rId1042" Type="http://schemas.openxmlformats.org/officeDocument/2006/relationships/hyperlink" Target="http://www.opentraintimes.com/schedule/G29046/2012/8/8" TargetMode="External"/><Relationship Id="rId107" Type="http://schemas.openxmlformats.org/officeDocument/2006/relationships/hyperlink" Target="http://www.opentraintimes.com/schedule/G20838/2012/8/7" TargetMode="External"/><Relationship Id="rId289" Type="http://schemas.openxmlformats.org/officeDocument/2006/relationships/hyperlink" Target="http://www.opentraintimes.com/schedule/L77138/2012/8/7" TargetMode="External"/><Relationship Id="rId454" Type="http://schemas.openxmlformats.org/officeDocument/2006/relationships/hyperlink" Target="http://www.opentraintimes.com/schedule/L70506/2012/8/8" TargetMode="External"/><Relationship Id="rId496" Type="http://schemas.openxmlformats.org/officeDocument/2006/relationships/hyperlink" Target="http://www.opentraintimes.com/schedule/G27046/2012/8/8" TargetMode="External"/><Relationship Id="rId661" Type="http://schemas.openxmlformats.org/officeDocument/2006/relationships/hyperlink" Target="http://www.opentraintimes.com/schedule/L70469/2012/8/8" TargetMode="External"/><Relationship Id="rId717" Type="http://schemas.openxmlformats.org/officeDocument/2006/relationships/hyperlink" Target="http://www.opentraintimes.com/schedule/L77149/2012/8/8" TargetMode="External"/><Relationship Id="rId759" Type="http://schemas.openxmlformats.org/officeDocument/2006/relationships/hyperlink" Target="http://www.opentraintimes.com/schedule/L77143/2012/8/8" TargetMode="External"/><Relationship Id="rId924" Type="http://schemas.openxmlformats.org/officeDocument/2006/relationships/hyperlink" Target="http://www.opentraintimes.com/schedule/G20836/2012/8/8" TargetMode="External"/><Relationship Id="rId966" Type="http://schemas.openxmlformats.org/officeDocument/2006/relationships/hyperlink" Target="http://www.opentraintimes.com/schedule/G29072/2012/8/8" TargetMode="External"/><Relationship Id="rId11" Type="http://schemas.openxmlformats.org/officeDocument/2006/relationships/hyperlink" Target="http://www.opentraintimes.com/schedule/L70403/2012/8/6" TargetMode="External"/><Relationship Id="rId53" Type="http://schemas.openxmlformats.org/officeDocument/2006/relationships/hyperlink" Target="http://www.opentraintimes.com/schedule/G22563/2012/8/7" TargetMode="External"/><Relationship Id="rId149" Type="http://schemas.openxmlformats.org/officeDocument/2006/relationships/hyperlink" Target="http://www.opentraintimes.com/schedule/G29135/2012/8/7" TargetMode="External"/><Relationship Id="rId314" Type="http://schemas.openxmlformats.org/officeDocument/2006/relationships/hyperlink" Target="http://www.opentraintimes.com/schedule/G26599/2012/8/7" TargetMode="External"/><Relationship Id="rId356" Type="http://schemas.openxmlformats.org/officeDocument/2006/relationships/hyperlink" Target="http://www.opentraintimes.com/schedule/G23128/2012/8/7" TargetMode="External"/><Relationship Id="rId398" Type="http://schemas.openxmlformats.org/officeDocument/2006/relationships/hyperlink" Target="http://www.opentraintimes.com/schedule/L70419/2012/8/7" TargetMode="External"/><Relationship Id="rId521" Type="http://schemas.openxmlformats.org/officeDocument/2006/relationships/hyperlink" Target="http://www.opentraintimes.com/schedule/G26015/2012/8/8" TargetMode="External"/><Relationship Id="rId563" Type="http://schemas.openxmlformats.org/officeDocument/2006/relationships/hyperlink" Target="http://www.opentraintimes.com/schedule/L70515/2012/8/8" TargetMode="External"/><Relationship Id="rId619" Type="http://schemas.openxmlformats.org/officeDocument/2006/relationships/hyperlink" Target="http://www.opentraintimes.com/schedule/G26287/2012/8/8" TargetMode="External"/><Relationship Id="rId770" Type="http://schemas.openxmlformats.org/officeDocument/2006/relationships/hyperlink" Target="http://www.opentraintimes.com/schedule/L70286/2012/8/8" TargetMode="External"/><Relationship Id="rId95" Type="http://schemas.openxmlformats.org/officeDocument/2006/relationships/hyperlink" Target="http://www.opentraintimes.com/schedule/G26059/2012/8/7" TargetMode="External"/><Relationship Id="rId160" Type="http://schemas.openxmlformats.org/officeDocument/2006/relationships/hyperlink" Target="http://www.opentraintimes.com/schedule/G22362/2012/8/7" TargetMode="External"/><Relationship Id="rId216" Type="http://schemas.openxmlformats.org/officeDocument/2006/relationships/hyperlink" Target="http://www.opentraintimes.com/schedule/G26467/2012/8/7" TargetMode="External"/><Relationship Id="rId423" Type="http://schemas.openxmlformats.org/officeDocument/2006/relationships/hyperlink" Target="http://www.opentraintimes.com/schedule/L70427/2012/8/8" TargetMode="External"/><Relationship Id="rId826" Type="http://schemas.openxmlformats.org/officeDocument/2006/relationships/hyperlink" Target="http://www.opentraintimes.com/schedule/G29179/2012/8/8" TargetMode="External"/><Relationship Id="rId868" Type="http://schemas.openxmlformats.org/officeDocument/2006/relationships/hyperlink" Target="http://www.opentraintimes.com/schedule/L70353/2012/8/8" TargetMode="External"/><Relationship Id="rId1011" Type="http://schemas.openxmlformats.org/officeDocument/2006/relationships/hyperlink" Target="http://www.opentraintimes.com/schedule/L70401/2012/8/8" TargetMode="External"/><Relationship Id="rId1053" Type="http://schemas.openxmlformats.org/officeDocument/2006/relationships/hyperlink" Target="http://www.opentraintimes.com/schedule/L70413/2012/8/8" TargetMode="External"/><Relationship Id="rId258" Type="http://schemas.openxmlformats.org/officeDocument/2006/relationships/hyperlink" Target="http://www.opentraintimes.com/schedule/L70491/2012/8/7" TargetMode="External"/><Relationship Id="rId465" Type="http://schemas.openxmlformats.org/officeDocument/2006/relationships/hyperlink" Target="http://www.opentraintimes.com/schedule/G29156/2012/8/8" TargetMode="External"/><Relationship Id="rId630" Type="http://schemas.openxmlformats.org/officeDocument/2006/relationships/hyperlink" Target="http://www.opentraintimes.com/schedule/G21461/2012/8/8" TargetMode="External"/><Relationship Id="rId672" Type="http://schemas.openxmlformats.org/officeDocument/2006/relationships/hyperlink" Target="http://www.opentraintimes.com/schedule/G21135/2012/8/8" TargetMode="External"/><Relationship Id="rId728" Type="http://schemas.openxmlformats.org/officeDocument/2006/relationships/hyperlink" Target="http://www.opentraintimes.com/schedule/G22366/2012/8/8" TargetMode="External"/><Relationship Id="rId935" Type="http://schemas.openxmlformats.org/officeDocument/2006/relationships/hyperlink" Target="http://www.opentraintimes.com/schedule/G27021/2012/8/8" TargetMode="External"/><Relationship Id="rId22" Type="http://schemas.openxmlformats.org/officeDocument/2006/relationships/hyperlink" Target="http://www.opentraintimes.com/schedule/G22551/2012/8/7" TargetMode="External"/><Relationship Id="rId64" Type="http://schemas.openxmlformats.org/officeDocument/2006/relationships/hyperlink" Target="http://www.opentraintimes.com/schedule/G26010/2012/8/7" TargetMode="External"/><Relationship Id="rId118" Type="http://schemas.openxmlformats.org/officeDocument/2006/relationships/hyperlink" Target="http://www.opentraintimes.com/schedule/L77161/2012/8/7" TargetMode="External"/><Relationship Id="rId325" Type="http://schemas.openxmlformats.org/officeDocument/2006/relationships/hyperlink" Target="http://www.opentraintimes.com/schedule/L70253/2012/8/7" TargetMode="External"/><Relationship Id="rId367" Type="http://schemas.openxmlformats.org/officeDocument/2006/relationships/hyperlink" Target="http://www.opentraintimes.com/schedule/G26731/2012/8/7" TargetMode="External"/><Relationship Id="rId532" Type="http://schemas.openxmlformats.org/officeDocument/2006/relationships/hyperlink" Target="http://www.opentraintimes.com/schedule/G21451/2012/8/8" TargetMode="External"/><Relationship Id="rId574" Type="http://schemas.openxmlformats.org/officeDocument/2006/relationships/hyperlink" Target="http://www.opentraintimes.com/schedule/G26236/2012/8/8" TargetMode="External"/><Relationship Id="rId977" Type="http://schemas.openxmlformats.org/officeDocument/2006/relationships/hyperlink" Target="http://www.opentraintimes.com/schedule/G27027/2012/8/8" TargetMode="External"/><Relationship Id="rId171" Type="http://schemas.openxmlformats.org/officeDocument/2006/relationships/hyperlink" Target="http://www.opentraintimes.com/schedule/G20891/2012/8/7" TargetMode="External"/><Relationship Id="rId227" Type="http://schemas.openxmlformats.org/officeDocument/2006/relationships/hyperlink" Target="http://www.opentraintimes.com/schedule/L70372/2012/8/7" TargetMode="External"/><Relationship Id="rId781" Type="http://schemas.openxmlformats.org/officeDocument/2006/relationships/hyperlink" Target="http://www.opentraintimes.com/schedule/L70472/2012/8/8" TargetMode="External"/><Relationship Id="rId837" Type="http://schemas.openxmlformats.org/officeDocument/2006/relationships/hyperlink" Target="http://www.opentraintimes.com/schedule/L70290/2012/8/8" TargetMode="External"/><Relationship Id="rId879" Type="http://schemas.openxmlformats.org/officeDocument/2006/relationships/hyperlink" Target="http://www.opentraintimes.com/schedule/L70357/2012/8/8" TargetMode="External"/><Relationship Id="rId1022" Type="http://schemas.openxmlformats.org/officeDocument/2006/relationships/hyperlink" Target="http://www.opentraintimes.com/schedule/G27088/2012/8/8" TargetMode="External"/><Relationship Id="rId269" Type="http://schemas.openxmlformats.org/officeDocument/2006/relationships/hyperlink" Target="http://www.opentraintimes.com/schedule/G26570/2012/8/7" TargetMode="External"/><Relationship Id="rId434" Type="http://schemas.openxmlformats.org/officeDocument/2006/relationships/hyperlink" Target="http://www.opentraintimes.com/schedule/G24062/2012/8/8" TargetMode="External"/><Relationship Id="rId476" Type="http://schemas.openxmlformats.org/officeDocument/2006/relationships/hyperlink" Target="http://www.opentraintimes.com/schedule/L70426/2012/8/8" TargetMode="External"/><Relationship Id="rId641" Type="http://schemas.openxmlformats.org/officeDocument/2006/relationships/hyperlink" Target="http://www.opentraintimes.com/schedule/G20678/2012/8/8" TargetMode="External"/><Relationship Id="rId683" Type="http://schemas.openxmlformats.org/officeDocument/2006/relationships/hyperlink" Target="http://www.opentraintimes.com/schedule/G22537/2012/8/8" TargetMode="External"/><Relationship Id="rId739" Type="http://schemas.openxmlformats.org/officeDocument/2006/relationships/hyperlink" Target="http://www.opentraintimes.com/schedule/G26586/2012/8/8" TargetMode="External"/><Relationship Id="rId890" Type="http://schemas.openxmlformats.org/officeDocument/2006/relationships/hyperlink" Target="http://www.opentraintimes.com/schedule/G20928/2012/8/8" TargetMode="External"/><Relationship Id="rId904" Type="http://schemas.openxmlformats.org/officeDocument/2006/relationships/hyperlink" Target="http://www.opentraintimes.com/schedule/G21800/2012/8/8" TargetMode="External"/><Relationship Id="rId1064" Type="http://schemas.openxmlformats.org/officeDocument/2006/relationships/hyperlink" Target="http://www.opentraintimes.com/schedule/L70417/2012/8/8" TargetMode="External"/><Relationship Id="rId33" Type="http://schemas.openxmlformats.org/officeDocument/2006/relationships/hyperlink" Target="http://www.opentraintimes.com/schedule/L70312/2012/8/7" TargetMode="External"/><Relationship Id="rId129" Type="http://schemas.openxmlformats.org/officeDocument/2006/relationships/hyperlink" Target="http://www.opentraintimes.com/schedule/G26186/2012/8/7" TargetMode="External"/><Relationship Id="rId280" Type="http://schemas.openxmlformats.org/officeDocument/2006/relationships/hyperlink" Target="http://www.opentraintimes.com/schedule/G20786/2012/8/7" TargetMode="External"/><Relationship Id="rId336" Type="http://schemas.openxmlformats.org/officeDocument/2006/relationships/hyperlink" Target="http://www.opentraintimes.com/schedule/L70254/2012/8/7" TargetMode="External"/><Relationship Id="rId501" Type="http://schemas.openxmlformats.org/officeDocument/2006/relationships/hyperlink" Target="http://www.opentraintimes.com/schedule/G23200/2012/8/8" TargetMode="External"/><Relationship Id="rId543" Type="http://schemas.openxmlformats.org/officeDocument/2006/relationships/hyperlink" Target="http://www.opentraintimes.com/schedule/G26111/2012/8/8" TargetMode="External"/><Relationship Id="rId946" Type="http://schemas.openxmlformats.org/officeDocument/2006/relationships/hyperlink" Target="http://www.opentraintimes.com/schedule/G29186/2012/8/8" TargetMode="External"/><Relationship Id="rId988" Type="http://schemas.openxmlformats.org/officeDocument/2006/relationships/hyperlink" Target="http://www.opentraintimes.com/schedule/G20999/2012/8/8" TargetMode="External"/><Relationship Id="rId75" Type="http://schemas.openxmlformats.org/officeDocument/2006/relationships/hyperlink" Target="http://www.opentraintimes.com/schedule/G26044/2012/8/7" TargetMode="External"/><Relationship Id="rId140" Type="http://schemas.openxmlformats.org/officeDocument/2006/relationships/hyperlink" Target="http://www.opentraintimes.com/schedule/G26217/2012/8/7" TargetMode="External"/><Relationship Id="rId182" Type="http://schemas.openxmlformats.org/officeDocument/2006/relationships/hyperlink" Target="http://www.opentraintimes.com/schedule/G22380/2012/8/7" TargetMode="External"/><Relationship Id="rId378" Type="http://schemas.openxmlformats.org/officeDocument/2006/relationships/hyperlink" Target="http://www.opentraintimes.com/schedule/G26750/2012/8/7" TargetMode="External"/><Relationship Id="rId403" Type="http://schemas.openxmlformats.org/officeDocument/2006/relationships/hyperlink" Target="http://www.opentraintimes.com/schedule/G20962/2012/8/7" TargetMode="External"/><Relationship Id="rId585" Type="http://schemas.openxmlformats.org/officeDocument/2006/relationships/hyperlink" Target="http://www.opentraintimes.com/schedule/G29166/2012/8/8" TargetMode="External"/><Relationship Id="rId750" Type="http://schemas.openxmlformats.org/officeDocument/2006/relationships/hyperlink" Target="http://www.opentraintimes.com/schedule/G21943/2012/8/8" TargetMode="External"/><Relationship Id="rId792" Type="http://schemas.openxmlformats.org/officeDocument/2006/relationships/hyperlink" Target="http://www.opentraintimes.com/schedule/G22422/2012/8/8" TargetMode="External"/><Relationship Id="rId806" Type="http://schemas.openxmlformats.org/officeDocument/2006/relationships/hyperlink" Target="http://www.opentraintimes.com/schedule/G29178/2012/8/8" TargetMode="External"/><Relationship Id="rId848" Type="http://schemas.openxmlformats.org/officeDocument/2006/relationships/hyperlink" Target="http://www.opentraintimes.com/schedule/G26755/2012/8/8" TargetMode="External"/><Relationship Id="rId1033" Type="http://schemas.openxmlformats.org/officeDocument/2006/relationships/hyperlink" Target="http://www.opentraintimes.com/schedule/G29090/2012/8/8" TargetMode="External"/><Relationship Id="rId6" Type="http://schemas.openxmlformats.org/officeDocument/2006/relationships/hyperlink" Target="http://www.opentraintimes.com/schedule/L70421/2012/8/7" TargetMode="External"/><Relationship Id="rId238" Type="http://schemas.openxmlformats.org/officeDocument/2006/relationships/hyperlink" Target="http://www.opentraintimes.com/schedule/L70354/2012/8/7" TargetMode="External"/><Relationship Id="rId445" Type="http://schemas.openxmlformats.org/officeDocument/2006/relationships/hyperlink" Target="http://www.opentraintimes.com/schedule/G29155/2012/8/8" TargetMode="External"/><Relationship Id="rId487" Type="http://schemas.openxmlformats.org/officeDocument/2006/relationships/hyperlink" Target="http://www.opentraintimes.com/schedule/L70430/2012/8/8" TargetMode="External"/><Relationship Id="rId610" Type="http://schemas.openxmlformats.org/officeDocument/2006/relationships/hyperlink" Target="http://www.opentraintimes.com/schedule/G24156/2012/8/8" TargetMode="External"/><Relationship Id="rId652" Type="http://schemas.openxmlformats.org/officeDocument/2006/relationships/hyperlink" Target="http://www.opentraintimes.com/schedule/L70458/2012/8/8" TargetMode="External"/><Relationship Id="rId694" Type="http://schemas.openxmlformats.org/officeDocument/2006/relationships/hyperlink" Target="http://www.opentraintimes.com/schedule/G20648/2012/8/8" TargetMode="External"/><Relationship Id="rId708" Type="http://schemas.openxmlformats.org/officeDocument/2006/relationships/hyperlink" Target="http://www.opentraintimes.com/schedule/G22545/2012/8/8" TargetMode="External"/><Relationship Id="rId915" Type="http://schemas.openxmlformats.org/officeDocument/2006/relationships/hyperlink" Target="http://www.opentraintimes.com/schedule/G26900/2012/8/8" TargetMode="External"/><Relationship Id="rId291" Type="http://schemas.openxmlformats.org/officeDocument/2006/relationships/hyperlink" Target="http://www.opentraintimes.com/schedule/G21598/2012/8/7" TargetMode="External"/><Relationship Id="rId305" Type="http://schemas.openxmlformats.org/officeDocument/2006/relationships/hyperlink" Target="http://www.opentraintimes.com/schedule/G22565/2012/8/7" TargetMode="External"/><Relationship Id="rId347" Type="http://schemas.openxmlformats.org/officeDocument/2006/relationships/hyperlink" Target="http://www.opentraintimes.com/schedule/L70255/2012/8/7" TargetMode="External"/><Relationship Id="rId512" Type="http://schemas.openxmlformats.org/officeDocument/2006/relationships/hyperlink" Target="http://www.opentraintimes.com/schedule/G27038/2012/8/8" TargetMode="External"/><Relationship Id="rId957" Type="http://schemas.openxmlformats.org/officeDocument/2006/relationships/hyperlink" Target="http://www.opentraintimes.com/schedule/L70542/2012/8/8" TargetMode="External"/><Relationship Id="rId999" Type="http://schemas.openxmlformats.org/officeDocument/2006/relationships/hyperlink" Target="http://www.opentraintimes.com/schedule/L70397/2012/8/8" TargetMode="External"/><Relationship Id="rId44" Type="http://schemas.openxmlformats.org/officeDocument/2006/relationships/hyperlink" Target="http://www.opentraintimes.com/schedule/L70313/2012/8/6" TargetMode="External"/><Relationship Id="rId86" Type="http://schemas.openxmlformats.org/officeDocument/2006/relationships/hyperlink" Target="http://www.opentraintimes.com/schedule/G22322/2012/8/7" TargetMode="External"/><Relationship Id="rId151" Type="http://schemas.openxmlformats.org/officeDocument/2006/relationships/hyperlink" Target="http://www.opentraintimes.com/schedule/G26248/2012/8/7" TargetMode="External"/><Relationship Id="rId389" Type="http://schemas.openxmlformats.org/officeDocument/2006/relationships/hyperlink" Target="http://www.opentraintimes.com/schedule/G21391/2012/8/7" TargetMode="External"/><Relationship Id="rId554" Type="http://schemas.openxmlformats.org/officeDocument/2006/relationships/hyperlink" Target="http://www.opentraintimes.com/schedule/L70272/2012/8/8" TargetMode="External"/><Relationship Id="rId596" Type="http://schemas.openxmlformats.org/officeDocument/2006/relationships/hyperlink" Target="http://www.opentraintimes.com/schedule/G23250/2012/8/8" TargetMode="External"/><Relationship Id="rId761" Type="http://schemas.openxmlformats.org/officeDocument/2006/relationships/hyperlink" Target="http://www.opentraintimes.com/schedule/G22486/2012/8/8" TargetMode="External"/><Relationship Id="rId817" Type="http://schemas.openxmlformats.org/officeDocument/2006/relationships/hyperlink" Target="http://www.opentraintimes.com/schedule/G22430/2012/8/8" TargetMode="External"/><Relationship Id="rId859" Type="http://schemas.openxmlformats.org/officeDocument/2006/relationships/hyperlink" Target="http://www.opentraintimes.com/schedule/G20799/2012/8/8" TargetMode="External"/><Relationship Id="rId1002" Type="http://schemas.openxmlformats.org/officeDocument/2006/relationships/hyperlink" Target="http://www.opentraintimes.com/schedule/G21822/2012/8/8" TargetMode="External"/><Relationship Id="rId193" Type="http://schemas.openxmlformats.org/officeDocument/2006/relationships/hyperlink" Target="http://www.opentraintimes.com/schedule/G29119/2012/8/7" TargetMode="External"/><Relationship Id="rId207" Type="http://schemas.openxmlformats.org/officeDocument/2006/relationships/hyperlink" Target="http://www.opentraintimes.com/schedule/G26401/2012/8/7" TargetMode="External"/><Relationship Id="rId249" Type="http://schemas.openxmlformats.org/officeDocument/2006/relationships/hyperlink" Target="http://www.opentraintimes.com/schedule/G21580/2012/8/7" TargetMode="External"/><Relationship Id="rId414" Type="http://schemas.openxmlformats.org/officeDocument/2006/relationships/hyperlink" Target="http://www.opentraintimes.com/schedule/G26888/2012/8/7" TargetMode="External"/><Relationship Id="rId456" Type="http://schemas.openxmlformats.org/officeDocument/2006/relationships/hyperlink" Target="http://www.opentraintimes.com/schedule/G26971/2012/8/8" TargetMode="External"/><Relationship Id="rId498" Type="http://schemas.openxmlformats.org/officeDocument/2006/relationships/hyperlink" Target="http://www.opentraintimes.com/schedule/G21091/2012/8/8" TargetMode="External"/><Relationship Id="rId621" Type="http://schemas.openxmlformats.org/officeDocument/2006/relationships/hyperlink" Target="http://www.opentraintimes.com/schedule/L77139/2012/8/8" TargetMode="External"/><Relationship Id="rId663" Type="http://schemas.openxmlformats.org/officeDocument/2006/relationships/hyperlink" Target="http://www.opentraintimes.com/schedule/G21455/2012/8/8" TargetMode="External"/><Relationship Id="rId870" Type="http://schemas.openxmlformats.org/officeDocument/2006/relationships/hyperlink" Target="http://www.opentraintimes.com/schedule/G26892/2012/8/8" TargetMode="External"/><Relationship Id="rId1044" Type="http://schemas.openxmlformats.org/officeDocument/2006/relationships/hyperlink" Target="http://www.opentraintimes.com/schedule/G21527/2012/8/8" TargetMode="External"/><Relationship Id="rId13" Type="http://schemas.openxmlformats.org/officeDocument/2006/relationships/hyperlink" Target="http://www.opentraintimes.com/schedule/G07386/2012/8/7" TargetMode="External"/><Relationship Id="rId109" Type="http://schemas.openxmlformats.org/officeDocument/2006/relationships/hyperlink" Target="http://www.opentraintimes.com/schedule/L70344/2012/8/7" TargetMode="External"/><Relationship Id="rId260" Type="http://schemas.openxmlformats.org/officeDocument/2006/relationships/hyperlink" Target="http://www.opentraintimes.com/schedule/G29140/2012/8/7" TargetMode="External"/><Relationship Id="rId316" Type="http://schemas.openxmlformats.org/officeDocument/2006/relationships/hyperlink" Target="http://www.opentraintimes.com/schedule/G20627/2012/8/7" TargetMode="External"/><Relationship Id="rId523" Type="http://schemas.openxmlformats.org/officeDocument/2006/relationships/hyperlink" Target="http://www.opentraintimes.com/schedule/G27054/2012/8/8" TargetMode="External"/><Relationship Id="rId719" Type="http://schemas.openxmlformats.org/officeDocument/2006/relationships/hyperlink" Target="http://www.opentraintimes.com/schedule/L77142/2012/8/8" TargetMode="External"/><Relationship Id="rId926" Type="http://schemas.openxmlformats.org/officeDocument/2006/relationships/hyperlink" Target="http://www.opentraintimes.com/schedule/L70297/2012/8/8" TargetMode="External"/><Relationship Id="rId968" Type="http://schemas.openxmlformats.org/officeDocument/2006/relationships/hyperlink" Target="http://www.opentraintimes.com/schedule/G27080/2012/8/8" TargetMode="External"/><Relationship Id="rId55" Type="http://schemas.openxmlformats.org/officeDocument/2006/relationships/hyperlink" Target="http://www.opentraintimes.com/schedule/G22484/2012/8/7" TargetMode="External"/><Relationship Id="rId97" Type="http://schemas.openxmlformats.org/officeDocument/2006/relationships/hyperlink" Target="http://www.opentraintimes.com/schedule/L70340/2012/8/7" TargetMode="External"/><Relationship Id="rId120" Type="http://schemas.openxmlformats.org/officeDocument/2006/relationships/hyperlink" Target="http://www.opentraintimes.com/schedule/L70348/2012/8/7" TargetMode="External"/><Relationship Id="rId358" Type="http://schemas.openxmlformats.org/officeDocument/2006/relationships/hyperlink" Target="http://www.opentraintimes.com/schedule/G21621/2012/8/7" TargetMode="External"/><Relationship Id="rId565" Type="http://schemas.openxmlformats.org/officeDocument/2006/relationships/hyperlink" Target="http://www.opentraintimes.com/schedule/L70273/2012/8/8" TargetMode="External"/><Relationship Id="rId730" Type="http://schemas.openxmlformats.org/officeDocument/2006/relationships/hyperlink" Target="http://www.opentraintimes.com/schedule/G21938/2012/8/8" TargetMode="External"/><Relationship Id="rId772" Type="http://schemas.openxmlformats.org/officeDocument/2006/relationships/hyperlink" Target="http://www.opentraintimes.com/schedule/G22490/2012/8/8" TargetMode="External"/><Relationship Id="rId828" Type="http://schemas.openxmlformats.org/officeDocument/2006/relationships/hyperlink" Target="http://www.opentraintimes.com/schedule/G20682/2012/8/8" TargetMode="External"/><Relationship Id="rId1013" Type="http://schemas.openxmlformats.org/officeDocument/2006/relationships/hyperlink" Target="http://www.opentraintimes.com/schedule/G27072/2012/8/8" TargetMode="External"/><Relationship Id="rId162" Type="http://schemas.openxmlformats.org/officeDocument/2006/relationships/hyperlink" Target="http://www.opentraintimes.com/schedule/G06358/2012/8/7" TargetMode="External"/><Relationship Id="rId218" Type="http://schemas.openxmlformats.org/officeDocument/2006/relationships/hyperlink" Target="http://www.opentraintimes.com/schedule/G21567/2012/8/7" TargetMode="External"/><Relationship Id="rId425" Type="http://schemas.openxmlformats.org/officeDocument/2006/relationships/hyperlink" Target="http://www.opentraintimes.com/schedule/G26905/2012/8/8" TargetMode="External"/><Relationship Id="rId467" Type="http://schemas.openxmlformats.org/officeDocument/2006/relationships/hyperlink" Target="http://www.opentraintimes.com/schedule/L70507/2012/8/8" TargetMode="External"/><Relationship Id="rId632" Type="http://schemas.openxmlformats.org/officeDocument/2006/relationships/hyperlink" Target="http://www.opentraintimes.com/schedule/G22524/2012/8/8" TargetMode="External"/><Relationship Id="rId1055" Type="http://schemas.openxmlformats.org/officeDocument/2006/relationships/hyperlink" Target="http://www.opentraintimes.com/schedule/G21842/2012/8/8" TargetMode="External"/><Relationship Id="rId271" Type="http://schemas.openxmlformats.org/officeDocument/2006/relationships/hyperlink" Target="http://www.opentraintimes.com/schedule/G21880/2012/8/7" TargetMode="External"/><Relationship Id="rId674" Type="http://schemas.openxmlformats.org/officeDocument/2006/relationships/hyperlink" Target="http://www.opentraintimes.com/schedule/G26531/2012/8/8" TargetMode="External"/><Relationship Id="rId881" Type="http://schemas.openxmlformats.org/officeDocument/2006/relationships/hyperlink" Target="http://www.opentraintimes.com/schedule/G26909/2012/8/8" TargetMode="External"/><Relationship Id="rId937" Type="http://schemas.openxmlformats.org/officeDocument/2006/relationships/hyperlink" Target="http://www.opentraintimes.com/schedule/G20973/2012/8/8" TargetMode="External"/><Relationship Id="rId979" Type="http://schemas.openxmlformats.org/officeDocument/2006/relationships/hyperlink" Target="http://www.opentraintimes.com/schedule/G20028/2012/8/8" TargetMode="External"/><Relationship Id="rId24" Type="http://schemas.openxmlformats.org/officeDocument/2006/relationships/hyperlink" Target="http://www.opentraintimes.com/schedule/G26424/2012/8/7" TargetMode="External"/><Relationship Id="rId66" Type="http://schemas.openxmlformats.org/officeDocument/2006/relationships/hyperlink" Target="http://www.opentraintimes.com/schedule/G22313/2012/8/7" TargetMode="External"/><Relationship Id="rId131" Type="http://schemas.openxmlformats.org/officeDocument/2006/relationships/hyperlink" Target="http://www.opentraintimes.com/schedule/G21543/2012/8/7" TargetMode="External"/><Relationship Id="rId327" Type="http://schemas.openxmlformats.org/officeDocument/2006/relationships/hyperlink" Target="http://www.opentraintimes.com/schedule/L70396/2012/8/7" TargetMode="External"/><Relationship Id="rId369" Type="http://schemas.openxmlformats.org/officeDocument/2006/relationships/hyperlink" Target="http://www.opentraintimes.com/schedule/G29148/2012/8/7" TargetMode="External"/><Relationship Id="rId534" Type="http://schemas.openxmlformats.org/officeDocument/2006/relationships/hyperlink" Target="http://www.opentraintimes.com/schedule/G26079/2012/8/8" TargetMode="External"/><Relationship Id="rId576" Type="http://schemas.openxmlformats.org/officeDocument/2006/relationships/hyperlink" Target="http://www.opentraintimes.com/schedule/L70274/2012/8/8" TargetMode="External"/><Relationship Id="rId741" Type="http://schemas.openxmlformats.org/officeDocument/2006/relationships/hyperlink" Target="http://www.opentraintimes.com/schedule/L70468/2012/8/8" TargetMode="External"/><Relationship Id="rId783" Type="http://schemas.openxmlformats.org/officeDocument/2006/relationships/hyperlink" Target="http://www.opentraintimes.com/schedule/L70529/2012/8/8" TargetMode="External"/><Relationship Id="rId839" Type="http://schemas.openxmlformats.org/officeDocument/2006/relationships/hyperlink" Target="http://www.opentraintimes.com/schedule/G20857/2012/8/8" TargetMode="External"/><Relationship Id="rId990" Type="http://schemas.openxmlformats.org/officeDocument/2006/relationships/hyperlink" Target="http://www.opentraintimes.com/schedule/G29042/2012/8/8" TargetMode="External"/><Relationship Id="rId173" Type="http://schemas.openxmlformats.org/officeDocument/2006/relationships/hyperlink" Target="http://www.opentraintimes.com/schedule/L77135/2012/8/7" TargetMode="External"/><Relationship Id="rId229" Type="http://schemas.openxmlformats.org/officeDocument/2006/relationships/hyperlink" Target="http://www.opentraintimes.com/schedule/G26497/2012/8/7" TargetMode="External"/><Relationship Id="rId380" Type="http://schemas.openxmlformats.org/officeDocument/2006/relationships/hyperlink" Target="http://www.opentraintimes.com/schedule/L70500/2012/8/7" TargetMode="External"/><Relationship Id="rId436" Type="http://schemas.openxmlformats.org/officeDocument/2006/relationships/hyperlink" Target="http://www.opentraintimes.com/schedule/G21439/2012/8/8" TargetMode="External"/><Relationship Id="rId601" Type="http://schemas.openxmlformats.org/officeDocument/2006/relationships/hyperlink" Target="http://www.opentraintimes.com/schedule/L70461/2012/8/8" TargetMode="External"/><Relationship Id="rId643" Type="http://schemas.openxmlformats.org/officeDocument/2006/relationships/hyperlink" Target="http://www.opentraintimes.com/schedule/G22298/2012/8/8" TargetMode="External"/><Relationship Id="rId1024" Type="http://schemas.openxmlformats.org/officeDocument/2006/relationships/hyperlink" Target="http://www.opentraintimes.com/schedule/G29192/2012/8/8" TargetMode="External"/><Relationship Id="rId1066" Type="http://schemas.openxmlformats.org/officeDocument/2006/relationships/hyperlink" Target="http://www.opentraintimes.com/schedule/G26304/2012/8/8" TargetMode="External"/><Relationship Id="rId240" Type="http://schemas.openxmlformats.org/officeDocument/2006/relationships/hyperlink" Target="http://www.opentraintimes.com/schedule/L70490/2012/8/7" TargetMode="External"/><Relationship Id="rId478" Type="http://schemas.openxmlformats.org/officeDocument/2006/relationships/hyperlink" Target="http://www.opentraintimes.com/schedule/G27017/2012/8/8" TargetMode="External"/><Relationship Id="rId685" Type="http://schemas.openxmlformats.org/officeDocument/2006/relationships/hyperlink" Target="http://www.opentraintimes.com/schedule/L70462/2012/8/8" TargetMode="External"/><Relationship Id="rId850" Type="http://schemas.openxmlformats.org/officeDocument/2006/relationships/hyperlink" Target="http://www.opentraintimes.com/schedule/L70533/2012/8/8" TargetMode="External"/><Relationship Id="rId892" Type="http://schemas.openxmlformats.org/officeDocument/2006/relationships/hyperlink" Target="http://www.opentraintimes.com/schedule/L70361/2012/8/8" TargetMode="External"/><Relationship Id="rId906" Type="http://schemas.openxmlformats.org/officeDocument/2006/relationships/hyperlink" Target="http://www.opentraintimes.com/schedule/G26883/2012/8/8" TargetMode="External"/><Relationship Id="rId948" Type="http://schemas.openxmlformats.org/officeDocument/2006/relationships/hyperlink" Target="http://www.opentraintimes.com/schedule/L70299/2012/8/8" TargetMode="External"/><Relationship Id="rId35" Type="http://schemas.openxmlformats.org/officeDocument/2006/relationships/hyperlink" Target="http://www.opentraintimes.com/schedule/G26196/2012/8/7" TargetMode="External"/><Relationship Id="rId77" Type="http://schemas.openxmlformats.org/officeDocument/2006/relationships/hyperlink" Target="http://www.opentraintimes.com/schedule/G20815/2012/8/7" TargetMode="External"/><Relationship Id="rId100" Type="http://schemas.openxmlformats.org/officeDocument/2006/relationships/hyperlink" Target="http://www.opentraintimes.com/schedule/G29943/2012/8/7" TargetMode="External"/><Relationship Id="rId282" Type="http://schemas.openxmlformats.org/officeDocument/2006/relationships/hyperlink" Target="http://www.opentraintimes.com/schedule/L70250/2012/8/7" TargetMode="External"/><Relationship Id="rId338" Type="http://schemas.openxmlformats.org/officeDocument/2006/relationships/hyperlink" Target="http://www.opentraintimes.com/schedule/G24034/2012/8/7" TargetMode="External"/><Relationship Id="rId503" Type="http://schemas.openxmlformats.org/officeDocument/2006/relationships/hyperlink" Target="http://www.opentraintimes.com/schedule/G21673/2012/8/8" TargetMode="External"/><Relationship Id="rId545" Type="http://schemas.openxmlformats.org/officeDocument/2006/relationships/hyperlink" Target="http://www.opentraintimes.com/schedule/G26000/2012/8/8" TargetMode="External"/><Relationship Id="rId587" Type="http://schemas.openxmlformats.org/officeDocument/2006/relationships/hyperlink" Target="http://www.opentraintimes.com/schedule/L70275/2012/8/8" TargetMode="External"/><Relationship Id="rId710" Type="http://schemas.openxmlformats.org/officeDocument/2006/relationships/hyperlink" Target="http://www.opentraintimes.com/schedule/G26595/2012/8/8" TargetMode="External"/><Relationship Id="rId752" Type="http://schemas.openxmlformats.org/officeDocument/2006/relationships/hyperlink" Target="http://www.opentraintimes.com/schedule/G22390/2012/8/8" TargetMode="External"/><Relationship Id="rId808" Type="http://schemas.openxmlformats.org/officeDocument/2006/relationships/hyperlink" Target="http://www.opentraintimes.com/schedule/L70288/2012/8/8" TargetMode="External"/><Relationship Id="rId8" Type="http://schemas.openxmlformats.org/officeDocument/2006/relationships/hyperlink" Target="http://www.opentraintimes.com/schedule/G21844/2012/8/6" TargetMode="External"/><Relationship Id="rId142" Type="http://schemas.openxmlformats.org/officeDocument/2006/relationships/hyperlink" Target="http://www.opentraintimes.com/schedule/L77129/2012/8/7" TargetMode="External"/><Relationship Id="rId184" Type="http://schemas.openxmlformats.org/officeDocument/2006/relationships/hyperlink" Target="http://www.opentraintimes.com/schedule/G29137/2012/8/7" TargetMode="External"/><Relationship Id="rId391" Type="http://schemas.openxmlformats.org/officeDocument/2006/relationships/hyperlink" Target="http://www.opentraintimes.com/schedule/L70398/2012/8/7" TargetMode="External"/><Relationship Id="rId405" Type="http://schemas.openxmlformats.org/officeDocument/2006/relationships/hyperlink" Target="http://www.opentraintimes.com/schedule/L70502/2012/8/7" TargetMode="External"/><Relationship Id="rId447" Type="http://schemas.openxmlformats.org/officeDocument/2006/relationships/hyperlink" Target="http://www.opentraintimes.com/schedule/G26955/2012/8/8" TargetMode="External"/><Relationship Id="rId612" Type="http://schemas.openxmlformats.org/officeDocument/2006/relationships/hyperlink" Target="http://www.opentraintimes.com/schedule/G22522/2012/8/8" TargetMode="External"/><Relationship Id="rId794" Type="http://schemas.openxmlformats.org/officeDocument/2006/relationships/hyperlink" Target="http://www.opentraintimes.com/schedule/L77151/2012/8/8" TargetMode="External"/><Relationship Id="rId1035" Type="http://schemas.openxmlformats.org/officeDocument/2006/relationships/hyperlink" Target="http://www.opentraintimes.com/schedule/G26004/2012/8/8" TargetMode="External"/><Relationship Id="rId251" Type="http://schemas.openxmlformats.org/officeDocument/2006/relationships/hyperlink" Target="http://www.opentraintimes.com/schedule/L77137/2012/8/7" TargetMode="External"/><Relationship Id="rId489" Type="http://schemas.openxmlformats.org/officeDocument/2006/relationships/hyperlink" Target="http://www.opentraintimes.com/schedule/L70509/2012/8/8" TargetMode="External"/><Relationship Id="rId654" Type="http://schemas.openxmlformats.org/officeDocument/2006/relationships/hyperlink" Target="http://www.opentraintimes.com/schedule/G21726/2012/8/8" TargetMode="External"/><Relationship Id="rId696" Type="http://schemas.openxmlformats.org/officeDocument/2006/relationships/hyperlink" Target="http://www.opentraintimes.com/schedule/G21471/2012/8/8" TargetMode="External"/><Relationship Id="rId861" Type="http://schemas.openxmlformats.org/officeDocument/2006/relationships/hyperlink" Target="http://www.opentraintimes.com/schedule/L70534/2012/8/8" TargetMode="External"/><Relationship Id="rId917" Type="http://schemas.openxmlformats.org/officeDocument/2006/relationships/hyperlink" Target="http://www.opentraintimes.com/schedule/G22015/2012/8/8" TargetMode="External"/><Relationship Id="rId959" Type="http://schemas.openxmlformats.org/officeDocument/2006/relationships/hyperlink" Target="http://www.opentraintimes.com/schedule/G21809/2012/8/8" TargetMode="External"/><Relationship Id="rId46" Type="http://schemas.openxmlformats.org/officeDocument/2006/relationships/hyperlink" Target="http://www.opentraintimes.com/schedule/G26536/2012/8/7" TargetMode="External"/><Relationship Id="rId293" Type="http://schemas.openxmlformats.org/officeDocument/2006/relationships/hyperlink" Target="http://www.opentraintimes.com/schedule/L70366/2012/8/7" TargetMode="External"/><Relationship Id="rId307" Type="http://schemas.openxmlformats.org/officeDocument/2006/relationships/hyperlink" Target="http://www.opentraintimes.com/schedule/G20910/2012/8/7" TargetMode="External"/><Relationship Id="rId349" Type="http://schemas.openxmlformats.org/officeDocument/2006/relationships/hyperlink" Target="http://www.opentraintimes.com/schedule/L70404/2012/8/7" TargetMode="External"/><Relationship Id="rId514" Type="http://schemas.openxmlformats.org/officeDocument/2006/relationships/hyperlink" Target="http://www.opentraintimes.com/schedule/G24136/2012/8/8" TargetMode="External"/><Relationship Id="rId556" Type="http://schemas.openxmlformats.org/officeDocument/2006/relationships/hyperlink" Target="http://www.opentraintimes.com/schedule/G20664/2012/8/8" TargetMode="External"/><Relationship Id="rId721" Type="http://schemas.openxmlformats.org/officeDocument/2006/relationships/hyperlink" Target="http://www.opentraintimes.com/schedule/G20694/2012/8/8" TargetMode="External"/><Relationship Id="rId763" Type="http://schemas.openxmlformats.org/officeDocument/2006/relationships/hyperlink" Target="http://www.opentraintimes.com/schedule/G21257/2012/8/8" TargetMode="External"/><Relationship Id="rId88" Type="http://schemas.openxmlformats.org/officeDocument/2006/relationships/hyperlink" Target="http://www.opentraintimes.com/schedule/G20826/2012/8/7" TargetMode="External"/><Relationship Id="rId111" Type="http://schemas.openxmlformats.org/officeDocument/2006/relationships/hyperlink" Target="http://www.opentraintimes.com/schedule/L70326/2012/8/7" TargetMode="External"/><Relationship Id="rId153" Type="http://schemas.openxmlformats.org/officeDocument/2006/relationships/hyperlink" Target="http://www.opentraintimes.com/schedule/L70356/2012/8/7" TargetMode="External"/><Relationship Id="rId195" Type="http://schemas.openxmlformats.org/officeDocument/2006/relationships/hyperlink" Target="http://www.opentraintimes.com/schedule/L70346/2012/8/7" TargetMode="External"/><Relationship Id="rId209" Type="http://schemas.openxmlformats.org/officeDocument/2006/relationships/hyperlink" Target="http://www.opentraintimes.com/schedule/G20924/2012/8/7" TargetMode="External"/><Relationship Id="rId360" Type="http://schemas.openxmlformats.org/officeDocument/2006/relationships/hyperlink" Target="http://www.opentraintimes.com/schedule/G26759/2012/8/7" TargetMode="External"/><Relationship Id="rId416" Type="http://schemas.openxmlformats.org/officeDocument/2006/relationships/hyperlink" Target="http://www.opentraintimes.com/schedule/L70406/2012/8/7" TargetMode="External"/><Relationship Id="rId598" Type="http://schemas.openxmlformats.org/officeDocument/2006/relationships/hyperlink" Target="http://www.opentraintimes.com/schedule/G21709/2012/8/8" TargetMode="External"/><Relationship Id="rId819" Type="http://schemas.openxmlformats.org/officeDocument/2006/relationships/hyperlink" Target="http://www.opentraintimes.com/schedule/L70476/2012/8/8" TargetMode="External"/><Relationship Id="rId970" Type="http://schemas.openxmlformats.org/officeDocument/2006/relationships/hyperlink" Target="http://www.opentraintimes.com/schedule/L70367/2012/8/8" TargetMode="External"/><Relationship Id="rId1004" Type="http://schemas.openxmlformats.org/officeDocument/2006/relationships/hyperlink" Target="http://www.opentraintimes.com/schedule/G21012/2012/8/8" TargetMode="External"/><Relationship Id="rId1046" Type="http://schemas.openxmlformats.org/officeDocument/2006/relationships/hyperlink" Target="http://www.opentraintimes.com/schedule/L70549/2012/8/8" TargetMode="External"/><Relationship Id="rId220" Type="http://schemas.openxmlformats.org/officeDocument/2006/relationships/hyperlink" Target="http://www.opentraintimes.com/schedule/G24023/2012/8/7" TargetMode="External"/><Relationship Id="rId458" Type="http://schemas.openxmlformats.org/officeDocument/2006/relationships/hyperlink" Target="http://www.opentraintimes.com/schedule/L70264/2012/8/8" TargetMode="External"/><Relationship Id="rId623" Type="http://schemas.openxmlformats.org/officeDocument/2006/relationships/hyperlink" Target="http://www.opentraintimes.com/schedule/L70520/2012/8/8" TargetMode="External"/><Relationship Id="rId665" Type="http://schemas.openxmlformats.org/officeDocument/2006/relationships/hyperlink" Target="http://www.opentraintimes.com/schedule/G20635/2012/8/8" TargetMode="External"/><Relationship Id="rId830" Type="http://schemas.openxmlformats.org/officeDocument/2006/relationships/hyperlink" Target="http://www.opentraintimes.com/schedule/L77152/2012/8/8" TargetMode="External"/><Relationship Id="rId872" Type="http://schemas.openxmlformats.org/officeDocument/2006/relationships/hyperlink" Target="http://www.opentraintimes.com/schedule/G26809/2012/8/8" TargetMode="External"/><Relationship Id="rId928" Type="http://schemas.openxmlformats.org/officeDocument/2006/relationships/hyperlink" Target="http://www.opentraintimes.com/schedule/L70373/2012/8/8" TargetMode="External"/><Relationship Id="rId15" Type="http://schemas.openxmlformats.org/officeDocument/2006/relationships/hyperlink" Target="http://www.opentraintimes.com/schedule/G26130/2012/8/6" TargetMode="External"/><Relationship Id="rId57" Type="http://schemas.openxmlformats.org/officeDocument/2006/relationships/hyperlink" Target="http://www.opentraintimes.com/schedule/G22494/2012/8/7" TargetMode="External"/><Relationship Id="rId262" Type="http://schemas.openxmlformats.org/officeDocument/2006/relationships/hyperlink" Target="http://www.opentraintimes.com/schedule/G20893/2012/8/7" TargetMode="External"/><Relationship Id="rId318" Type="http://schemas.openxmlformats.org/officeDocument/2006/relationships/hyperlink" Target="http://www.opentraintimes.com/schedule/G26666/2012/8/7" TargetMode="External"/><Relationship Id="rId525" Type="http://schemas.openxmlformats.org/officeDocument/2006/relationships/hyperlink" Target="http://www.opentraintimes.com/schedule/L70512/2012/8/8" TargetMode="External"/><Relationship Id="rId567" Type="http://schemas.openxmlformats.org/officeDocument/2006/relationships/hyperlink" Target="http://www.opentraintimes.com/schedule/G29165/2012/8/8" TargetMode="External"/><Relationship Id="rId732" Type="http://schemas.openxmlformats.org/officeDocument/2006/relationships/hyperlink" Target="http://www.opentraintimes.com/schedule/G20668/2012/8/8" TargetMode="External"/><Relationship Id="rId99" Type="http://schemas.openxmlformats.org/officeDocument/2006/relationships/hyperlink" Target="http://www.opentraintimes.com/schedule/L70241/2012/8/7" TargetMode="External"/><Relationship Id="rId122" Type="http://schemas.openxmlformats.org/officeDocument/2006/relationships/hyperlink" Target="http://www.opentraintimes.com/schedule/G26231/2012/8/7" TargetMode="External"/><Relationship Id="rId164" Type="http://schemas.openxmlformats.org/officeDocument/2006/relationships/hyperlink" Target="http://www.opentraintimes.com/schedule/L70486/2012/8/7" TargetMode="External"/><Relationship Id="rId371" Type="http://schemas.openxmlformats.org/officeDocument/2006/relationships/hyperlink" Target="http://www.opentraintimes.com/schedule/G24085/2012/8/7" TargetMode="External"/><Relationship Id="rId774" Type="http://schemas.openxmlformats.org/officeDocument/2006/relationships/hyperlink" Target="http://www.opentraintimes.com/schedule/G21481/2012/8/8" TargetMode="External"/><Relationship Id="rId981" Type="http://schemas.openxmlformats.org/officeDocument/2006/relationships/hyperlink" Target="http://www.opentraintimes.com/schedule/L70371/2012/8/8" TargetMode="External"/><Relationship Id="rId1015" Type="http://schemas.openxmlformats.org/officeDocument/2006/relationships/hyperlink" Target="http://www.opentraintimes.com/schedule/G21521/2012/8/8" TargetMode="External"/><Relationship Id="rId1057" Type="http://schemas.openxmlformats.org/officeDocument/2006/relationships/hyperlink" Target="http://www.opentraintimes.com/schedule/G21040/2012/8/8" TargetMode="External"/><Relationship Id="rId427" Type="http://schemas.openxmlformats.org/officeDocument/2006/relationships/hyperlink" Target="http://www.opentraintimes.com/schedule/G21898/2012/8/8" TargetMode="External"/><Relationship Id="rId469" Type="http://schemas.openxmlformats.org/officeDocument/2006/relationships/hyperlink" Target="http://www.opentraintimes.com/schedule/L70265/2012/8/8" TargetMode="External"/><Relationship Id="rId634" Type="http://schemas.openxmlformats.org/officeDocument/2006/relationships/hyperlink" Target="http://www.opentraintimes.com/schedule/G26447/2012/8/8" TargetMode="External"/><Relationship Id="rId676" Type="http://schemas.openxmlformats.org/officeDocument/2006/relationships/hyperlink" Target="http://www.opentraintimes.com/schedule/L70471/2012/8/8" TargetMode="External"/><Relationship Id="rId841" Type="http://schemas.openxmlformats.org/officeDocument/2006/relationships/hyperlink" Target="http://www.opentraintimes.com/schedule/L70345/2012/8/8" TargetMode="External"/><Relationship Id="rId883" Type="http://schemas.openxmlformats.org/officeDocument/2006/relationships/hyperlink" Target="http://www.opentraintimes.com/schedule/G26828/2012/8/8" TargetMode="External"/><Relationship Id="rId26" Type="http://schemas.openxmlformats.org/officeDocument/2006/relationships/hyperlink" Target="http://www.opentraintimes.com/schedule/L70429/2012/8/7" TargetMode="External"/><Relationship Id="rId231" Type="http://schemas.openxmlformats.org/officeDocument/2006/relationships/hyperlink" Target="http://www.opentraintimes.com/schedule/G20587/2012/8/7" TargetMode="External"/><Relationship Id="rId273" Type="http://schemas.openxmlformats.org/officeDocument/2006/relationships/hyperlink" Target="http://www.opentraintimes.com/schedule/G29120/2012/8/7" TargetMode="External"/><Relationship Id="rId329" Type="http://schemas.openxmlformats.org/officeDocument/2006/relationships/hyperlink" Target="http://www.opentraintimes.com/schedule/G26684/2012/8/7" TargetMode="External"/><Relationship Id="rId480" Type="http://schemas.openxmlformats.org/officeDocument/2006/relationships/hyperlink" Target="http://www.opentraintimes.com/schedule/L70266/2012/8/8" TargetMode="External"/><Relationship Id="rId536" Type="http://schemas.openxmlformats.org/officeDocument/2006/relationships/hyperlink" Target="http://www.opentraintimes.com/schedule/G27084/2012/8/8" TargetMode="External"/><Relationship Id="rId701" Type="http://schemas.openxmlformats.org/officeDocument/2006/relationships/hyperlink" Target="http://www.opentraintimes.com/schedule/G22350/2012/8/8" TargetMode="External"/><Relationship Id="rId939" Type="http://schemas.openxmlformats.org/officeDocument/2006/relationships/hyperlink" Target="http://www.opentraintimes.com/schedule/L70298/2012/8/8" TargetMode="External"/><Relationship Id="rId68" Type="http://schemas.openxmlformats.org/officeDocument/2006/relationships/hyperlink" Target="http://www.opentraintimes.com/schedule/G28974/2012/8/7" TargetMode="External"/><Relationship Id="rId133" Type="http://schemas.openxmlformats.org/officeDocument/2006/relationships/hyperlink" Target="http://www.opentraintimes.com/schedule/L70242/2012/8/7" TargetMode="External"/><Relationship Id="rId175" Type="http://schemas.openxmlformats.org/officeDocument/2006/relationships/hyperlink" Target="http://www.opentraintimes.com/schedule/G20567/2012/8/7" TargetMode="External"/><Relationship Id="rId340" Type="http://schemas.openxmlformats.org/officeDocument/2006/relationships/hyperlink" Target="http://www.opentraintimes.com/schedule/G21430/2012/8/7" TargetMode="External"/><Relationship Id="rId578" Type="http://schemas.openxmlformats.org/officeDocument/2006/relationships/hyperlink" Target="http://www.opentraintimes.com/schedule/G24116/2012/8/8" TargetMode="External"/><Relationship Id="rId743" Type="http://schemas.openxmlformats.org/officeDocument/2006/relationships/hyperlink" Target="http://www.opentraintimes.com/schedule/G21245/2012/8/8" TargetMode="External"/><Relationship Id="rId785" Type="http://schemas.openxmlformats.org/officeDocument/2006/relationships/hyperlink" Target="http://www.opentraintimes.com/schedule/G21250/2012/8/8" TargetMode="External"/><Relationship Id="rId950" Type="http://schemas.openxmlformats.org/officeDocument/2006/relationships/hyperlink" Target="http://www.opentraintimes.com/schedule/G27050/2012/8/8" TargetMode="External"/><Relationship Id="rId992" Type="http://schemas.openxmlformats.org/officeDocument/2006/relationships/hyperlink" Target="http://www.opentraintimes.com/schedule/G21517/2012/8/8" TargetMode="External"/><Relationship Id="rId1026" Type="http://schemas.openxmlformats.org/officeDocument/2006/relationships/hyperlink" Target="http://www.opentraintimes.com/schedule/L70405/2012/8/8" TargetMode="External"/><Relationship Id="rId200" Type="http://schemas.openxmlformats.org/officeDocument/2006/relationships/hyperlink" Target="http://www.opentraintimes.com/schedule/G20916/2012/8/7" TargetMode="External"/><Relationship Id="rId382" Type="http://schemas.openxmlformats.org/officeDocument/2006/relationships/hyperlink" Target="http://www.opentraintimes.com/schedule/G26813/2012/8/7" TargetMode="External"/><Relationship Id="rId438" Type="http://schemas.openxmlformats.org/officeDocument/2006/relationships/hyperlink" Target="http://www.opentraintimes.com/schedule/G26938/2012/8/8" TargetMode="External"/><Relationship Id="rId603" Type="http://schemas.openxmlformats.org/officeDocument/2006/relationships/hyperlink" Target="http://www.opentraintimes.com/schedule/L70276/2012/8/8" TargetMode="External"/><Relationship Id="rId645" Type="http://schemas.openxmlformats.org/officeDocument/2006/relationships/hyperlink" Target="http://www.opentraintimes.com/schedule/L70467/2012/8/8" TargetMode="External"/><Relationship Id="rId687" Type="http://schemas.openxmlformats.org/officeDocument/2006/relationships/hyperlink" Target="http://www.opentraintimes.com/schedule/L70524/2012/8/8" TargetMode="External"/><Relationship Id="rId810" Type="http://schemas.openxmlformats.org/officeDocument/2006/relationships/hyperlink" Target="http://www.opentraintimes.com/schedule/G22513/2012/8/8" TargetMode="External"/><Relationship Id="rId852" Type="http://schemas.openxmlformats.org/officeDocument/2006/relationships/hyperlink" Target="http://www.opentraintimes.com/schedule/G22009/2012/8/8" TargetMode="External"/><Relationship Id="rId908" Type="http://schemas.openxmlformats.org/officeDocument/2006/relationships/hyperlink" Target="http://www.opentraintimes.com/schedule/G20825/2012/8/8" TargetMode="External"/><Relationship Id="rId1068" Type="http://schemas.openxmlformats.org/officeDocument/2006/relationships/hyperlink" Target="http://www.opentraintimes.com/schedule/G21531/2012/8/8" TargetMode="External"/><Relationship Id="rId242" Type="http://schemas.openxmlformats.org/officeDocument/2006/relationships/hyperlink" Target="http://www.opentraintimes.com/schedule/G22426/2012/8/7" TargetMode="External"/><Relationship Id="rId284" Type="http://schemas.openxmlformats.org/officeDocument/2006/relationships/hyperlink" Target="http://www.opentraintimes.com/schedule/L70384/2012/8/7" TargetMode="External"/><Relationship Id="rId491" Type="http://schemas.openxmlformats.org/officeDocument/2006/relationships/hyperlink" Target="http://www.opentraintimes.com/schedule/L70267/2012/8/8" TargetMode="External"/><Relationship Id="rId505" Type="http://schemas.openxmlformats.org/officeDocument/2006/relationships/hyperlink" Target="http://www.opentraintimes.com/schedule/G27023/2012/8/8" TargetMode="External"/><Relationship Id="rId712" Type="http://schemas.openxmlformats.org/officeDocument/2006/relationships/hyperlink" Target="http://www.opentraintimes.com/schedule/G20690/2012/8/8" TargetMode="External"/><Relationship Id="rId894" Type="http://schemas.openxmlformats.org/officeDocument/2006/relationships/hyperlink" Target="http://www.opentraintimes.com/schedule/G21501/2012/8/8" TargetMode="External"/><Relationship Id="rId37" Type="http://schemas.openxmlformats.org/officeDocument/2006/relationships/hyperlink" Target="http://www.opentraintimes.com/schedule/L70433/2012/8/7" TargetMode="External"/><Relationship Id="rId79" Type="http://schemas.openxmlformats.org/officeDocument/2006/relationships/hyperlink" Target="http://www.opentraintimes.com/schedule/G26074/2012/8/7" TargetMode="External"/><Relationship Id="rId102" Type="http://schemas.openxmlformats.org/officeDocument/2006/relationships/hyperlink" Target="http://www.opentraintimes.com/schedule/G20013/2012/8/7" TargetMode="External"/><Relationship Id="rId144" Type="http://schemas.openxmlformats.org/officeDocument/2006/relationships/hyperlink" Target="http://www.opentraintimes.com/schedule/G26295/2012/8/7" TargetMode="External"/><Relationship Id="rId547" Type="http://schemas.openxmlformats.org/officeDocument/2006/relationships/hyperlink" Target="http://www.opentraintimes.com/schedule/G21047/2012/8/8" TargetMode="External"/><Relationship Id="rId589" Type="http://schemas.openxmlformats.org/officeDocument/2006/relationships/hyperlink" Target="http://www.opentraintimes.com/schedule/G29167/2012/8/8" TargetMode="External"/><Relationship Id="rId754" Type="http://schemas.openxmlformats.org/officeDocument/2006/relationships/hyperlink" Target="http://www.opentraintimes.com/schedule/G20789/2012/8/8" TargetMode="External"/><Relationship Id="rId796" Type="http://schemas.openxmlformats.org/officeDocument/2006/relationships/hyperlink" Target="http://www.opentraintimes.com/schedule/L77144/2012/8/8" TargetMode="External"/><Relationship Id="rId961" Type="http://schemas.openxmlformats.org/officeDocument/2006/relationships/hyperlink" Target="http://www.opentraintimes.com/schedule/G26997/2012/8/8" TargetMode="External"/><Relationship Id="rId90" Type="http://schemas.openxmlformats.org/officeDocument/2006/relationships/hyperlink" Target="http://www.opentraintimes.com/schedule/G21547/2012/8/7" TargetMode="External"/><Relationship Id="rId186" Type="http://schemas.openxmlformats.org/officeDocument/2006/relationships/hyperlink" Target="http://www.opentraintimes.com/schedule/G20861/2012/8/7" TargetMode="External"/><Relationship Id="rId351" Type="http://schemas.openxmlformats.org/officeDocument/2006/relationships/hyperlink" Target="http://www.opentraintimes.com/schedule/G26740/2012/8/7" TargetMode="External"/><Relationship Id="rId393" Type="http://schemas.openxmlformats.org/officeDocument/2006/relationships/hyperlink" Target="http://www.opentraintimes.com/schedule/L70501/2012/8/7" TargetMode="External"/><Relationship Id="rId407" Type="http://schemas.openxmlformats.org/officeDocument/2006/relationships/hyperlink" Target="http://www.opentraintimes.com/schedule/G21639/2012/8/7" TargetMode="External"/><Relationship Id="rId449" Type="http://schemas.openxmlformats.org/officeDocument/2006/relationships/hyperlink" Target="http://www.opentraintimes.com/schedule/G26914/2012/8/8" TargetMode="External"/><Relationship Id="rId614" Type="http://schemas.openxmlformats.org/officeDocument/2006/relationships/hyperlink" Target="http://www.opentraintimes.com/schedule/G21993/2012/8/8" TargetMode="External"/><Relationship Id="rId656" Type="http://schemas.openxmlformats.org/officeDocument/2006/relationships/hyperlink" Target="http://www.opentraintimes.com/schedule/G26406/2012/8/8" TargetMode="External"/><Relationship Id="rId821" Type="http://schemas.openxmlformats.org/officeDocument/2006/relationships/hyperlink" Target="http://www.opentraintimes.com/schedule/G21291/2012/8/8" TargetMode="External"/><Relationship Id="rId863" Type="http://schemas.openxmlformats.org/officeDocument/2006/relationships/hyperlink" Target="http://www.opentraintimes.com/schedule/G21777/2012/8/8" TargetMode="External"/><Relationship Id="rId1037" Type="http://schemas.openxmlformats.org/officeDocument/2006/relationships/hyperlink" Target="http://www.opentraintimes.com/schedule/L70409/2012/8/8" TargetMode="External"/><Relationship Id="rId211" Type="http://schemas.openxmlformats.org/officeDocument/2006/relationships/hyperlink" Target="http://www.opentraintimes.com/schedule/L77136/2012/8/7" TargetMode="External"/><Relationship Id="rId253" Type="http://schemas.openxmlformats.org/officeDocument/2006/relationships/hyperlink" Target="http://www.opentraintimes.com/schedule/L77132/2012/8/7" TargetMode="External"/><Relationship Id="rId295" Type="http://schemas.openxmlformats.org/officeDocument/2006/relationships/hyperlink" Target="http://www.opentraintimes.com/schedule/G29141/2012/8/7" TargetMode="External"/><Relationship Id="rId309" Type="http://schemas.openxmlformats.org/officeDocument/2006/relationships/hyperlink" Target="http://www.opentraintimes.com/schedule/G20981/2012/8/7" TargetMode="External"/><Relationship Id="rId460" Type="http://schemas.openxmlformats.org/officeDocument/2006/relationships/hyperlink" Target="http://www.opentraintimes.com/schedule/G20651/2012/8/8" TargetMode="External"/><Relationship Id="rId516" Type="http://schemas.openxmlformats.org/officeDocument/2006/relationships/hyperlink" Target="http://www.opentraintimes.com/schedule/L70511/2012/8/8" TargetMode="External"/><Relationship Id="rId698" Type="http://schemas.openxmlformats.org/officeDocument/2006/relationships/hyperlink" Target="http://www.opentraintimes.com/schedule/G22541/2012/8/8" TargetMode="External"/><Relationship Id="rId919" Type="http://schemas.openxmlformats.org/officeDocument/2006/relationships/hyperlink" Target="http://www.opentraintimes.com/schedule/G26989/2012/8/8" TargetMode="External"/><Relationship Id="rId48" Type="http://schemas.openxmlformats.org/officeDocument/2006/relationships/hyperlink" Target="http://www.opentraintimes.com/schedule/G26560/2012/8/7" TargetMode="External"/><Relationship Id="rId113" Type="http://schemas.openxmlformats.org/officeDocument/2006/relationships/hyperlink" Target="http://www.opentraintimes.com/schedule/G26201/2012/8/7" TargetMode="External"/><Relationship Id="rId320" Type="http://schemas.openxmlformats.org/officeDocument/2006/relationships/hyperlink" Target="http://www.opentraintimes.com/schedule/L70374/2012/8/7" TargetMode="External"/><Relationship Id="rId558" Type="http://schemas.openxmlformats.org/officeDocument/2006/relationships/hyperlink" Target="http://www.opentraintimes.com/schedule/G26173/2012/8/8" TargetMode="External"/><Relationship Id="rId723" Type="http://schemas.openxmlformats.org/officeDocument/2006/relationships/hyperlink" Target="http://www.opentraintimes.com/schedule/G26613/2012/8/8" TargetMode="External"/><Relationship Id="rId765" Type="http://schemas.openxmlformats.org/officeDocument/2006/relationships/hyperlink" Target="http://www.opentraintimes.com/schedule/G21231/2012/8/8" TargetMode="External"/><Relationship Id="rId930" Type="http://schemas.openxmlformats.org/officeDocument/2006/relationships/hyperlink" Target="http://www.opentraintimes.com/schedule/G27005/2012/8/8" TargetMode="External"/><Relationship Id="rId972" Type="http://schemas.openxmlformats.org/officeDocument/2006/relationships/hyperlink" Target="http://www.opentraintimes.com/schedule/G20865/2012/8/8" TargetMode="External"/><Relationship Id="rId1006" Type="http://schemas.openxmlformats.org/officeDocument/2006/relationships/hyperlink" Target="http://www.opentraintimes.com/schedule/G06378/2012/8/8" TargetMode="External"/><Relationship Id="rId155" Type="http://schemas.openxmlformats.org/officeDocument/2006/relationships/hyperlink" Target="http://www.opentraintimes.com/schedule/G21563/2012/8/7" TargetMode="External"/><Relationship Id="rId197" Type="http://schemas.openxmlformats.org/officeDocument/2006/relationships/hyperlink" Target="http://www.opentraintimes.com/schedule/G22536/2012/8/7" TargetMode="External"/><Relationship Id="rId362" Type="http://schemas.openxmlformats.org/officeDocument/2006/relationships/hyperlink" Target="http://www.opentraintimes.com/schedule/L70256/2012/8/7" TargetMode="External"/><Relationship Id="rId418" Type="http://schemas.openxmlformats.org/officeDocument/2006/relationships/hyperlink" Target="http://www.opentraintimes.com/schedule/G24099/2012/8/8" TargetMode="External"/><Relationship Id="rId625" Type="http://schemas.openxmlformats.org/officeDocument/2006/relationships/hyperlink" Target="http://www.opentraintimes.com/schedule/G26419/2012/8/8" TargetMode="External"/><Relationship Id="rId832" Type="http://schemas.openxmlformats.org/officeDocument/2006/relationships/hyperlink" Target="http://www.opentraintimes.com/schedule/G20843/2012/8/8" TargetMode="External"/><Relationship Id="rId1048" Type="http://schemas.openxmlformats.org/officeDocument/2006/relationships/hyperlink" Target="http://www.opentraintimes.com/schedule/G26240/2012/8/8" TargetMode="External"/><Relationship Id="rId222" Type="http://schemas.openxmlformats.org/officeDocument/2006/relationships/hyperlink" Target="http://www.opentraintimes.com/schedule/L70247/2012/8/7" TargetMode="External"/><Relationship Id="rId264" Type="http://schemas.openxmlformats.org/officeDocument/2006/relationships/hyperlink" Target="http://www.opentraintimes.com/schedule/L70249/2012/8/7" TargetMode="External"/><Relationship Id="rId471" Type="http://schemas.openxmlformats.org/officeDocument/2006/relationships/hyperlink" Target="http://www.opentraintimes.com/schedule/G29157/2012/8/8" TargetMode="External"/><Relationship Id="rId667" Type="http://schemas.openxmlformats.org/officeDocument/2006/relationships/hyperlink" Target="http://www.opentraintimes.com/schedule/G22318/2012/8/8" TargetMode="External"/><Relationship Id="rId874" Type="http://schemas.openxmlformats.org/officeDocument/2006/relationships/hyperlink" Target="http://www.opentraintimes.com/schedule/G29181/2012/8/8" TargetMode="External"/><Relationship Id="rId17" Type="http://schemas.openxmlformats.org/officeDocument/2006/relationships/hyperlink" Target="http://www.opentraintimes.com/schedule/G26395/2012/8/7" TargetMode="External"/><Relationship Id="rId59" Type="http://schemas.openxmlformats.org/officeDocument/2006/relationships/hyperlink" Target="http://www.opentraintimes.com/schedule/G22305/2012/8/7" TargetMode="External"/><Relationship Id="rId124" Type="http://schemas.openxmlformats.org/officeDocument/2006/relationships/hyperlink" Target="http://www.opentraintimes.com/schedule/G20780/2012/8/7" TargetMode="External"/><Relationship Id="rId527" Type="http://schemas.openxmlformats.org/officeDocument/2006/relationships/hyperlink" Target="http://www.opentraintimes.com/schedule/L70270/2012/8/8" TargetMode="External"/><Relationship Id="rId569" Type="http://schemas.openxmlformats.org/officeDocument/2006/relationships/hyperlink" Target="http://www.opentraintimes.com/schedule/G26204/2012/8/8" TargetMode="External"/><Relationship Id="rId734" Type="http://schemas.openxmlformats.org/officeDocument/2006/relationships/hyperlink" Target="http://www.opentraintimes.com/schedule/G22472/2012/8/8" TargetMode="External"/><Relationship Id="rId776" Type="http://schemas.openxmlformats.org/officeDocument/2006/relationships/hyperlink" Target="http://www.opentraintimes.com/schedule/G26689/2012/8/8" TargetMode="External"/><Relationship Id="rId941" Type="http://schemas.openxmlformats.org/officeDocument/2006/relationships/hyperlink" Target="http://www.opentraintimes.com/schedule/L70377/2012/8/8" TargetMode="External"/><Relationship Id="rId983" Type="http://schemas.openxmlformats.org/officeDocument/2006/relationships/hyperlink" Target="http://www.opentraintimes.com/schedule/G29082/2012/8/8" TargetMode="External"/><Relationship Id="rId70" Type="http://schemas.openxmlformats.org/officeDocument/2006/relationships/hyperlink" Target="http://www.opentraintimes.com/schedule/G20803/2012/8/7" TargetMode="External"/><Relationship Id="rId166" Type="http://schemas.openxmlformats.org/officeDocument/2006/relationships/hyperlink" Target="http://www.opentraintimes.com/schedule/G26356/2012/8/7" TargetMode="External"/><Relationship Id="rId331" Type="http://schemas.openxmlformats.org/officeDocument/2006/relationships/hyperlink" Target="http://www.opentraintimes.com/schedule/G21886/2012/8/7" TargetMode="External"/><Relationship Id="rId373" Type="http://schemas.openxmlformats.org/officeDocument/2006/relationships/hyperlink" Target="http://www.opentraintimes.com/schedule/L70257/2012/8/7" TargetMode="External"/><Relationship Id="rId429" Type="http://schemas.openxmlformats.org/officeDocument/2006/relationships/hyperlink" Target="http://www.opentraintimes.com/schedule/L70504/2012/8/8" TargetMode="External"/><Relationship Id="rId580" Type="http://schemas.openxmlformats.org/officeDocument/2006/relationships/hyperlink" Target="http://www.opentraintimes.com/schedule/G21457/2012/8/8" TargetMode="External"/><Relationship Id="rId636" Type="http://schemas.openxmlformats.org/officeDocument/2006/relationships/hyperlink" Target="http://www.opentraintimes.com/schedule/G29170/2012/8/8" TargetMode="External"/><Relationship Id="rId801" Type="http://schemas.openxmlformats.org/officeDocument/2006/relationships/hyperlink" Target="http://www.opentraintimes.com/schedule/G26726/2012/8/8" TargetMode="External"/><Relationship Id="rId1017" Type="http://schemas.openxmlformats.org/officeDocument/2006/relationships/hyperlink" Target="http://www.opentraintimes.com/schedule/G29080/2012/8/8" TargetMode="External"/><Relationship Id="rId1059" Type="http://schemas.openxmlformats.org/officeDocument/2006/relationships/hyperlink" Target="http://www.opentraintimes.com/schedule/G29093/2012/8/8" TargetMode="External"/><Relationship Id="rId1" Type="http://schemas.openxmlformats.org/officeDocument/2006/relationships/hyperlink" Target="http://www.opentraintimes.com/schedule/L70552/2012/8/7" TargetMode="External"/><Relationship Id="rId233" Type="http://schemas.openxmlformats.org/officeDocument/2006/relationships/hyperlink" Target="http://www.opentraintimes.com/schedule/G29139/2012/8/7" TargetMode="External"/><Relationship Id="rId440" Type="http://schemas.openxmlformats.org/officeDocument/2006/relationships/hyperlink" Target="http://www.opentraintimes.com/schedule/L70414/2012/8/8" TargetMode="External"/><Relationship Id="rId678" Type="http://schemas.openxmlformats.org/officeDocument/2006/relationships/hyperlink" Target="http://www.opentraintimes.com/schedule/G29173/2012/8/8" TargetMode="External"/><Relationship Id="rId843" Type="http://schemas.openxmlformats.org/officeDocument/2006/relationships/hyperlink" Target="http://www.opentraintimes.com/schedule/G07181/2012/8/8" TargetMode="External"/><Relationship Id="rId885" Type="http://schemas.openxmlformats.org/officeDocument/2006/relationships/hyperlink" Target="http://www.opentraintimes.com/schedule/L70536/2012/8/8" TargetMode="External"/><Relationship Id="rId1070" Type="http://schemas.openxmlformats.org/officeDocument/2006/relationships/hyperlink" Target="http://www.opentraintimes.com/schedule/G29088/2012/8/8" TargetMode="External"/><Relationship Id="rId28" Type="http://schemas.openxmlformats.org/officeDocument/2006/relationships/hyperlink" Target="http://www.opentraintimes.com/schedule/G21847/2012/8/7" TargetMode="External"/><Relationship Id="rId275" Type="http://schemas.openxmlformats.org/officeDocument/2006/relationships/hyperlink" Target="http://www.opentraintimes.com/schedule/G22464/2012/8/7" TargetMode="External"/><Relationship Id="rId300" Type="http://schemas.openxmlformats.org/officeDocument/2006/relationships/hyperlink" Target="http://www.opentraintimes.com/schedule/G26628/2012/8/7" TargetMode="External"/><Relationship Id="rId482" Type="http://schemas.openxmlformats.org/officeDocument/2006/relationships/hyperlink" Target="http://www.opentraintimes.com/schedule/G24080/2012/8/8" TargetMode="External"/><Relationship Id="rId538" Type="http://schemas.openxmlformats.org/officeDocument/2006/relationships/hyperlink" Target="http://www.opentraintimes.com/schedule/L70513/2012/8/8" TargetMode="External"/><Relationship Id="rId703" Type="http://schemas.openxmlformats.org/officeDocument/2006/relationships/hyperlink" Target="http://www.opentraintimes.com/schedule/G26517/2012/8/8" TargetMode="External"/><Relationship Id="rId745" Type="http://schemas.openxmlformats.org/officeDocument/2006/relationships/hyperlink" Target="http://www.opentraintimes.com/schedule/G22476/2012/8/8" TargetMode="External"/><Relationship Id="rId910" Type="http://schemas.openxmlformats.org/officeDocument/2006/relationships/hyperlink" Target="http://www.opentraintimes.com/schedule/L70538/2012/8/8" TargetMode="External"/><Relationship Id="rId952" Type="http://schemas.openxmlformats.org/officeDocument/2006/relationships/hyperlink" Target="http://www.opentraintimes.com/schedule/G26983/2012/8/8" TargetMode="External"/><Relationship Id="rId81" Type="http://schemas.openxmlformats.org/officeDocument/2006/relationships/hyperlink" Target="http://www.opentraintimes.com/schedule/G20537/2012/8/7" TargetMode="External"/><Relationship Id="rId135" Type="http://schemas.openxmlformats.org/officeDocument/2006/relationships/hyperlink" Target="http://www.opentraintimes.com/schedule/G23992/2012/8/7" TargetMode="External"/><Relationship Id="rId177" Type="http://schemas.openxmlformats.org/officeDocument/2006/relationships/hyperlink" Target="http://www.opentraintimes.com/schedule/G21360/2012/8/7" TargetMode="External"/><Relationship Id="rId342" Type="http://schemas.openxmlformats.org/officeDocument/2006/relationships/hyperlink" Target="http://www.opentraintimes.com/schedule/G26721/2012/8/7" TargetMode="External"/><Relationship Id="rId384" Type="http://schemas.openxmlformats.org/officeDocument/2006/relationships/hyperlink" Target="http://www.opentraintimes.com/schedule/L70258/2012/8/7" TargetMode="External"/><Relationship Id="rId591" Type="http://schemas.openxmlformats.org/officeDocument/2006/relationships/hyperlink" Target="http://www.opentraintimes.com/schedule/G26300/2012/8/8" TargetMode="External"/><Relationship Id="rId605" Type="http://schemas.openxmlformats.org/officeDocument/2006/relationships/hyperlink" Target="http://www.opentraintimes.com/schedule/G26361/2012/8/8" TargetMode="External"/><Relationship Id="rId787" Type="http://schemas.openxmlformats.org/officeDocument/2006/relationships/hyperlink" Target="http://www.opentraintimes.com/schedule/G26707/2012/8/8" TargetMode="External"/><Relationship Id="rId812" Type="http://schemas.openxmlformats.org/officeDocument/2006/relationships/hyperlink" Target="http://www.opentraintimes.com/schedule/G20718/2012/8/8" TargetMode="External"/><Relationship Id="rId994" Type="http://schemas.openxmlformats.org/officeDocument/2006/relationships/hyperlink" Target="http://www.opentraintimes.com/schedule/L70375/2012/8/8" TargetMode="External"/><Relationship Id="rId1028" Type="http://schemas.openxmlformats.org/officeDocument/2006/relationships/hyperlink" Target="http://www.opentraintimes.com/schedule/G21832/2012/8/8" TargetMode="External"/><Relationship Id="rId202" Type="http://schemas.openxmlformats.org/officeDocument/2006/relationships/hyperlink" Target="http://www.opentraintimes.com/schedule/G22394/2012/8/7" TargetMode="External"/><Relationship Id="rId244" Type="http://schemas.openxmlformats.org/officeDocument/2006/relationships/hyperlink" Target="http://www.opentraintimes.com/schedule/G21869/2012/8/7" TargetMode="External"/><Relationship Id="rId647" Type="http://schemas.openxmlformats.org/officeDocument/2006/relationships/hyperlink" Target="http://www.opentraintimes.com/schedule/G21209/2012/8/8" TargetMode="External"/><Relationship Id="rId689" Type="http://schemas.openxmlformats.org/officeDocument/2006/relationships/hyperlink" Target="http://www.opentraintimes.com/schedule/G29116/2012/8/8" TargetMode="External"/><Relationship Id="rId854" Type="http://schemas.openxmlformats.org/officeDocument/2006/relationships/hyperlink" Target="http://www.opentraintimes.com/schedule/L70349/2012/8/8" TargetMode="External"/><Relationship Id="rId896" Type="http://schemas.openxmlformats.org/officeDocument/2006/relationships/hyperlink" Target="http://www.opentraintimes.com/schedule/G26866/2012/8/8" TargetMode="External"/><Relationship Id="rId39" Type="http://schemas.openxmlformats.org/officeDocument/2006/relationships/hyperlink" Target="http://www.opentraintimes.com/schedule/L70415/2012/8/6" TargetMode="External"/><Relationship Id="rId286" Type="http://schemas.openxmlformats.org/officeDocument/2006/relationships/hyperlink" Target="http://www.opentraintimes.com/schedule/G20019/2012/8/7" TargetMode="External"/><Relationship Id="rId451" Type="http://schemas.openxmlformats.org/officeDocument/2006/relationships/hyperlink" Target="http://www.opentraintimes.com/schedule/G20991/2012/8/8" TargetMode="External"/><Relationship Id="rId493" Type="http://schemas.openxmlformats.org/officeDocument/2006/relationships/hyperlink" Target="http://www.opentraintimes.com/schedule/L70442/2012/8/8" TargetMode="External"/><Relationship Id="rId507" Type="http://schemas.openxmlformats.org/officeDocument/2006/relationships/hyperlink" Target="http://www.opentraintimes.com/schedule/L70444/2012/8/8" TargetMode="External"/><Relationship Id="rId549" Type="http://schemas.openxmlformats.org/officeDocument/2006/relationships/hyperlink" Target="http://www.opentraintimes.com/schedule/L70514/2012/8/8" TargetMode="External"/><Relationship Id="rId714" Type="http://schemas.openxmlformats.org/officeDocument/2006/relationships/hyperlink" Target="http://www.opentraintimes.com/schedule/G26542/2012/8/8" TargetMode="External"/><Relationship Id="rId756" Type="http://schemas.openxmlformats.org/officeDocument/2006/relationships/hyperlink" Target="http://www.opentraintimes.com/schedule/G20676/2012/8/8" TargetMode="External"/><Relationship Id="rId921" Type="http://schemas.openxmlformats.org/officeDocument/2006/relationships/hyperlink" Target="http://www.opentraintimes.com/schedule/L70351/2012/8/8" TargetMode="External"/><Relationship Id="rId50" Type="http://schemas.openxmlformats.org/officeDocument/2006/relationships/hyperlink" Target="http://www.opentraintimes.com/schedule/G26580/2012/8/7" TargetMode="External"/><Relationship Id="rId104" Type="http://schemas.openxmlformats.org/officeDocument/2006/relationships/hyperlink" Target="http://www.opentraintimes.com/schedule/G26168/2012/8/7" TargetMode="External"/><Relationship Id="rId146" Type="http://schemas.openxmlformats.org/officeDocument/2006/relationships/hyperlink" Target="http://www.opentraintimes.com/schedule/L70485/2012/8/7" TargetMode="External"/><Relationship Id="rId188" Type="http://schemas.openxmlformats.org/officeDocument/2006/relationships/hyperlink" Target="http://www.opentraintimes.com/schedule/L70364/2012/8/7" TargetMode="External"/><Relationship Id="rId311" Type="http://schemas.openxmlformats.org/officeDocument/2006/relationships/hyperlink" Target="http://www.opentraintimes.com/schedule/L70494/2012/8/7" TargetMode="External"/><Relationship Id="rId353" Type="http://schemas.openxmlformats.org/officeDocument/2006/relationships/hyperlink" Target="http://www.opentraintimes.com/schedule/G26693/2012/8/7" TargetMode="External"/><Relationship Id="rId395" Type="http://schemas.openxmlformats.org/officeDocument/2006/relationships/hyperlink" Target="http://www.opentraintimes.com/schedule/L70259/2012/8/7" TargetMode="External"/><Relationship Id="rId409" Type="http://schemas.openxmlformats.org/officeDocument/2006/relationships/hyperlink" Target="http://www.opentraintimes.com/schedule/G26823/2012/8/7" TargetMode="External"/><Relationship Id="rId560" Type="http://schemas.openxmlformats.org/officeDocument/2006/relationships/hyperlink" Target="http://www.opentraintimes.com/schedule/L70445/2012/8/8" TargetMode="External"/><Relationship Id="rId798" Type="http://schemas.openxmlformats.org/officeDocument/2006/relationships/hyperlink" Target="http://www.opentraintimes.com/schedule/G20712/2012/8/8" TargetMode="External"/><Relationship Id="rId963" Type="http://schemas.openxmlformats.org/officeDocument/2006/relationships/hyperlink" Target="http://www.opentraintimes.com/schedule/L70385/2012/8/8" TargetMode="External"/><Relationship Id="rId1039" Type="http://schemas.openxmlformats.org/officeDocument/2006/relationships/hyperlink" Target="http://www.opentraintimes.com/schedule/G26208/2012/8/8" TargetMode="External"/><Relationship Id="rId92" Type="http://schemas.openxmlformats.org/officeDocument/2006/relationships/hyperlink" Target="http://www.opentraintimes.com/schedule/G29133/2012/8/7" TargetMode="External"/><Relationship Id="rId213" Type="http://schemas.openxmlformats.org/officeDocument/2006/relationships/hyperlink" Target="http://www.opentraintimes.com/schedule/L77131/2012/8/7" TargetMode="External"/><Relationship Id="rId420" Type="http://schemas.openxmlformats.org/officeDocument/2006/relationships/hyperlink" Target="http://www.opentraintimes.com/schedule/G20977/2012/8/8" TargetMode="External"/><Relationship Id="rId616" Type="http://schemas.openxmlformats.org/officeDocument/2006/relationships/hyperlink" Target="http://www.opentraintimes.com/schedule/G29169/2012/8/8" TargetMode="External"/><Relationship Id="rId658" Type="http://schemas.openxmlformats.org/officeDocument/2006/relationships/hyperlink" Target="http://www.opentraintimes.com/schedule/G22311/2012/8/8" TargetMode="External"/><Relationship Id="rId823" Type="http://schemas.openxmlformats.org/officeDocument/2006/relationships/hyperlink" Target="http://www.opentraintimes.com/schedule/G26783/2012/8/8" TargetMode="External"/><Relationship Id="rId865" Type="http://schemas.openxmlformats.org/officeDocument/2006/relationships/hyperlink" Target="http://www.opentraintimes.com/schedule/G26790/2012/8/8" TargetMode="External"/><Relationship Id="rId1050" Type="http://schemas.openxmlformats.org/officeDocument/2006/relationships/hyperlink" Target="http://www.opentraintimes.com/schedule/G71007/2012/8/8" TargetMode="External"/><Relationship Id="rId255" Type="http://schemas.openxmlformats.org/officeDocument/2006/relationships/hyperlink" Target="http://www.opentraintimes.com/schedule/G26550/2012/8/7" TargetMode="External"/><Relationship Id="rId297" Type="http://schemas.openxmlformats.org/officeDocument/2006/relationships/hyperlink" Target="http://www.opentraintimes.com/schedule/G22564/2012/8/7" TargetMode="External"/><Relationship Id="rId462" Type="http://schemas.openxmlformats.org/officeDocument/2006/relationships/hyperlink" Target="http://www.opentraintimes.com/schedule/G26985/2012/8/8" TargetMode="External"/><Relationship Id="rId518" Type="http://schemas.openxmlformats.org/officeDocument/2006/relationships/hyperlink" Target="http://www.opentraintimes.com/schedule/G21979/2012/8/8" TargetMode="External"/><Relationship Id="rId725" Type="http://schemas.openxmlformats.org/officeDocument/2006/relationships/hyperlink" Target="http://www.opentraintimes.com/schedule/L70526/2012/8/8" TargetMode="External"/><Relationship Id="rId932" Type="http://schemas.openxmlformats.org/officeDocument/2006/relationships/hyperlink" Target="http://www.opentraintimes.com/schedule/G20033/2012/8/8" TargetMode="External"/><Relationship Id="rId115" Type="http://schemas.openxmlformats.org/officeDocument/2006/relationships/hyperlink" Target="http://www.opentraintimes.com/schedule/L70483/2012/8/7" TargetMode="External"/><Relationship Id="rId157" Type="http://schemas.openxmlformats.org/officeDocument/2006/relationships/hyperlink" Target="http://www.opentraintimes.com/schedule/G29136/2012/8/7" TargetMode="External"/><Relationship Id="rId322" Type="http://schemas.openxmlformats.org/officeDocument/2006/relationships/hyperlink" Target="http://www.opentraintimes.com/schedule/G29144/2012/8/7" TargetMode="External"/><Relationship Id="rId364" Type="http://schemas.openxmlformats.org/officeDocument/2006/relationships/hyperlink" Target="http://www.opentraintimes.com/schedule/G20641/2012/8/7" TargetMode="External"/><Relationship Id="rId767" Type="http://schemas.openxmlformats.org/officeDocument/2006/relationships/hyperlink" Target="http://www.opentraintimes.com/schedule/G26624/2012/8/8" TargetMode="External"/><Relationship Id="rId974" Type="http://schemas.openxmlformats.org/officeDocument/2006/relationships/hyperlink" Target="http://www.opentraintimes.com/schedule/G20989/2012/8/8" TargetMode="External"/><Relationship Id="rId1008" Type="http://schemas.openxmlformats.org/officeDocument/2006/relationships/hyperlink" Target="http://www.opentraintimes.com/schedule/G29086/2012/8/8" TargetMode="External"/><Relationship Id="rId61" Type="http://schemas.openxmlformats.org/officeDocument/2006/relationships/hyperlink" Target="http://www.opentraintimes.com/schedule/G23966/2012/8/7" TargetMode="External"/><Relationship Id="rId199" Type="http://schemas.openxmlformats.org/officeDocument/2006/relationships/hyperlink" Target="http://www.opentraintimes.com/schedule/G26371/2012/8/7" TargetMode="External"/><Relationship Id="rId571" Type="http://schemas.openxmlformats.org/officeDocument/2006/relationships/hyperlink" Target="http://www.opentraintimes.com/schedule/G21916/2012/8/8" TargetMode="External"/><Relationship Id="rId627" Type="http://schemas.openxmlformats.org/officeDocument/2006/relationships/hyperlink" Target="http://www.opentraintimes.com/schedule/G26318/2012/8/8" TargetMode="External"/><Relationship Id="rId669" Type="http://schemas.openxmlformats.org/officeDocument/2006/relationships/hyperlink" Target="http://www.opentraintimes.com/schedule/L70460/2012/8/8" TargetMode="External"/><Relationship Id="rId834" Type="http://schemas.openxmlformats.org/officeDocument/2006/relationships/hyperlink" Target="http://www.opentraintimes.com/schedule/G21967/2012/8/8" TargetMode="External"/><Relationship Id="rId876" Type="http://schemas.openxmlformats.org/officeDocument/2006/relationships/hyperlink" Target="http://www.opentraintimes.com/schedule/G20805/2012/8/8" TargetMode="External"/><Relationship Id="rId19" Type="http://schemas.openxmlformats.org/officeDocument/2006/relationships/hyperlink" Target="http://www.opentraintimes.com/schedule/G20955/2012/8/7" TargetMode="External"/><Relationship Id="rId224" Type="http://schemas.openxmlformats.org/officeDocument/2006/relationships/hyperlink" Target="http://www.opentraintimes.com/schedule/G26429/2012/8/7" TargetMode="External"/><Relationship Id="rId266" Type="http://schemas.openxmlformats.org/officeDocument/2006/relationships/hyperlink" Target="http://www.opentraintimes.com/schedule/G24049/2012/8/7" TargetMode="External"/><Relationship Id="rId431" Type="http://schemas.openxmlformats.org/officeDocument/2006/relationships/hyperlink" Target="http://www.opentraintimes.com/schedule/G26879/2012/8/8" TargetMode="External"/><Relationship Id="rId473" Type="http://schemas.openxmlformats.org/officeDocument/2006/relationships/hyperlink" Target="http://www.opentraintimes.com/schedule/G27001/2012/8/8" TargetMode="External"/><Relationship Id="rId529" Type="http://schemas.openxmlformats.org/officeDocument/2006/relationships/hyperlink" Target="http://www.opentraintimes.com/schedule/G21115/2012/8/8" TargetMode="External"/><Relationship Id="rId680" Type="http://schemas.openxmlformats.org/officeDocument/2006/relationships/hyperlink" Target="http://www.opentraintimes.com/schedule/L77148/2012/8/8" TargetMode="External"/><Relationship Id="rId736" Type="http://schemas.openxmlformats.org/officeDocument/2006/relationships/hyperlink" Target="http://www.opentraintimes.com/schedule/G20700/2012/8/8" TargetMode="External"/><Relationship Id="rId901" Type="http://schemas.openxmlformats.org/officeDocument/2006/relationships/hyperlink" Target="http://www.opentraintimes.com/schedule/G23301/2012/8/8" TargetMode="External"/><Relationship Id="rId1061" Type="http://schemas.openxmlformats.org/officeDocument/2006/relationships/hyperlink" Target="http://www.opentraintimes.com/schedule/L70550/2012/8/8" TargetMode="External"/><Relationship Id="rId30" Type="http://schemas.openxmlformats.org/officeDocument/2006/relationships/hyperlink" Target="http://www.opentraintimes.com/schedule/L70411/2012/8/6" TargetMode="External"/><Relationship Id="rId126" Type="http://schemas.openxmlformats.org/officeDocument/2006/relationships/hyperlink" Target="http://www.opentraintimes.com/schedule/G22331/2012/8/7" TargetMode="External"/><Relationship Id="rId168" Type="http://schemas.openxmlformats.org/officeDocument/2006/relationships/hyperlink" Target="http://www.opentraintimes.com/schedule/G20782/2012/8/7" TargetMode="External"/><Relationship Id="rId333" Type="http://schemas.openxmlformats.org/officeDocument/2006/relationships/hyperlink" Target="http://www.opentraintimes.com/schedule/L70496/2012/8/7" TargetMode="External"/><Relationship Id="rId540" Type="http://schemas.openxmlformats.org/officeDocument/2006/relationships/hyperlink" Target="http://www.opentraintimes.com/schedule/G23164/2012/8/8" TargetMode="External"/><Relationship Id="rId778" Type="http://schemas.openxmlformats.org/officeDocument/2006/relationships/hyperlink" Target="http://www.opentraintimes.com/schedule/G21268/2012/8/8" TargetMode="External"/><Relationship Id="rId943" Type="http://schemas.openxmlformats.org/officeDocument/2006/relationships/hyperlink" Target="http://www.opentraintimes.com/schedule/G27034/2012/8/8" TargetMode="External"/><Relationship Id="rId985" Type="http://schemas.openxmlformats.org/officeDocument/2006/relationships/hyperlink" Target="http://www.opentraintimes.com/schedule/L70393/2012/8/8" TargetMode="External"/><Relationship Id="rId1019" Type="http://schemas.openxmlformats.org/officeDocument/2006/relationships/hyperlink" Target="http://www.opentraintimes.com/schedule/L70383/2012/8/8" TargetMode="External"/><Relationship Id="rId72" Type="http://schemas.openxmlformats.org/officeDocument/2006/relationships/hyperlink" Target="http://www.opentraintimes.com/schedule/G25997/2012/8/7" TargetMode="External"/><Relationship Id="rId375" Type="http://schemas.openxmlformats.org/officeDocument/2006/relationships/hyperlink" Target="http://www.opentraintimes.com/schedule/G29149/2012/8/7" TargetMode="External"/><Relationship Id="rId582" Type="http://schemas.openxmlformats.org/officeDocument/2006/relationships/hyperlink" Target="http://www.opentraintimes.com/schedule/L70517/2012/8/8" TargetMode="External"/><Relationship Id="rId638" Type="http://schemas.openxmlformats.org/officeDocument/2006/relationships/hyperlink" Target="http://www.opentraintimes.com/schedule/L70521/2012/8/8" TargetMode="External"/><Relationship Id="rId803" Type="http://schemas.openxmlformats.org/officeDocument/2006/relationships/hyperlink" Target="http://www.opentraintimes.com/schedule/G26680/2012/8/8" TargetMode="External"/><Relationship Id="rId845" Type="http://schemas.openxmlformats.org/officeDocument/2006/relationships/hyperlink" Target="http://www.opentraintimes.com/schedule/G20731/2012/8/8" TargetMode="External"/><Relationship Id="rId1030" Type="http://schemas.openxmlformats.org/officeDocument/2006/relationships/hyperlink" Target="http://www.opentraintimes.com/schedule/G26177/2012/8/8" TargetMode="External"/><Relationship Id="rId3" Type="http://schemas.openxmlformats.org/officeDocument/2006/relationships/hyperlink" Target="http://www.opentraintimes.com/schedule/L70309/2012/8/6" TargetMode="External"/><Relationship Id="rId235" Type="http://schemas.openxmlformats.org/officeDocument/2006/relationships/hyperlink" Target="http://www.opentraintimes.com/schedule/G20883/2012/8/7" TargetMode="External"/><Relationship Id="rId277" Type="http://schemas.openxmlformats.org/officeDocument/2006/relationships/hyperlink" Target="http://www.opentraintimes.com/schedule/L70492/2012/8/7" TargetMode="External"/><Relationship Id="rId400" Type="http://schemas.openxmlformats.org/officeDocument/2006/relationships/hyperlink" Target="http://www.opentraintimes.com/schedule/G26852/2012/8/7" TargetMode="External"/><Relationship Id="rId442" Type="http://schemas.openxmlformats.org/officeDocument/2006/relationships/hyperlink" Target="http://www.opentraintimes.com/schedule/L70505/2012/8/8" TargetMode="External"/><Relationship Id="rId484" Type="http://schemas.openxmlformats.org/officeDocument/2006/relationships/hyperlink" Target="http://www.opentraintimes.com/schedule/G21443/2012/8/8" TargetMode="External"/><Relationship Id="rId705" Type="http://schemas.openxmlformats.org/officeDocument/2006/relationships/hyperlink" Target="http://www.opentraintimes.com/schedule/L70525/2012/8/8" TargetMode="External"/><Relationship Id="rId887" Type="http://schemas.openxmlformats.org/officeDocument/2006/relationships/hyperlink" Target="http://www.opentraintimes.com/schedule/G26926/2012/8/8" TargetMode="External"/><Relationship Id="rId137" Type="http://schemas.openxmlformats.org/officeDocument/2006/relationships/hyperlink" Target="http://www.opentraintimes.com/schedule/L70352/2012/8/7" TargetMode="External"/><Relationship Id="rId302" Type="http://schemas.openxmlformats.org/officeDocument/2006/relationships/hyperlink" Target="http://www.opentraintimes.com/schedule/G21593/2012/8/7" TargetMode="External"/><Relationship Id="rId344" Type="http://schemas.openxmlformats.org/officeDocument/2006/relationships/hyperlink" Target="http://www.opentraintimes.com/schedule/L70382/2012/8/7" TargetMode="External"/><Relationship Id="rId691" Type="http://schemas.openxmlformats.org/officeDocument/2006/relationships/hyperlink" Target="http://www.opentraintimes.com/schedule/L70282/2012/8/8" TargetMode="External"/><Relationship Id="rId747" Type="http://schemas.openxmlformats.org/officeDocument/2006/relationships/hyperlink" Target="http://www.opentraintimes.com/schedule/G21223/2012/8/8" TargetMode="External"/><Relationship Id="rId789" Type="http://schemas.openxmlformats.org/officeDocument/2006/relationships/hyperlink" Target="http://www.opentraintimes.com/schedule/G23254/2012/8/8" TargetMode="External"/><Relationship Id="rId912" Type="http://schemas.openxmlformats.org/officeDocument/2006/relationships/hyperlink" Target="http://www.opentraintimes.com/schedule/G21795/2012/8/8" TargetMode="External"/><Relationship Id="rId954" Type="http://schemas.openxmlformats.org/officeDocument/2006/relationships/hyperlink" Target="http://www.opentraintimes.com/schedule/G20849/2012/8/8" TargetMode="External"/><Relationship Id="rId996" Type="http://schemas.openxmlformats.org/officeDocument/2006/relationships/hyperlink" Target="http://www.opentraintimes.com/schedule/G27058/2012/8/8" TargetMode="External"/><Relationship Id="rId41" Type="http://schemas.openxmlformats.org/officeDocument/2006/relationships/hyperlink" Target="http://www.opentraintimes.com/schedule/G20747/2012/8/7" TargetMode="External"/><Relationship Id="rId83" Type="http://schemas.openxmlformats.org/officeDocument/2006/relationships/hyperlink" Target="http://www.opentraintimes.com/schedule/G21853/2012/8/7" TargetMode="External"/><Relationship Id="rId179" Type="http://schemas.openxmlformats.org/officeDocument/2006/relationships/hyperlink" Target="http://www.opentraintimes.com/schedule/L70342/2012/8/7" TargetMode="External"/><Relationship Id="rId386" Type="http://schemas.openxmlformats.org/officeDocument/2006/relationships/hyperlink" Target="http://www.opentraintimes.com/schedule/L70416/2012/8/7" TargetMode="External"/><Relationship Id="rId551" Type="http://schemas.openxmlformats.org/officeDocument/2006/relationships/hyperlink" Target="http://www.opentraintimes.com/schedule/G21691/2012/8/8" TargetMode="External"/><Relationship Id="rId593" Type="http://schemas.openxmlformats.org/officeDocument/2006/relationships/hyperlink" Target="http://www.opentraintimes.com/schedule/G21164/2012/8/8" TargetMode="External"/><Relationship Id="rId607" Type="http://schemas.openxmlformats.org/officeDocument/2006/relationships/hyperlink" Target="http://www.opentraintimes.com/schedule/G26253/2012/8/8" TargetMode="External"/><Relationship Id="rId649" Type="http://schemas.openxmlformats.org/officeDocument/2006/relationships/hyperlink" Target="http://www.opentraintimes.com/schedule/L77140/2012/8/8" TargetMode="External"/><Relationship Id="rId814" Type="http://schemas.openxmlformats.org/officeDocument/2006/relationships/hyperlink" Target="http://www.opentraintimes.com/schedule/G26764/2012/8/8" TargetMode="External"/><Relationship Id="rId856" Type="http://schemas.openxmlformats.org/officeDocument/2006/relationships/hyperlink" Target="http://www.opentraintimes.com/schedule/G05518/2012/8/8" TargetMode="External"/><Relationship Id="rId190" Type="http://schemas.openxmlformats.org/officeDocument/2006/relationships/hyperlink" Target="http://www.opentraintimes.com/schedule/G26414/2012/8/7" TargetMode="External"/><Relationship Id="rId204" Type="http://schemas.openxmlformats.org/officeDocument/2006/relationships/hyperlink" Target="http://www.opentraintimes.com/schedule/L70246/2012/8/7" TargetMode="External"/><Relationship Id="rId246" Type="http://schemas.openxmlformats.org/officeDocument/2006/relationships/hyperlink" Target="http://www.opentraintimes.com/schedule/G22433/2012/8/7" TargetMode="External"/><Relationship Id="rId288" Type="http://schemas.openxmlformats.org/officeDocument/2006/relationships/hyperlink" Target="http://www.opentraintimes.com/schedule/G21377/2012/8/7" TargetMode="External"/><Relationship Id="rId411" Type="http://schemas.openxmlformats.org/officeDocument/2006/relationships/hyperlink" Target="http://www.opentraintimes.com/schedule/G20644/2012/8/7" TargetMode="External"/><Relationship Id="rId453" Type="http://schemas.openxmlformats.org/officeDocument/2006/relationships/hyperlink" Target="http://www.opentraintimes.com/schedule/G23176/2012/8/8" TargetMode="External"/><Relationship Id="rId509" Type="http://schemas.openxmlformats.org/officeDocument/2006/relationships/hyperlink" Target="http://www.opentraintimes.com/schedule/G20611/2012/8/8" TargetMode="External"/><Relationship Id="rId660" Type="http://schemas.openxmlformats.org/officeDocument/2006/relationships/hyperlink" Target="http://www.opentraintimes.com/schedule/G22529/2012/8/8" TargetMode="External"/><Relationship Id="rId898" Type="http://schemas.openxmlformats.org/officeDocument/2006/relationships/hyperlink" Target="http://www.opentraintimes.com/schedule/G29183/2012/8/8" TargetMode="External"/><Relationship Id="rId1041" Type="http://schemas.openxmlformats.org/officeDocument/2006/relationships/hyperlink" Target="http://www.opentraintimes.com/schedule/G29084/2012/8/8" TargetMode="External"/><Relationship Id="rId106" Type="http://schemas.openxmlformats.org/officeDocument/2006/relationships/hyperlink" Target="http://www.opentraintimes.com/schedule/G26091/2012/8/7" TargetMode="External"/><Relationship Id="rId313" Type="http://schemas.openxmlformats.org/officeDocument/2006/relationships/hyperlink" Target="http://www.opentraintimes.com/schedule/L70252/2012/8/7" TargetMode="External"/><Relationship Id="rId495" Type="http://schemas.openxmlformats.org/officeDocument/2006/relationships/hyperlink" Target="http://www.opentraintimes.com/schedule/G21661/2012/8/8" TargetMode="External"/><Relationship Id="rId716" Type="http://schemas.openxmlformats.org/officeDocument/2006/relationships/hyperlink" Target="http://www.opentraintimes.com/schedule/G21238/2012/8/8" TargetMode="External"/><Relationship Id="rId758" Type="http://schemas.openxmlformats.org/officeDocument/2006/relationships/hyperlink" Target="http://www.opentraintimes.com/schedule/L77150/2012/8/8" TargetMode="External"/><Relationship Id="rId923" Type="http://schemas.openxmlformats.org/officeDocument/2006/relationships/hyperlink" Target="http://www.opentraintimes.com/schedule/G24054/2012/8/8" TargetMode="External"/><Relationship Id="rId965" Type="http://schemas.openxmlformats.org/officeDocument/2006/relationships/hyperlink" Target="http://www.opentraintimes.com/schedule/G29040/2012/8/8" TargetMode="External"/><Relationship Id="rId10" Type="http://schemas.openxmlformats.org/officeDocument/2006/relationships/hyperlink" Target="http://www.opentraintimes.com/schedule/G26366/2012/8/7" TargetMode="External"/><Relationship Id="rId52" Type="http://schemas.openxmlformats.org/officeDocument/2006/relationships/hyperlink" Target="http://www.opentraintimes.com/schedule/G22470/2012/8/7" TargetMode="External"/><Relationship Id="rId94" Type="http://schemas.openxmlformats.org/officeDocument/2006/relationships/hyperlink" Target="http://www.opentraintimes.com/schedule/G26139/2012/8/7" TargetMode="External"/><Relationship Id="rId148" Type="http://schemas.openxmlformats.org/officeDocument/2006/relationships/hyperlink" Target="http://www.opentraintimes.com/schedule/G22353/2012/8/7" TargetMode="External"/><Relationship Id="rId355" Type="http://schemas.openxmlformats.org/officeDocument/2006/relationships/hyperlink" Target="http://www.opentraintimes.com/schedule/G20936/2012/8/7" TargetMode="External"/><Relationship Id="rId397" Type="http://schemas.openxmlformats.org/officeDocument/2006/relationships/hyperlink" Target="http://www.opentraintimes.com/schedule/G29151/2012/8/7" TargetMode="External"/><Relationship Id="rId520" Type="http://schemas.openxmlformats.org/officeDocument/2006/relationships/hyperlink" Target="http://www.opentraintimes.com/schedule/G29161/2012/8/8" TargetMode="External"/><Relationship Id="rId562" Type="http://schemas.openxmlformats.org/officeDocument/2006/relationships/hyperlink" Target="http://www.opentraintimes.com/schedule/G29164/2012/8/8" TargetMode="External"/><Relationship Id="rId618" Type="http://schemas.openxmlformats.org/officeDocument/2006/relationships/hyperlink" Target="http://www.opentraintimes.com/schedule/G21922/2012/8/8" TargetMode="External"/><Relationship Id="rId825" Type="http://schemas.openxmlformats.org/officeDocument/2006/relationships/hyperlink" Target="http://www.opentraintimes.com/schedule/L70341/2012/8/8" TargetMode="External"/><Relationship Id="rId215" Type="http://schemas.openxmlformats.org/officeDocument/2006/relationships/hyperlink" Target="http://www.opentraintimes.com/schedule/G22401/2012/8/7" TargetMode="External"/><Relationship Id="rId257" Type="http://schemas.openxmlformats.org/officeDocument/2006/relationships/hyperlink" Target="http://www.opentraintimes.com/schedule/G20593/2012/8/7" TargetMode="External"/><Relationship Id="rId422" Type="http://schemas.openxmlformats.org/officeDocument/2006/relationships/hyperlink" Target="http://www.opentraintimes.com/schedule/G21963/2012/8/8" TargetMode="External"/><Relationship Id="rId464" Type="http://schemas.openxmlformats.org/officeDocument/2006/relationships/hyperlink" Target="http://www.opentraintimes.com/schedule/L70422/2012/8/8" TargetMode="External"/><Relationship Id="rId867" Type="http://schemas.openxmlformats.org/officeDocument/2006/relationships/hyperlink" Target="http://www.opentraintimes.com/schedule/G20737/2012/8/8" TargetMode="External"/><Relationship Id="rId1010" Type="http://schemas.openxmlformats.org/officeDocument/2006/relationships/hyperlink" Target="http://www.opentraintimes.com/schedule/L70304/2012/8/8" TargetMode="External"/><Relationship Id="rId1052" Type="http://schemas.openxmlformats.org/officeDocument/2006/relationships/hyperlink" Target="http://www.opentraintimes.com/schedule/G20922/2012/8/8" TargetMode="External"/><Relationship Id="rId299" Type="http://schemas.openxmlformats.org/officeDocument/2006/relationships/hyperlink" Target="http://www.opentraintimes.com/schedule/L70388/2012/8/7" TargetMode="External"/><Relationship Id="rId727" Type="http://schemas.openxmlformats.org/officeDocument/2006/relationships/hyperlink" Target="http://www.opentraintimes.com/schedule/G21743/2012/8/8" TargetMode="External"/><Relationship Id="rId934" Type="http://schemas.openxmlformats.org/officeDocument/2006/relationships/hyperlink" Target="http://www.opentraintimes.com/schedule/L70540/2012/8/8" TargetMode="External"/><Relationship Id="rId63" Type="http://schemas.openxmlformats.org/officeDocument/2006/relationships/hyperlink" Target="http://www.opentraintimes.com/schedule/G22920/2012/8/7" TargetMode="External"/><Relationship Id="rId159" Type="http://schemas.openxmlformats.org/officeDocument/2006/relationships/hyperlink" Target="http://www.opentraintimes.com/schedule/G20845/2012/8/7" TargetMode="External"/><Relationship Id="rId366" Type="http://schemas.openxmlformats.org/officeDocument/2006/relationships/hyperlink" Target="http://www.opentraintimes.com/schedule/G26778/2012/8/7" TargetMode="External"/><Relationship Id="rId573" Type="http://schemas.openxmlformats.org/officeDocument/2006/relationships/hyperlink" Target="http://www.opentraintimes.com/schedule/L70516/2012/8/8" TargetMode="External"/><Relationship Id="rId780" Type="http://schemas.openxmlformats.org/officeDocument/2006/relationships/hyperlink" Target="http://www.opentraintimes.com/schedule/G22416/2012/8/8" TargetMode="External"/><Relationship Id="rId226" Type="http://schemas.openxmlformats.org/officeDocument/2006/relationships/hyperlink" Target="http://www.opentraintimes.com/schedule/G20784/2012/8/7" TargetMode="External"/><Relationship Id="rId433" Type="http://schemas.openxmlformats.org/officeDocument/2006/relationships/hyperlink" Target="http://www.opentraintimes.com/schedule/G21051/2012/8/8" TargetMode="External"/><Relationship Id="rId878" Type="http://schemas.openxmlformats.org/officeDocument/2006/relationships/hyperlink" Target="http://www.opentraintimes.com/schedule/G22011/2012/8/8" TargetMode="External"/><Relationship Id="rId1063" Type="http://schemas.openxmlformats.org/officeDocument/2006/relationships/hyperlink" Target="http://www.opentraintimes.com/schedule/G26066/2012/8/8" TargetMode="External"/><Relationship Id="rId640" Type="http://schemas.openxmlformats.org/officeDocument/2006/relationships/hyperlink" Target="http://www.opentraintimes.com/schedule/G22526/2012/8/8" TargetMode="External"/><Relationship Id="rId738" Type="http://schemas.openxmlformats.org/officeDocument/2006/relationships/hyperlink" Target="http://www.opentraintimes.com/schedule/G21202/2012/8/8" TargetMode="External"/><Relationship Id="rId945" Type="http://schemas.openxmlformats.org/officeDocument/2006/relationships/hyperlink" Target="http://www.opentraintimes.com/schedule/L70359/2012/8/8" TargetMode="External"/><Relationship Id="rId74" Type="http://schemas.openxmlformats.org/officeDocument/2006/relationships/hyperlink" Target="http://www.opentraintimes.com/schedule/G20530/2012/8/7" TargetMode="External"/><Relationship Id="rId377" Type="http://schemas.openxmlformats.org/officeDocument/2006/relationships/hyperlink" Target="http://www.opentraintimes.com/schedule/G26794/2012/8/7" TargetMode="External"/><Relationship Id="rId500" Type="http://schemas.openxmlformats.org/officeDocument/2006/relationships/hyperlink" Target="http://www.opentraintimes.com/schedule/L70435/2012/8/8" TargetMode="External"/><Relationship Id="rId584" Type="http://schemas.openxmlformats.org/officeDocument/2006/relationships/hyperlink" Target="http://www.opentraintimes.com/schedule/G26158/2012/8/8" TargetMode="External"/><Relationship Id="rId805" Type="http://schemas.openxmlformats.org/officeDocument/2006/relationships/hyperlink" Target="http://www.opentraintimes.com/schedule/G21961/2012/8/8" TargetMode="External"/><Relationship Id="rId5" Type="http://schemas.openxmlformats.org/officeDocument/2006/relationships/hyperlink" Target="http://www.opentraintimes.com/schedule/G20940/2012/8/6" TargetMode="External"/><Relationship Id="rId237" Type="http://schemas.openxmlformats.org/officeDocument/2006/relationships/hyperlink" Target="http://www.opentraintimes.com/schedule/G26458/2012/8/7" TargetMode="External"/><Relationship Id="rId791" Type="http://schemas.openxmlformats.org/officeDocument/2006/relationships/hyperlink" Target="http://www.opentraintimes.com/schedule/G29177/2012/8/8" TargetMode="External"/><Relationship Id="rId889" Type="http://schemas.openxmlformats.org/officeDocument/2006/relationships/hyperlink" Target="http://www.opentraintimes.com/schedule/L70294/2012/8/8" TargetMode="External"/><Relationship Id="rId444" Type="http://schemas.openxmlformats.org/officeDocument/2006/relationships/hyperlink" Target="http://www.opentraintimes.com/schedule/G23114/2012/8/8" TargetMode="External"/><Relationship Id="rId651" Type="http://schemas.openxmlformats.org/officeDocument/2006/relationships/hyperlink" Target="http://www.opentraintimes.com/schedule/G26472/2012/8/8" TargetMode="External"/><Relationship Id="rId749" Type="http://schemas.openxmlformats.org/officeDocument/2006/relationships/hyperlink" Target="http://www.opentraintimes.com/schedule/G26604/2012/8/8" TargetMode="External"/><Relationship Id="rId290" Type="http://schemas.openxmlformats.org/officeDocument/2006/relationships/hyperlink" Target="http://www.opentraintimes.com/schedule/L77133/2012/8/7" TargetMode="External"/><Relationship Id="rId304" Type="http://schemas.openxmlformats.org/officeDocument/2006/relationships/hyperlink" Target="http://www.opentraintimes.com/schedule/G29143/2012/8/7" TargetMode="External"/><Relationship Id="rId388" Type="http://schemas.openxmlformats.org/officeDocument/2006/relationships/hyperlink" Target="http://www.opentraintimes.com/schedule/G21435/2012/8/7" TargetMode="External"/><Relationship Id="rId511" Type="http://schemas.openxmlformats.org/officeDocument/2006/relationships/hyperlink" Target="http://www.opentraintimes.com/schedule/L70437/2012/8/8" TargetMode="External"/><Relationship Id="rId609" Type="http://schemas.openxmlformats.org/officeDocument/2006/relationships/hyperlink" Target="http://www.opentraintimes.com/schedule/G29168/2012/8/8" TargetMode="External"/><Relationship Id="rId956" Type="http://schemas.openxmlformats.org/officeDocument/2006/relationships/hyperlink" Target="http://www.opentraintimes.com/schedule/L70363/2012/8/8" TargetMode="External"/><Relationship Id="rId85" Type="http://schemas.openxmlformats.org/officeDocument/2006/relationships/hyperlink" Target="http://www.opentraintimes.com/schedule/G26108/2012/8/7" TargetMode="External"/><Relationship Id="rId150" Type="http://schemas.openxmlformats.org/officeDocument/2006/relationships/hyperlink" Target="http://www.opentraintimes.com/schedule/L70243/2012/8/7" TargetMode="External"/><Relationship Id="rId595" Type="http://schemas.openxmlformats.org/officeDocument/2006/relationships/hyperlink" Target="http://www.opentraintimes.com/schedule/L70451/2012/8/8" TargetMode="External"/><Relationship Id="rId816" Type="http://schemas.openxmlformats.org/officeDocument/2006/relationships/hyperlink" Target="http://www.opentraintimes.com/schedule/G21487/2012/8/8" TargetMode="External"/><Relationship Id="rId1001" Type="http://schemas.openxmlformats.org/officeDocument/2006/relationships/hyperlink" Target="http://www.opentraintimes.com/schedule/G20535/2012/8/8" TargetMode="External"/><Relationship Id="rId248" Type="http://schemas.openxmlformats.org/officeDocument/2006/relationships/hyperlink" Target="http://www.opentraintimes.com/schedule/G22548/2012/8/7" TargetMode="External"/><Relationship Id="rId455" Type="http://schemas.openxmlformats.org/officeDocument/2006/relationships/hyperlink" Target="http://www.opentraintimes.com/schedule/G21656/2012/8/8" TargetMode="External"/><Relationship Id="rId662" Type="http://schemas.openxmlformats.org/officeDocument/2006/relationships/hyperlink" Target="http://www.opentraintimes.com/schedule/G20684/2012/8/8" TargetMode="External"/><Relationship Id="rId12" Type="http://schemas.openxmlformats.org/officeDocument/2006/relationships/hyperlink" Target="http://www.opentraintimes.com/schedule/L70315/2012/8/7" TargetMode="External"/><Relationship Id="rId108" Type="http://schemas.openxmlformats.org/officeDocument/2006/relationships/hyperlink" Target="http://www.opentraintimes.com/schedule/G29134/2012/8/7" TargetMode="External"/><Relationship Id="rId315" Type="http://schemas.openxmlformats.org/officeDocument/2006/relationships/hyperlink" Target="http://www.opentraintimes.com/schedule/L70392/2012/8/7" TargetMode="External"/><Relationship Id="rId522" Type="http://schemas.openxmlformats.org/officeDocument/2006/relationships/hyperlink" Target="http://www.opentraintimes.com/schedule/G21910/2012/8/8" TargetMode="External"/><Relationship Id="rId967" Type="http://schemas.openxmlformats.org/officeDocument/2006/relationships/hyperlink" Target="http://www.opentraintimes.com/schedule/G20708/2012/8/8" TargetMode="External"/><Relationship Id="rId96" Type="http://schemas.openxmlformats.org/officeDocument/2006/relationships/hyperlink" Target="http://www.opentraintimes.com/schedule/G21335/2012/8/7" TargetMode="External"/><Relationship Id="rId161" Type="http://schemas.openxmlformats.org/officeDocument/2006/relationships/hyperlink" Target="http://www.opentraintimes.com/schedule/L70338/2012/8/7" TargetMode="External"/><Relationship Id="rId399" Type="http://schemas.openxmlformats.org/officeDocument/2006/relationships/hyperlink" Target="http://www.opentraintimes.com/schedule/G21626/2012/8/7" TargetMode="External"/><Relationship Id="rId827" Type="http://schemas.openxmlformats.org/officeDocument/2006/relationships/hyperlink" Target="http://www.opentraintimes.com/schedule/G26799/2012/8/8" TargetMode="External"/><Relationship Id="rId1012" Type="http://schemas.openxmlformats.org/officeDocument/2006/relationships/hyperlink" Target="http://www.opentraintimes.com/schedule/G20897/2012/8/8" TargetMode="External"/><Relationship Id="rId259" Type="http://schemas.openxmlformats.org/officeDocument/2006/relationships/hyperlink" Target="http://www.opentraintimes.com/schedule/G22445/2012/8/7" TargetMode="External"/><Relationship Id="rId466" Type="http://schemas.openxmlformats.org/officeDocument/2006/relationships/hyperlink" Target="http://www.opentraintimes.com/schedule/G24121/2012/8/8" TargetMode="External"/><Relationship Id="rId673" Type="http://schemas.openxmlformats.org/officeDocument/2006/relationships/hyperlink" Target="http://www.opentraintimes.com/schedule/L70281/2012/8/8" TargetMode="External"/><Relationship Id="rId880" Type="http://schemas.openxmlformats.org/officeDocument/2006/relationships/hyperlink" Target="http://www.opentraintimes.com/schedule/G29182/2012/8/8" TargetMode="External"/><Relationship Id="rId23" Type="http://schemas.openxmlformats.org/officeDocument/2006/relationships/hyperlink" Target="http://www.opentraintimes.com/schedule/L70317/2012/8/7" TargetMode="External"/><Relationship Id="rId119" Type="http://schemas.openxmlformats.org/officeDocument/2006/relationships/hyperlink" Target="http://www.opentraintimes.com/schedule/G26155/2012/8/7" TargetMode="External"/><Relationship Id="rId326" Type="http://schemas.openxmlformats.org/officeDocument/2006/relationships/hyperlink" Target="http://www.opentraintimes.com/schedule/G20631/2012/8/7" TargetMode="External"/><Relationship Id="rId533" Type="http://schemas.openxmlformats.org/officeDocument/2006/relationships/hyperlink" Target="http://www.opentraintimes.com/schedule/G21411/2012/8/8" TargetMode="External"/><Relationship Id="rId978" Type="http://schemas.openxmlformats.org/officeDocument/2006/relationships/hyperlink" Target="http://www.opentraintimes.com/schedule/G06359/2012/8/8" TargetMode="External"/><Relationship Id="rId740" Type="http://schemas.openxmlformats.org/officeDocument/2006/relationships/hyperlink" Target="http://www.opentraintimes.com/schedule/G24163/2012/8/8" TargetMode="External"/><Relationship Id="rId838" Type="http://schemas.openxmlformats.org/officeDocument/2006/relationships/hyperlink" Target="http://www.opentraintimes.com/schedule/G26736/2012/8/8" TargetMode="External"/><Relationship Id="rId1023" Type="http://schemas.openxmlformats.org/officeDocument/2006/relationships/hyperlink" Target="http://www.opentraintimes.com/schedule/L70305/2012/8/8" TargetMode="External"/><Relationship Id="rId172" Type="http://schemas.openxmlformats.org/officeDocument/2006/relationships/hyperlink" Target="http://www.opentraintimes.com/schedule/G20563/2012/8/7" TargetMode="External"/><Relationship Id="rId477" Type="http://schemas.openxmlformats.org/officeDocument/2006/relationships/hyperlink" Target="http://www.opentraintimes.com/schedule/L70508/2012/8/8" TargetMode="External"/><Relationship Id="rId600" Type="http://schemas.openxmlformats.org/officeDocument/2006/relationships/hyperlink" Target="http://www.opentraintimes.com/schedule/G26220/2012/8/8" TargetMode="External"/><Relationship Id="rId684" Type="http://schemas.openxmlformats.org/officeDocument/2006/relationships/hyperlink" Target="http://www.opentraintimes.com/schedule/G21148/2012/8/8" TargetMode="External"/><Relationship Id="rId337" Type="http://schemas.openxmlformats.org/officeDocument/2006/relationships/hyperlink" Target="http://www.opentraintimes.com/schedule/G20995/2012/8/7" TargetMode="External"/><Relationship Id="rId891" Type="http://schemas.openxmlformats.org/officeDocument/2006/relationships/hyperlink" Target="http://www.opentraintimes.com/schedule/G23981/2012/8/8" TargetMode="External"/><Relationship Id="rId905" Type="http://schemas.openxmlformats.org/officeDocument/2006/relationships/hyperlink" Target="http://www.opentraintimes.com/schedule/G26959/2012/8/8" TargetMode="External"/><Relationship Id="rId989" Type="http://schemas.openxmlformats.org/officeDocument/2006/relationships/hyperlink" Target="http://www.opentraintimes.com/schedule/G21513/2012/8/8" TargetMode="External"/><Relationship Id="rId34" Type="http://schemas.openxmlformats.org/officeDocument/2006/relationships/hyperlink" Target="http://www.opentraintimes.com/schedule/L70312/2012/8/6" TargetMode="External"/><Relationship Id="rId544" Type="http://schemas.openxmlformats.org/officeDocument/2006/relationships/hyperlink" Target="http://www.opentraintimes.com/schedule/G21678/2012/8/8" TargetMode="External"/><Relationship Id="rId751" Type="http://schemas.openxmlformats.org/officeDocument/2006/relationships/hyperlink" Target="http://www.opentraintimes.com/schedule/G22003/2012/8/8" TargetMode="External"/><Relationship Id="rId849" Type="http://schemas.openxmlformats.org/officeDocument/2006/relationships/hyperlink" Target="http://www.opentraintimes.com/schedule/G29180/2012/8/8" TargetMode="External"/><Relationship Id="rId183" Type="http://schemas.openxmlformats.org/officeDocument/2006/relationships/hyperlink" Target="http://www.opentraintimes.com/schedule/L70245/2012/8/7" TargetMode="External"/><Relationship Id="rId390" Type="http://schemas.openxmlformats.org/officeDocument/2006/relationships/hyperlink" Target="http://www.opentraintimes.com/schedule/G26832/2012/8/7" TargetMode="External"/><Relationship Id="rId404" Type="http://schemas.openxmlformats.org/officeDocument/2006/relationships/hyperlink" Target="http://www.opentraintimes.com/schedule/L70402/2012/8/7" TargetMode="External"/><Relationship Id="rId611" Type="http://schemas.openxmlformats.org/officeDocument/2006/relationships/hyperlink" Target="http://www.opentraintimes.com/schedule/G21087/2012/8/8" TargetMode="External"/><Relationship Id="rId1034" Type="http://schemas.openxmlformats.org/officeDocument/2006/relationships/hyperlink" Target="http://www.opentraintimes.com/schedule/G20728/2012/8/8" TargetMode="External"/><Relationship Id="rId250" Type="http://schemas.openxmlformats.org/officeDocument/2006/relationships/hyperlink" Target="http://www.opentraintimes.com/schedule/G26483/2012/8/7" TargetMode="External"/><Relationship Id="rId488" Type="http://schemas.openxmlformats.org/officeDocument/2006/relationships/hyperlink" Target="http://www.opentraintimes.com/schedule/G26993/2012/8/8" TargetMode="External"/><Relationship Id="rId695" Type="http://schemas.openxmlformats.org/officeDocument/2006/relationships/hyperlink" Target="http://www.opentraintimes.com/schedule/L70473/2012/8/8" TargetMode="External"/><Relationship Id="rId709" Type="http://schemas.openxmlformats.org/officeDocument/2006/relationships/hyperlink" Target="http://www.opentraintimes.com/schedule/G21173/2012/8/8" TargetMode="External"/><Relationship Id="rId916" Type="http://schemas.openxmlformats.org/officeDocument/2006/relationships/hyperlink" Target="http://www.opentraintimes.com/schedule/L70369/2012/8/8" TargetMode="External"/><Relationship Id="rId45" Type="http://schemas.openxmlformats.org/officeDocument/2006/relationships/hyperlink" Target="http://www.opentraintimes.com/schedule/G26225/2012/8/7" TargetMode="External"/><Relationship Id="rId110" Type="http://schemas.openxmlformats.org/officeDocument/2006/relationships/hyperlink" Target="http://www.opentraintimes.com/schedule/G20543/2012/8/7" TargetMode="External"/><Relationship Id="rId348" Type="http://schemas.openxmlformats.org/officeDocument/2006/relationships/hyperlink" Target="http://www.opentraintimes.com/schedule/G23059/2012/8/7" TargetMode="External"/><Relationship Id="rId555" Type="http://schemas.openxmlformats.org/officeDocument/2006/relationships/hyperlink" Target="http://www.opentraintimes.com/schedule/L70452/2012/8/8" TargetMode="External"/><Relationship Id="rId762" Type="http://schemas.openxmlformats.org/officeDocument/2006/relationships/hyperlink" Target="http://www.opentraintimes.com/schedule/L70470/2012/8/8" TargetMode="External"/><Relationship Id="rId194" Type="http://schemas.openxmlformats.org/officeDocument/2006/relationships/hyperlink" Target="http://www.opentraintimes.com/schedule/G22387/2012/8/7" TargetMode="External"/><Relationship Id="rId208" Type="http://schemas.openxmlformats.org/officeDocument/2006/relationships/hyperlink" Target="http://www.opentraintimes.com/schedule/L70368/2012/8/7" TargetMode="External"/><Relationship Id="rId415" Type="http://schemas.openxmlformats.org/officeDocument/2006/relationships/hyperlink" Target="http://www.opentraintimes.com/schedule/G26842/2012/8/7" TargetMode="External"/><Relationship Id="rId622" Type="http://schemas.openxmlformats.org/officeDocument/2006/relationships/hyperlink" Target="http://www.opentraintimes.com/schedule/L70454/2012/8/8" TargetMode="External"/><Relationship Id="rId1045" Type="http://schemas.openxmlformats.org/officeDocument/2006/relationships/hyperlink" Target="http://www.opentraintimes.com/schedule/L70391/2012/8/8" TargetMode="External"/><Relationship Id="rId261" Type="http://schemas.openxmlformats.org/officeDocument/2006/relationships/hyperlink" Target="http://www.opentraintimes.com/schedule/G22552/2012/8/7" TargetMode="External"/><Relationship Id="rId499" Type="http://schemas.openxmlformats.org/officeDocument/2006/relationships/hyperlink" Target="http://www.opentraintimes.com/schedule/G21018/2012/8/8" TargetMode="External"/><Relationship Id="rId927" Type="http://schemas.openxmlformats.org/officeDocument/2006/relationships/hyperlink" Target="http://www.opentraintimes.com/schedule/G29185/2012/8/8" TargetMode="External"/><Relationship Id="rId56" Type="http://schemas.openxmlformats.org/officeDocument/2006/relationships/hyperlink" Target="http://www.opentraintimes.com/schedule/G26656/2012/8/7" TargetMode="External"/><Relationship Id="rId359" Type="http://schemas.openxmlformats.org/officeDocument/2006/relationships/hyperlink" Target="http://www.opentraintimes.com/schedule/L70498/2012/8/7" TargetMode="External"/><Relationship Id="rId566" Type="http://schemas.openxmlformats.org/officeDocument/2006/relationships/hyperlink" Target="http://www.opentraintimes.com/schedule/G21986/2012/8/8" TargetMode="External"/><Relationship Id="rId773" Type="http://schemas.openxmlformats.org/officeDocument/2006/relationships/hyperlink" Target="http://www.opentraintimes.com/schedule/L70329/2012/8/8" TargetMode="External"/><Relationship Id="rId121" Type="http://schemas.openxmlformats.org/officeDocument/2006/relationships/hyperlink" Target="http://www.opentraintimes.com/schedule/G21342/2012/8/7" TargetMode="External"/><Relationship Id="rId219" Type="http://schemas.openxmlformats.org/officeDocument/2006/relationships/hyperlink" Target="http://www.opentraintimes.com/schedule/L70489/2012/8/7" TargetMode="External"/><Relationship Id="rId426" Type="http://schemas.openxmlformats.org/officeDocument/2006/relationships/hyperlink" Target="http://www.opentraintimes.com/schedule/G26862/2012/8/8" TargetMode="External"/><Relationship Id="rId633" Type="http://schemas.openxmlformats.org/officeDocument/2006/relationships/hyperlink" Target="http://www.opentraintimes.com/schedule/G20629/2012/8/8" TargetMode="External"/><Relationship Id="rId980" Type="http://schemas.openxmlformats.org/officeDocument/2006/relationships/hyperlink" Target="http://www.opentraintimes.com/schedule/G26019/2012/8/8" TargetMode="External"/><Relationship Id="rId1056" Type="http://schemas.openxmlformats.org/officeDocument/2006/relationships/hyperlink" Target="http://www.opentraintimes.com/schedule/G26273/2012/8/8" TargetMode="External"/><Relationship Id="rId840" Type="http://schemas.openxmlformats.org/officeDocument/2006/relationships/hyperlink" Target="http://www.opentraintimes.com/schedule/G20797/2012/8/8" TargetMode="External"/><Relationship Id="rId938" Type="http://schemas.openxmlformats.org/officeDocument/2006/relationships/hyperlink" Target="http://www.opentraintimes.com/schedule/G20840/2012/8/8" TargetMode="External"/><Relationship Id="rId67" Type="http://schemas.openxmlformats.org/officeDocument/2006/relationships/hyperlink" Target="http://www.opentraintimes.com/schedule/G20809/2012/8/7" TargetMode="External"/><Relationship Id="rId272" Type="http://schemas.openxmlformats.org/officeDocument/2006/relationships/hyperlink" Target="http://www.opentraintimes.com/schedule/G22460/2012/8/7" TargetMode="External"/><Relationship Id="rId577" Type="http://schemas.openxmlformats.org/officeDocument/2006/relationships/hyperlink" Target="http://www.opentraintimes.com/schedule/G21155/2012/8/8" TargetMode="External"/><Relationship Id="rId700" Type="http://schemas.openxmlformats.org/officeDocument/2006/relationships/hyperlink" Target="http://www.opentraintimes.com/schedule/G21932/2012/8/8" TargetMode="External"/><Relationship Id="rId132" Type="http://schemas.openxmlformats.org/officeDocument/2006/relationships/hyperlink" Target="http://www.opentraintimes.com/schedule/G26264/2012/8/7" TargetMode="External"/><Relationship Id="rId784" Type="http://schemas.openxmlformats.org/officeDocument/2006/relationships/hyperlink" Target="http://www.opentraintimes.com/schedule/G22497/2012/8/8" TargetMode="External"/><Relationship Id="rId991" Type="http://schemas.openxmlformats.org/officeDocument/2006/relationships/hyperlink" Target="http://www.opentraintimes.com/schedule/G29076/2012/8/8" TargetMode="External"/><Relationship Id="rId1067" Type="http://schemas.openxmlformats.org/officeDocument/2006/relationships/hyperlink" Target="http://www.opentraintimes.com/schedule/G22543/2012/8/8" TargetMode="External"/><Relationship Id="rId437" Type="http://schemas.openxmlformats.org/officeDocument/2006/relationships/hyperlink" Target="http://www.opentraintimes.com/schedule/G21397/2012/8/8" TargetMode="External"/><Relationship Id="rId644" Type="http://schemas.openxmlformats.org/officeDocument/2006/relationships/hyperlink" Target="http://www.opentraintimes.com/schedule/G29171/2012/8/8" TargetMode="External"/><Relationship Id="rId851" Type="http://schemas.openxmlformats.org/officeDocument/2006/relationships/hyperlink" Target="http://www.opentraintimes.com/schedule/L70291/2012/8/8" TargetMode="External"/><Relationship Id="rId283" Type="http://schemas.openxmlformats.org/officeDocument/2006/relationships/hyperlink" Target="http://www.opentraintimes.com/schedule/G20904/2012/8/7" TargetMode="External"/><Relationship Id="rId490" Type="http://schemas.openxmlformats.org/officeDocument/2006/relationships/hyperlink" Target="http://www.opentraintimes.com/schedule/G29158/2012/8/8" TargetMode="External"/><Relationship Id="rId504" Type="http://schemas.openxmlformats.org/officeDocument/2006/relationships/hyperlink" Target="http://www.opentraintimes.com/schedule/G27062/2012/8/8" TargetMode="External"/><Relationship Id="rId711" Type="http://schemas.openxmlformats.org/officeDocument/2006/relationships/hyperlink" Target="http://www.opentraintimes.com/schedule/G29174/2012/8/8" TargetMode="External"/><Relationship Id="rId949" Type="http://schemas.openxmlformats.org/officeDocument/2006/relationships/hyperlink" Target="http://www.opentraintimes.com/schedule/L70381/2012/8/8" TargetMode="External"/><Relationship Id="rId78" Type="http://schemas.openxmlformats.org/officeDocument/2006/relationships/hyperlink" Target="http://www.opentraintimes.com/schedule/L70480/2012/8/7" TargetMode="External"/><Relationship Id="rId143" Type="http://schemas.openxmlformats.org/officeDocument/2006/relationships/hyperlink" Target="http://www.opentraintimes.com/schedule/G21352/2012/8/7" TargetMode="External"/><Relationship Id="rId350" Type="http://schemas.openxmlformats.org/officeDocument/2006/relationships/hyperlink" Target="http://www.opentraintimes.com/schedule/G29147/2012/8/7" TargetMode="External"/><Relationship Id="rId588" Type="http://schemas.openxmlformats.org/officeDocument/2006/relationships/hyperlink" Target="http://www.opentraintimes.com/schedule/G23188/2012/8/8" TargetMode="External"/><Relationship Id="rId795" Type="http://schemas.openxmlformats.org/officeDocument/2006/relationships/hyperlink" Target="http://www.opentraintimes.com/schedule/G21485/2012/8/8" TargetMode="External"/><Relationship Id="rId809" Type="http://schemas.openxmlformats.org/officeDocument/2006/relationships/hyperlink" Target="http://www.opentraintimes.com/schedule/G20795/2012/8/8" TargetMode="External"/><Relationship Id="rId9" Type="http://schemas.openxmlformats.org/officeDocument/2006/relationships/hyperlink" Target="http://www.opentraintimes.com/schedule/G22547/2012/8/7" TargetMode="External"/><Relationship Id="rId210" Type="http://schemas.openxmlformats.org/officeDocument/2006/relationships/hyperlink" Target="http://www.opentraintimes.com/schedule/G22539/2012/8/7" TargetMode="External"/><Relationship Id="rId448" Type="http://schemas.openxmlformats.org/officeDocument/2006/relationships/hyperlink" Target="http://www.opentraintimes.com/schedule/L70434/2012/8/8" TargetMode="External"/><Relationship Id="rId655" Type="http://schemas.openxmlformats.org/officeDocument/2006/relationships/hyperlink" Target="http://www.opentraintimes.com/schedule/G29172/2012/8/8" TargetMode="External"/><Relationship Id="rId862" Type="http://schemas.openxmlformats.org/officeDocument/2006/relationships/hyperlink" Target="http://www.opentraintimes.com/schedule/G20692/2012/8/8" TargetMode="External"/><Relationship Id="rId294" Type="http://schemas.openxmlformats.org/officeDocument/2006/relationships/hyperlink" Target="http://www.opentraintimes.com/schedule/G26561/2012/8/7" TargetMode="External"/><Relationship Id="rId308" Type="http://schemas.openxmlformats.org/officeDocument/2006/relationships/hyperlink" Target="http://www.opentraintimes.com/schedule/L70370/2012/8/7" TargetMode="External"/><Relationship Id="rId515" Type="http://schemas.openxmlformats.org/officeDocument/2006/relationships/hyperlink" Target="http://www.opentraintimes.com/schedule/G21031/2012/8/8" TargetMode="External"/><Relationship Id="rId722" Type="http://schemas.openxmlformats.org/officeDocument/2006/relationships/hyperlink" Target="http://www.opentraintimes.com/schedule/G21184/2012/8/8" TargetMode="External"/><Relationship Id="rId89" Type="http://schemas.openxmlformats.org/officeDocument/2006/relationships/hyperlink" Target="http://www.opentraintimes.com/schedule/L70322/2012/8/7" TargetMode="External"/><Relationship Id="rId154" Type="http://schemas.openxmlformats.org/officeDocument/2006/relationships/hyperlink" Target="http://www.opentraintimes.com/schedule/G26327/2012/8/7" TargetMode="External"/><Relationship Id="rId361" Type="http://schemas.openxmlformats.org/officeDocument/2006/relationships/hyperlink" Target="http://www.opentraintimes.com/schedule/G26712/2012/8/7" TargetMode="External"/><Relationship Id="rId599" Type="http://schemas.openxmlformats.org/officeDocument/2006/relationships/hyperlink" Target="http://www.opentraintimes.com/schedule/G26332/2012/8/8" TargetMode="External"/><Relationship Id="rId1005" Type="http://schemas.openxmlformats.org/officeDocument/2006/relationships/hyperlink" Target="http://www.opentraintimes.com/schedule/L70379/2012/8/8" TargetMode="External"/><Relationship Id="rId459" Type="http://schemas.openxmlformats.org/officeDocument/2006/relationships/hyperlink" Target="http://www.opentraintimes.com/schedule/L70436/2012/8/8" TargetMode="External"/><Relationship Id="rId666" Type="http://schemas.openxmlformats.org/officeDocument/2006/relationships/hyperlink" Target="http://www.opentraintimes.com/schedule/G26434/2012/8/8" TargetMode="External"/><Relationship Id="rId873" Type="http://schemas.openxmlformats.org/officeDocument/2006/relationships/hyperlink" Target="http://www.opentraintimes.com/schedule/L70535/2012/8/8" TargetMode="External"/><Relationship Id="rId16" Type="http://schemas.openxmlformats.org/officeDocument/2006/relationships/hyperlink" Target="http://www.opentraintimes.com/schedule/L70425/2012/8/7" TargetMode="External"/><Relationship Id="rId221" Type="http://schemas.openxmlformats.org/officeDocument/2006/relationships/hyperlink" Target="http://www.opentraintimes.com/schedule/G29138/2012/8/7" TargetMode="External"/><Relationship Id="rId319" Type="http://schemas.openxmlformats.org/officeDocument/2006/relationships/hyperlink" Target="http://www.opentraintimes.com/schedule/G26619/2012/8/7" TargetMode="External"/><Relationship Id="rId526" Type="http://schemas.openxmlformats.org/officeDocument/2006/relationships/hyperlink" Target="http://www.opentraintimes.com/schedule/G26047/2012/8/8" TargetMode="External"/><Relationship Id="rId733" Type="http://schemas.openxmlformats.org/officeDocument/2006/relationships/hyperlink" Target="http://www.opentraintimes.com/schedule/G22372/2012/8/8" TargetMode="External"/><Relationship Id="rId940" Type="http://schemas.openxmlformats.org/officeDocument/2006/relationships/hyperlink" Target="http://www.opentraintimes.com/schedule/G21505/2012/8/8" TargetMode="External"/><Relationship Id="rId1016" Type="http://schemas.openxmlformats.org/officeDocument/2006/relationships/hyperlink" Target="http://www.opentraintimes.com/schedule/G29044/2012/8/8" TargetMode="External"/><Relationship Id="rId165" Type="http://schemas.openxmlformats.org/officeDocument/2006/relationships/hyperlink" Target="http://www.opentraintimes.com/schedule/G26282/2012/8/7" TargetMode="External"/><Relationship Id="rId372" Type="http://schemas.openxmlformats.org/officeDocument/2006/relationships/hyperlink" Target="http://www.opentraintimes.com/schedule/G20950/2012/8/7" TargetMode="External"/><Relationship Id="rId677" Type="http://schemas.openxmlformats.org/officeDocument/2006/relationships/hyperlink" Target="http://www.opentraintimes.com/schedule/G26463/2012/8/8" TargetMode="External"/><Relationship Id="rId800" Type="http://schemas.openxmlformats.org/officeDocument/2006/relationships/hyperlink" Target="http://www.opentraintimes.com/schedule/L70474/2012/8/8" TargetMode="External"/><Relationship Id="rId232" Type="http://schemas.openxmlformats.org/officeDocument/2006/relationships/hyperlink" Target="http://www.opentraintimes.com/schedule/G22419/2012/8/7" TargetMode="External"/><Relationship Id="rId884" Type="http://schemas.openxmlformats.org/officeDocument/2006/relationships/hyperlink" Target="http://www.opentraintimes.com/schedule/L70339/2012/8/8" TargetMode="External"/><Relationship Id="rId27" Type="http://schemas.openxmlformats.org/officeDocument/2006/relationships/hyperlink" Target="http://www.opentraintimes.com/schedule/G26162/2012/8/6" TargetMode="External"/><Relationship Id="rId537" Type="http://schemas.openxmlformats.org/officeDocument/2006/relationships/hyperlink" Target="http://www.opentraintimes.com/schedule/G29162/2012/8/8" TargetMode="External"/><Relationship Id="rId744" Type="http://schemas.openxmlformats.org/officeDocument/2006/relationships/hyperlink" Target="http://www.opentraintimes.com/schedule/L70527/2012/8/8" TargetMode="External"/><Relationship Id="rId951" Type="http://schemas.openxmlformats.org/officeDocument/2006/relationships/hyperlink" Target="http://www.opentraintimes.com/schedule/G21814/2012/8/8" TargetMode="External"/><Relationship Id="rId80" Type="http://schemas.openxmlformats.org/officeDocument/2006/relationships/hyperlink" Target="http://www.opentraintimes.com/schedule/G26027/2012/8/7" TargetMode="External"/><Relationship Id="rId176" Type="http://schemas.openxmlformats.org/officeDocument/2006/relationships/hyperlink" Target="http://www.opentraintimes.com/schedule/L77130/2012/8/7" TargetMode="External"/><Relationship Id="rId383" Type="http://schemas.openxmlformats.org/officeDocument/2006/relationships/hyperlink" Target="http://www.opentraintimes.com/schedule/G26769/2012/8/7" TargetMode="External"/><Relationship Id="rId590" Type="http://schemas.openxmlformats.org/officeDocument/2006/relationships/hyperlink" Target="http://www.opentraintimes.com/schedule/L70459/2012/8/8" TargetMode="External"/><Relationship Id="rId604" Type="http://schemas.openxmlformats.org/officeDocument/2006/relationships/hyperlink" Target="http://www.opentraintimes.com/schedule/G20621/2012/8/8" TargetMode="External"/><Relationship Id="rId811" Type="http://schemas.openxmlformats.org/officeDocument/2006/relationships/hyperlink" Target="http://www.opentraintimes.com/schedule/L70337/2012/8/8" TargetMode="External"/><Relationship Id="rId1027" Type="http://schemas.openxmlformats.org/officeDocument/2006/relationships/hyperlink" Target="http://www.opentraintimes.com/schedule/G21014/2012/8/8" TargetMode="External"/><Relationship Id="rId243" Type="http://schemas.openxmlformats.org/officeDocument/2006/relationships/hyperlink" Target="http://www.opentraintimes.com/schedule/G26526/2012/8/7" TargetMode="External"/><Relationship Id="rId450" Type="http://schemas.openxmlformats.org/officeDocument/2006/relationships/hyperlink" Target="http://www.opentraintimes.com/schedule/G21061/2012/8/8" TargetMode="External"/><Relationship Id="rId688" Type="http://schemas.openxmlformats.org/officeDocument/2006/relationships/hyperlink" Target="http://www.opentraintimes.com/schedule/G21465/2012/8/8" TargetMode="External"/><Relationship Id="rId895" Type="http://schemas.openxmlformats.org/officeDocument/2006/relationships/hyperlink" Target="http://www.opentraintimes.com/schedule/G26942/2012/8/8" TargetMode="External"/><Relationship Id="rId909" Type="http://schemas.openxmlformats.org/officeDocument/2006/relationships/hyperlink" Target="http://www.opentraintimes.com/schedule/L70347/2012/8/8" TargetMode="External"/><Relationship Id="rId38" Type="http://schemas.openxmlformats.org/officeDocument/2006/relationships/hyperlink" Target="http://www.opentraintimes.com/schedule/G26477/2012/8/7" TargetMode="External"/><Relationship Id="rId103" Type="http://schemas.openxmlformats.org/officeDocument/2006/relationships/hyperlink" Target="http://www.opentraintimes.com/schedule/L70482/2012/8/7" TargetMode="External"/><Relationship Id="rId310" Type="http://schemas.openxmlformats.org/officeDocument/2006/relationships/hyperlink" Target="http://www.opentraintimes.com/schedule/G23099/2012/8/7" TargetMode="External"/><Relationship Id="rId548" Type="http://schemas.openxmlformats.org/officeDocument/2006/relationships/hyperlink" Target="http://www.opentraintimes.com/schedule/L70443/2012/8/8" TargetMode="External"/><Relationship Id="rId755" Type="http://schemas.openxmlformats.org/officeDocument/2006/relationships/hyperlink" Target="http://www.opentraintimes.com/schedule/G29176/2012/8/8" TargetMode="External"/><Relationship Id="rId962" Type="http://schemas.openxmlformats.org/officeDocument/2006/relationships/hyperlink" Target="http://www.opentraintimes.com/schedule/L70300/2012/8/8" TargetMode="External"/><Relationship Id="rId91" Type="http://schemas.openxmlformats.org/officeDocument/2006/relationships/hyperlink" Target="http://www.opentraintimes.com/schedule/L70481/2012/8/7" TargetMode="External"/><Relationship Id="rId187" Type="http://schemas.openxmlformats.org/officeDocument/2006/relationships/hyperlink" Target="http://www.opentraintimes.com/schedule/G26343/2012/8/7" TargetMode="External"/><Relationship Id="rId394" Type="http://schemas.openxmlformats.org/officeDocument/2006/relationships/hyperlink" Target="http://www.opentraintimes.com/schedule/G29150/2012/8/7" TargetMode="External"/><Relationship Id="rId408" Type="http://schemas.openxmlformats.org/officeDocument/2006/relationships/hyperlink" Target="http://www.opentraintimes.com/schedule/G26870/2012/8/7" TargetMode="External"/><Relationship Id="rId615" Type="http://schemas.openxmlformats.org/officeDocument/2006/relationships/hyperlink" Target="http://www.opentraintimes.com/schedule/L70463/2012/8/8" TargetMode="External"/><Relationship Id="rId822" Type="http://schemas.openxmlformats.org/officeDocument/2006/relationships/hyperlink" Target="http://www.opentraintimes.com/schedule/L70289/2012/8/8" TargetMode="External"/><Relationship Id="rId1038" Type="http://schemas.openxmlformats.org/officeDocument/2006/relationships/hyperlink" Target="http://www.opentraintimes.com/schedule/G20914/2012/8/8" TargetMode="External"/><Relationship Id="rId254" Type="http://schemas.openxmlformats.org/officeDocument/2006/relationships/hyperlink" Target="http://www.opentraintimes.com/schedule/G20957/2012/8/7" TargetMode="External"/><Relationship Id="rId699" Type="http://schemas.openxmlformats.org/officeDocument/2006/relationships/hyperlink" Target="http://www.opentraintimes.com/schedule/G26575/2012/8/8" TargetMode="External"/><Relationship Id="rId49" Type="http://schemas.openxmlformats.org/officeDocument/2006/relationships/hyperlink" Target="http://www.opentraintimes.com/schedule/G22557/2012/8/7" TargetMode="External"/><Relationship Id="rId114" Type="http://schemas.openxmlformats.org/officeDocument/2006/relationships/hyperlink" Target="http://www.opentraintimes.com/schedule/G26123/2012/8/7" TargetMode="External"/><Relationship Id="rId461" Type="http://schemas.openxmlformats.org/officeDocument/2006/relationships/hyperlink" Target="http://www.opentraintimes.com/schedule/G20605/2012/8/8" TargetMode="External"/><Relationship Id="rId559" Type="http://schemas.openxmlformats.org/officeDocument/2006/relationships/hyperlink" Target="http://www.opentraintimes.com/schedule/G26062/2012/8/8" TargetMode="External"/><Relationship Id="rId766" Type="http://schemas.openxmlformats.org/officeDocument/2006/relationships/hyperlink" Target="http://www.opentraintimes.com/schedule/L70528/2012/8/8" TargetMode="External"/><Relationship Id="rId198" Type="http://schemas.openxmlformats.org/officeDocument/2006/relationships/hyperlink" Target="http://www.opentraintimes.com/schedule/L70488/2012/8/7" TargetMode="External"/><Relationship Id="rId321" Type="http://schemas.openxmlformats.org/officeDocument/2006/relationships/hyperlink" Target="http://www.opentraintimes.com/schedule/L70495/2012/8/7" TargetMode="External"/><Relationship Id="rId419" Type="http://schemas.openxmlformats.org/officeDocument/2006/relationships/hyperlink" Target="http://www.opentraintimes.com/schedule/L70503/2012/8/8" TargetMode="External"/><Relationship Id="rId626" Type="http://schemas.openxmlformats.org/officeDocument/2006/relationships/hyperlink" Target="http://www.opentraintimes.com/schedule/L70278/2012/8/8" TargetMode="External"/><Relationship Id="rId973" Type="http://schemas.openxmlformats.org/officeDocument/2006/relationships/hyperlink" Target="http://www.opentraintimes.com/schedule/L70301/2012/8/8" TargetMode="External"/><Relationship Id="rId1049" Type="http://schemas.openxmlformats.org/officeDocument/2006/relationships/hyperlink" Target="http://www.opentraintimes.com/schedule/L70307/2012/8/8" TargetMode="External"/><Relationship Id="rId833" Type="http://schemas.openxmlformats.org/officeDocument/2006/relationships/hyperlink" Target="http://www.opentraintimes.com/schedule/L70323/2012/8/8" TargetMode="External"/><Relationship Id="rId265" Type="http://schemas.openxmlformats.org/officeDocument/2006/relationships/hyperlink" Target="http://www.opentraintimes.com/schedule/G22555/2012/8/7" TargetMode="External"/><Relationship Id="rId472" Type="http://schemas.openxmlformats.org/officeDocument/2006/relationships/hyperlink" Target="http://www.opentraintimes.com/schedule/L70438/2012/8/8" TargetMode="External"/><Relationship Id="rId900" Type="http://schemas.openxmlformats.org/officeDocument/2006/relationships/hyperlink" Target="http://www.opentraintimes.com/schedule/L70295/2012/8/8" TargetMode="External"/><Relationship Id="rId125" Type="http://schemas.openxmlformats.org/officeDocument/2006/relationships/hyperlink" Target="http://www.opentraintimes.com/schedule/G29513/2012/8/7" TargetMode="External"/><Relationship Id="rId332" Type="http://schemas.openxmlformats.org/officeDocument/2006/relationships/hyperlink" Target="http://www.opentraintimes.com/schedule/L70378/2012/8/7" TargetMode="External"/><Relationship Id="rId777" Type="http://schemas.openxmlformats.org/officeDocument/2006/relationships/hyperlink" Target="http://www.opentraintimes.com/schedule/G26642/2012/8/8" TargetMode="External"/><Relationship Id="rId984" Type="http://schemas.openxmlformats.org/officeDocument/2006/relationships/hyperlink" Target="http://www.opentraintimes.com/schedule/G27042/2012/8/8" TargetMode="External"/><Relationship Id="rId637" Type="http://schemas.openxmlformats.org/officeDocument/2006/relationships/hyperlink" Target="http://www.opentraintimes.com/schedule/L70456/2012/8/8" TargetMode="External"/><Relationship Id="rId844" Type="http://schemas.openxmlformats.org/officeDocument/2006/relationships/hyperlink" Target="http://www.opentraintimes.com/schedule/G21493/2012/8/8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opentraintimes.com/schedule/L70486/2012/8/8" TargetMode="External"/><Relationship Id="rId117" Type="http://schemas.openxmlformats.org/officeDocument/2006/relationships/hyperlink" Target="http://www.opentraintimes.com/schedule/L70324/2012/8/8" TargetMode="External"/><Relationship Id="rId21" Type="http://schemas.openxmlformats.org/officeDocument/2006/relationships/hyperlink" Target="http://www.opentraintimes.com/schedule/L70484/2012/8/8" TargetMode="External"/><Relationship Id="rId42" Type="http://schemas.openxmlformats.org/officeDocument/2006/relationships/hyperlink" Target="http://www.opentraintimes.com/schedule/L70384/2012/8/8" TargetMode="External"/><Relationship Id="rId47" Type="http://schemas.openxmlformats.org/officeDocument/2006/relationships/hyperlink" Target="http://www.opentraintimes.com/schedule/L70392/2012/8/8" TargetMode="External"/><Relationship Id="rId63" Type="http://schemas.openxmlformats.org/officeDocument/2006/relationships/hyperlink" Target="http://www.opentraintimes.com/schedule/L70423/2012/8/8" TargetMode="External"/><Relationship Id="rId68" Type="http://schemas.openxmlformats.org/officeDocument/2006/relationships/hyperlink" Target="http://www.opentraintimes.com/schedule/L70505/2012/8/8" TargetMode="External"/><Relationship Id="rId84" Type="http://schemas.openxmlformats.org/officeDocument/2006/relationships/hyperlink" Target="http://www.opentraintimes.com/schedule/L70513/2012/8/8" TargetMode="External"/><Relationship Id="rId89" Type="http://schemas.openxmlformats.org/officeDocument/2006/relationships/hyperlink" Target="http://www.opentraintimes.com/schedule/L70455/2012/8/8" TargetMode="External"/><Relationship Id="rId112" Type="http://schemas.openxmlformats.org/officeDocument/2006/relationships/hyperlink" Target="http://www.opentraintimes.com/schedule/L70475/2012/8/8" TargetMode="External"/><Relationship Id="rId133" Type="http://schemas.openxmlformats.org/officeDocument/2006/relationships/hyperlink" Target="http://www.opentraintimes.com/schedule/L70534/2012/8/8" TargetMode="External"/><Relationship Id="rId138" Type="http://schemas.openxmlformats.org/officeDocument/2006/relationships/hyperlink" Target="http://www.opentraintimes.com/schedule/L70361/2012/8/8" TargetMode="External"/><Relationship Id="rId154" Type="http://schemas.openxmlformats.org/officeDocument/2006/relationships/hyperlink" Target="http://www.opentraintimes.com/schedule/L70393/2012/8/8" TargetMode="External"/><Relationship Id="rId159" Type="http://schemas.openxmlformats.org/officeDocument/2006/relationships/hyperlink" Target="http://www.opentraintimes.com/schedule/L70547/2012/8/8" TargetMode="External"/><Relationship Id="rId16" Type="http://schemas.openxmlformats.org/officeDocument/2006/relationships/hyperlink" Target="http://www.opentraintimes.com/schedule/L70340/2012/8/8" TargetMode="External"/><Relationship Id="rId107" Type="http://schemas.openxmlformats.org/officeDocument/2006/relationships/hyperlink" Target="http://www.opentraintimes.com/schedule/L70471/2012/8/8" TargetMode="External"/><Relationship Id="rId11" Type="http://schemas.openxmlformats.org/officeDocument/2006/relationships/hyperlink" Target="http://www.opentraintimes.com/schedule/L70479/2012/8/8" TargetMode="External"/><Relationship Id="rId32" Type="http://schemas.openxmlformats.org/officeDocument/2006/relationships/hyperlink" Target="http://www.opentraintimes.com/schedule/L70368/2012/8/8" TargetMode="External"/><Relationship Id="rId37" Type="http://schemas.openxmlformats.org/officeDocument/2006/relationships/hyperlink" Target="http://www.opentraintimes.com/schedule/L70376/2012/8/8" TargetMode="External"/><Relationship Id="rId53" Type="http://schemas.openxmlformats.org/officeDocument/2006/relationships/hyperlink" Target="http://www.opentraintimes.com/schedule/L70404/2012/8/8" TargetMode="External"/><Relationship Id="rId58" Type="http://schemas.openxmlformats.org/officeDocument/2006/relationships/hyperlink" Target="http://www.opentraintimes.com/schedule/L70500/2012/8/8" TargetMode="External"/><Relationship Id="rId74" Type="http://schemas.openxmlformats.org/officeDocument/2006/relationships/hyperlink" Target="http://www.opentraintimes.com/schedule/L70508/2012/8/8" TargetMode="External"/><Relationship Id="rId79" Type="http://schemas.openxmlformats.org/officeDocument/2006/relationships/hyperlink" Target="http://www.opentraintimes.com/schedule/L70444/2012/8/8" TargetMode="External"/><Relationship Id="rId102" Type="http://schemas.openxmlformats.org/officeDocument/2006/relationships/hyperlink" Target="http://www.opentraintimes.com/schedule/L70467/2012/8/8" TargetMode="External"/><Relationship Id="rId123" Type="http://schemas.openxmlformats.org/officeDocument/2006/relationships/hyperlink" Target="http://www.opentraintimes.com/schedule/L77144/2012/8/8" TargetMode="External"/><Relationship Id="rId128" Type="http://schemas.openxmlformats.org/officeDocument/2006/relationships/hyperlink" Target="http://www.opentraintimes.com/schedule/L77145/2012/8/8" TargetMode="External"/><Relationship Id="rId144" Type="http://schemas.openxmlformats.org/officeDocument/2006/relationships/hyperlink" Target="http://www.opentraintimes.com/schedule/L70373/2012/8/8" TargetMode="External"/><Relationship Id="rId149" Type="http://schemas.openxmlformats.org/officeDocument/2006/relationships/hyperlink" Target="http://www.opentraintimes.com/schedule/L70542/2012/8/8" TargetMode="External"/><Relationship Id="rId5" Type="http://schemas.openxmlformats.org/officeDocument/2006/relationships/hyperlink" Target="http://www.opentraintimes.com/schedule/L70317/2012/8/8" TargetMode="External"/><Relationship Id="rId90" Type="http://schemas.openxmlformats.org/officeDocument/2006/relationships/hyperlink" Target="http://www.opentraintimes.com/schedule/L70516/2012/8/8" TargetMode="External"/><Relationship Id="rId95" Type="http://schemas.openxmlformats.org/officeDocument/2006/relationships/hyperlink" Target="http://www.opentraintimes.com/schedule/L70461/2012/8/8" TargetMode="External"/><Relationship Id="rId160" Type="http://schemas.openxmlformats.org/officeDocument/2006/relationships/hyperlink" Target="http://www.opentraintimes.com/schedule/L70405/2012/8/8" TargetMode="External"/><Relationship Id="rId165" Type="http://schemas.openxmlformats.org/officeDocument/2006/relationships/hyperlink" Target="http://www.opentraintimes.com/schedule/L70550/2012/8/8" TargetMode="External"/><Relationship Id="rId22" Type="http://schemas.openxmlformats.org/officeDocument/2006/relationships/hyperlink" Target="http://www.opentraintimes.com/schedule/L70352/2012/8/8" TargetMode="External"/><Relationship Id="rId27" Type="http://schemas.openxmlformats.org/officeDocument/2006/relationships/hyperlink" Target="http://www.opentraintimes.com/schedule/L70360/2012/8/8" TargetMode="External"/><Relationship Id="rId43" Type="http://schemas.openxmlformats.org/officeDocument/2006/relationships/hyperlink" Target="http://www.opentraintimes.com/schedule/L77133/2012/8/8" TargetMode="External"/><Relationship Id="rId48" Type="http://schemas.openxmlformats.org/officeDocument/2006/relationships/hyperlink" Target="http://www.opentraintimes.com/schedule/L70495/2012/8/8" TargetMode="External"/><Relationship Id="rId64" Type="http://schemas.openxmlformats.org/officeDocument/2006/relationships/hyperlink" Target="http://www.opentraintimes.com/schedule/L70503/2012/8/8" TargetMode="External"/><Relationship Id="rId69" Type="http://schemas.openxmlformats.org/officeDocument/2006/relationships/hyperlink" Target="http://www.opentraintimes.com/schedule/L70434/2012/8/8" TargetMode="External"/><Relationship Id="rId113" Type="http://schemas.openxmlformats.org/officeDocument/2006/relationships/hyperlink" Target="http://www.opentraintimes.com/schedule/L77142/2012/8/8" TargetMode="External"/><Relationship Id="rId118" Type="http://schemas.openxmlformats.org/officeDocument/2006/relationships/hyperlink" Target="http://www.opentraintimes.com/schedule/L77143/2012/8/8" TargetMode="External"/><Relationship Id="rId134" Type="http://schemas.openxmlformats.org/officeDocument/2006/relationships/hyperlink" Target="http://www.opentraintimes.com/schedule/L70353/2012/8/8" TargetMode="External"/><Relationship Id="rId139" Type="http://schemas.openxmlformats.org/officeDocument/2006/relationships/hyperlink" Target="http://www.opentraintimes.com/schedule/L70537/2012/8/8" TargetMode="External"/><Relationship Id="rId80" Type="http://schemas.openxmlformats.org/officeDocument/2006/relationships/hyperlink" Target="http://www.opentraintimes.com/schedule/L70511/2012/8/8" TargetMode="External"/><Relationship Id="rId85" Type="http://schemas.openxmlformats.org/officeDocument/2006/relationships/hyperlink" Target="http://www.opentraintimes.com/schedule/L70450/2012/8/8" TargetMode="External"/><Relationship Id="rId150" Type="http://schemas.openxmlformats.org/officeDocument/2006/relationships/hyperlink" Target="http://www.opentraintimes.com/schedule/L70385/2012/8/8" TargetMode="External"/><Relationship Id="rId155" Type="http://schemas.openxmlformats.org/officeDocument/2006/relationships/hyperlink" Target="http://www.opentraintimes.com/schedule/L70545/2012/8/8" TargetMode="External"/><Relationship Id="rId12" Type="http://schemas.openxmlformats.org/officeDocument/2006/relationships/hyperlink" Target="http://www.opentraintimes.com/schedule/L70332/2012/8/8" TargetMode="External"/><Relationship Id="rId17" Type="http://schemas.openxmlformats.org/officeDocument/2006/relationships/hyperlink" Target="http://www.opentraintimes.com/schedule/L70482/2012/8/8" TargetMode="External"/><Relationship Id="rId33" Type="http://schemas.openxmlformats.org/officeDocument/2006/relationships/hyperlink" Target="http://www.opentraintimes.com/schedule/L77131/2012/8/8" TargetMode="External"/><Relationship Id="rId38" Type="http://schemas.openxmlformats.org/officeDocument/2006/relationships/hyperlink" Target="http://www.opentraintimes.com/schedule/L77132/2012/8/8" TargetMode="External"/><Relationship Id="rId59" Type="http://schemas.openxmlformats.org/officeDocument/2006/relationships/hyperlink" Target="http://www.opentraintimes.com/schedule/L70416/2012/8/8" TargetMode="External"/><Relationship Id="rId103" Type="http://schemas.openxmlformats.org/officeDocument/2006/relationships/hyperlink" Target="http://www.opentraintimes.com/schedule/L77140/2012/8/8" TargetMode="External"/><Relationship Id="rId108" Type="http://schemas.openxmlformats.org/officeDocument/2006/relationships/hyperlink" Target="http://www.opentraintimes.com/schedule/L77141/2012/8/8" TargetMode="External"/><Relationship Id="rId124" Type="http://schemas.openxmlformats.org/officeDocument/2006/relationships/hyperlink" Target="http://www.opentraintimes.com/schedule/L70530/2012/8/8" TargetMode="External"/><Relationship Id="rId129" Type="http://schemas.openxmlformats.org/officeDocument/2006/relationships/hyperlink" Target="http://www.opentraintimes.com/schedule/L70532/2012/8/8" TargetMode="External"/><Relationship Id="rId54" Type="http://schemas.openxmlformats.org/officeDocument/2006/relationships/hyperlink" Target="http://www.opentraintimes.com/schedule/L70498/2012/8/8" TargetMode="External"/><Relationship Id="rId70" Type="http://schemas.openxmlformats.org/officeDocument/2006/relationships/hyperlink" Target="http://www.opentraintimes.com/schedule/L70506/2012/8/8" TargetMode="External"/><Relationship Id="rId75" Type="http://schemas.openxmlformats.org/officeDocument/2006/relationships/hyperlink" Target="http://www.opentraintimes.com/schedule/L70440/2012/8/8" TargetMode="External"/><Relationship Id="rId91" Type="http://schemas.openxmlformats.org/officeDocument/2006/relationships/hyperlink" Target="http://www.opentraintimes.com/schedule/L70457/2012/8/8" TargetMode="External"/><Relationship Id="rId96" Type="http://schemas.openxmlformats.org/officeDocument/2006/relationships/hyperlink" Target="http://www.opentraintimes.com/schedule/L70519/2012/8/8" TargetMode="External"/><Relationship Id="rId140" Type="http://schemas.openxmlformats.org/officeDocument/2006/relationships/hyperlink" Target="http://www.opentraintimes.com/schedule/L70365/2012/8/8" TargetMode="External"/><Relationship Id="rId145" Type="http://schemas.openxmlformats.org/officeDocument/2006/relationships/hyperlink" Target="http://www.opentraintimes.com/schedule/L70540/2012/8/8" TargetMode="External"/><Relationship Id="rId161" Type="http://schemas.openxmlformats.org/officeDocument/2006/relationships/hyperlink" Target="http://www.opentraintimes.com/schedule/L70548/2012/8/8" TargetMode="External"/><Relationship Id="rId166" Type="http://schemas.openxmlformats.org/officeDocument/2006/relationships/hyperlink" Target="http://www.opentraintimes.com/schedule/L70417/2012/8/8" TargetMode="External"/><Relationship Id="rId1" Type="http://schemas.openxmlformats.org/officeDocument/2006/relationships/hyperlink" Target="http://www.opentraintimes.com/schedule/L70552/2012/8/8" TargetMode="External"/><Relationship Id="rId6" Type="http://schemas.openxmlformats.org/officeDocument/2006/relationships/hyperlink" Target="http://www.opentraintimes.com/schedule/L70429/2012/8/8" TargetMode="External"/><Relationship Id="rId15" Type="http://schemas.openxmlformats.org/officeDocument/2006/relationships/hyperlink" Target="http://www.opentraintimes.com/schedule/L70481/2012/8/8" TargetMode="External"/><Relationship Id="rId23" Type="http://schemas.openxmlformats.org/officeDocument/2006/relationships/hyperlink" Target="http://www.opentraintimes.com/schedule/L77129/2012/8/8" TargetMode="External"/><Relationship Id="rId28" Type="http://schemas.openxmlformats.org/officeDocument/2006/relationships/hyperlink" Target="http://www.opentraintimes.com/schedule/L77130/2012/8/8" TargetMode="External"/><Relationship Id="rId36" Type="http://schemas.openxmlformats.org/officeDocument/2006/relationships/hyperlink" Target="http://www.opentraintimes.com/schedule/L70490/2012/8/8" TargetMode="External"/><Relationship Id="rId49" Type="http://schemas.openxmlformats.org/officeDocument/2006/relationships/hyperlink" Target="http://www.opentraintimes.com/schedule/L70396/2012/8/8" TargetMode="External"/><Relationship Id="rId57" Type="http://schemas.openxmlformats.org/officeDocument/2006/relationships/hyperlink" Target="http://www.opentraintimes.com/schedule/L70412/2012/8/8" TargetMode="External"/><Relationship Id="rId106" Type="http://schemas.openxmlformats.org/officeDocument/2006/relationships/hyperlink" Target="http://www.opentraintimes.com/schedule/L70523/2012/8/8" TargetMode="External"/><Relationship Id="rId114" Type="http://schemas.openxmlformats.org/officeDocument/2006/relationships/hyperlink" Target="http://www.opentraintimes.com/schedule/L70526/2012/8/8" TargetMode="External"/><Relationship Id="rId119" Type="http://schemas.openxmlformats.org/officeDocument/2006/relationships/hyperlink" Target="http://www.opentraintimes.com/schedule/L70528/2012/8/8" TargetMode="External"/><Relationship Id="rId127" Type="http://schemas.openxmlformats.org/officeDocument/2006/relationships/hyperlink" Target="http://www.opentraintimes.com/schedule/L70341/2012/8/8" TargetMode="External"/><Relationship Id="rId10" Type="http://schemas.openxmlformats.org/officeDocument/2006/relationships/hyperlink" Target="http://www.opentraintimes.com/schedule/L70325/2012/8/8" TargetMode="External"/><Relationship Id="rId31" Type="http://schemas.openxmlformats.org/officeDocument/2006/relationships/hyperlink" Target="http://www.opentraintimes.com/schedule/L70488/2012/8/8" TargetMode="External"/><Relationship Id="rId44" Type="http://schemas.openxmlformats.org/officeDocument/2006/relationships/hyperlink" Target="http://www.opentraintimes.com/schedule/L70493/2012/8/8" TargetMode="External"/><Relationship Id="rId52" Type="http://schemas.openxmlformats.org/officeDocument/2006/relationships/hyperlink" Target="http://www.opentraintimes.com/schedule/L70497/2012/8/8" TargetMode="External"/><Relationship Id="rId60" Type="http://schemas.openxmlformats.org/officeDocument/2006/relationships/hyperlink" Target="http://www.opentraintimes.com/schedule/L70501/2012/8/8" TargetMode="External"/><Relationship Id="rId65" Type="http://schemas.openxmlformats.org/officeDocument/2006/relationships/hyperlink" Target="http://www.opentraintimes.com/schedule/L70427/2012/8/8" TargetMode="External"/><Relationship Id="rId73" Type="http://schemas.openxmlformats.org/officeDocument/2006/relationships/hyperlink" Target="http://www.opentraintimes.com/schedule/L70438/2012/8/8" TargetMode="External"/><Relationship Id="rId78" Type="http://schemas.openxmlformats.org/officeDocument/2006/relationships/hyperlink" Target="http://www.opentraintimes.com/schedule/L70510/2012/8/8" TargetMode="External"/><Relationship Id="rId81" Type="http://schemas.openxmlformats.org/officeDocument/2006/relationships/hyperlink" Target="http://www.opentraintimes.com/schedule/L70446/2012/8/8" TargetMode="External"/><Relationship Id="rId86" Type="http://schemas.openxmlformats.org/officeDocument/2006/relationships/hyperlink" Target="http://www.opentraintimes.com/schedule/L70514/2012/8/8" TargetMode="External"/><Relationship Id="rId94" Type="http://schemas.openxmlformats.org/officeDocument/2006/relationships/hyperlink" Target="http://www.opentraintimes.com/schedule/L70518/2012/8/8" TargetMode="External"/><Relationship Id="rId99" Type="http://schemas.openxmlformats.org/officeDocument/2006/relationships/hyperlink" Target="http://www.opentraintimes.com/schedule/L70520/2012/8/8" TargetMode="External"/><Relationship Id="rId101" Type="http://schemas.openxmlformats.org/officeDocument/2006/relationships/hyperlink" Target="http://www.opentraintimes.com/schedule/L70521/2012/8/8" TargetMode="External"/><Relationship Id="rId122" Type="http://schemas.openxmlformats.org/officeDocument/2006/relationships/hyperlink" Target="http://www.opentraintimes.com/schedule/L70333/2012/8/8" TargetMode="External"/><Relationship Id="rId130" Type="http://schemas.openxmlformats.org/officeDocument/2006/relationships/hyperlink" Target="http://www.opentraintimes.com/schedule/L70345/2012/8/8" TargetMode="External"/><Relationship Id="rId135" Type="http://schemas.openxmlformats.org/officeDocument/2006/relationships/hyperlink" Target="http://www.opentraintimes.com/schedule/L70535/2012/8/8" TargetMode="External"/><Relationship Id="rId143" Type="http://schemas.openxmlformats.org/officeDocument/2006/relationships/hyperlink" Target="http://www.opentraintimes.com/schedule/L70539/2012/8/8" TargetMode="External"/><Relationship Id="rId148" Type="http://schemas.openxmlformats.org/officeDocument/2006/relationships/hyperlink" Target="http://www.opentraintimes.com/schedule/L70381/2012/8/8" TargetMode="External"/><Relationship Id="rId151" Type="http://schemas.openxmlformats.org/officeDocument/2006/relationships/hyperlink" Target="http://www.opentraintimes.com/schedule/L70543/2012/8/8" TargetMode="External"/><Relationship Id="rId156" Type="http://schemas.openxmlformats.org/officeDocument/2006/relationships/hyperlink" Target="http://www.opentraintimes.com/schedule/L70397/2012/8/8" TargetMode="External"/><Relationship Id="rId164" Type="http://schemas.openxmlformats.org/officeDocument/2006/relationships/hyperlink" Target="http://www.opentraintimes.com/schedule/L70413/2012/8/8" TargetMode="External"/><Relationship Id="rId4" Type="http://schemas.openxmlformats.org/officeDocument/2006/relationships/hyperlink" Target="http://www.opentraintimes.com/schedule/L70425/2012/8/8" TargetMode="External"/><Relationship Id="rId9" Type="http://schemas.openxmlformats.org/officeDocument/2006/relationships/hyperlink" Target="http://www.opentraintimes.com/schedule/L70321/2012/8/8" TargetMode="External"/><Relationship Id="rId13" Type="http://schemas.openxmlformats.org/officeDocument/2006/relationships/hyperlink" Target="http://www.opentraintimes.com/schedule/L70480/2012/8/8" TargetMode="External"/><Relationship Id="rId18" Type="http://schemas.openxmlformats.org/officeDocument/2006/relationships/hyperlink" Target="http://www.opentraintimes.com/schedule/L70344/2012/8/8" TargetMode="External"/><Relationship Id="rId39" Type="http://schemas.openxmlformats.org/officeDocument/2006/relationships/hyperlink" Target="http://www.opentraintimes.com/schedule/L70491/2012/8/8" TargetMode="External"/><Relationship Id="rId109" Type="http://schemas.openxmlformats.org/officeDocument/2006/relationships/hyperlink" Target="http://www.opentraintimes.com/schedule/L70524/2012/8/8" TargetMode="External"/><Relationship Id="rId34" Type="http://schemas.openxmlformats.org/officeDocument/2006/relationships/hyperlink" Target="http://www.opentraintimes.com/schedule/L70489/2012/8/8" TargetMode="External"/><Relationship Id="rId50" Type="http://schemas.openxmlformats.org/officeDocument/2006/relationships/hyperlink" Target="http://www.opentraintimes.com/schedule/L70496/2012/8/8" TargetMode="External"/><Relationship Id="rId55" Type="http://schemas.openxmlformats.org/officeDocument/2006/relationships/hyperlink" Target="http://www.opentraintimes.com/schedule/L70408/2012/8/8" TargetMode="External"/><Relationship Id="rId76" Type="http://schemas.openxmlformats.org/officeDocument/2006/relationships/hyperlink" Target="http://www.opentraintimes.com/schedule/L70509/2012/8/8" TargetMode="External"/><Relationship Id="rId97" Type="http://schemas.openxmlformats.org/officeDocument/2006/relationships/hyperlink" Target="http://www.opentraintimes.com/schedule/L70463/2012/8/8" TargetMode="External"/><Relationship Id="rId104" Type="http://schemas.openxmlformats.org/officeDocument/2006/relationships/hyperlink" Target="http://www.opentraintimes.com/schedule/L70522/2012/8/8" TargetMode="External"/><Relationship Id="rId120" Type="http://schemas.openxmlformats.org/officeDocument/2006/relationships/hyperlink" Target="http://www.opentraintimes.com/schedule/L70329/2012/8/8" TargetMode="External"/><Relationship Id="rId125" Type="http://schemas.openxmlformats.org/officeDocument/2006/relationships/hyperlink" Target="http://www.opentraintimes.com/schedule/L70337/2012/8/8" TargetMode="External"/><Relationship Id="rId141" Type="http://schemas.openxmlformats.org/officeDocument/2006/relationships/hyperlink" Target="http://www.opentraintimes.com/schedule/L70538/2012/8/8" TargetMode="External"/><Relationship Id="rId146" Type="http://schemas.openxmlformats.org/officeDocument/2006/relationships/hyperlink" Target="http://www.opentraintimes.com/schedule/L70377/2012/8/8" TargetMode="External"/><Relationship Id="rId167" Type="http://schemas.openxmlformats.org/officeDocument/2006/relationships/printerSettings" Target="../printerSettings/printerSettings2.bin"/><Relationship Id="rId7" Type="http://schemas.openxmlformats.org/officeDocument/2006/relationships/hyperlink" Target="http://www.opentraintimes.com/schedule/L70319/2012/8/8" TargetMode="External"/><Relationship Id="rId71" Type="http://schemas.openxmlformats.org/officeDocument/2006/relationships/hyperlink" Target="http://www.opentraintimes.com/schedule/L70436/2012/8/8" TargetMode="External"/><Relationship Id="rId92" Type="http://schemas.openxmlformats.org/officeDocument/2006/relationships/hyperlink" Target="http://www.opentraintimes.com/schedule/L70517/2012/8/8" TargetMode="External"/><Relationship Id="rId162" Type="http://schemas.openxmlformats.org/officeDocument/2006/relationships/hyperlink" Target="http://www.opentraintimes.com/schedule/L70409/2012/8/8" TargetMode="External"/><Relationship Id="rId2" Type="http://schemas.openxmlformats.org/officeDocument/2006/relationships/hyperlink" Target="http://www.opentraintimes.com/schedule/L70421/2012/8/8" TargetMode="External"/><Relationship Id="rId29" Type="http://schemas.openxmlformats.org/officeDocument/2006/relationships/hyperlink" Target="http://www.opentraintimes.com/schedule/L70487/2012/8/8" TargetMode="External"/><Relationship Id="rId24" Type="http://schemas.openxmlformats.org/officeDocument/2006/relationships/hyperlink" Target="http://www.opentraintimes.com/schedule/L70485/2012/8/8" TargetMode="External"/><Relationship Id="rId40" Type="http://schemas.openxmlformats.org/officeDocument/2006/relationships/hyperlink" Target="http://www.opentraintimes.com/schedule/L70380/2012/8/8" TargetMode="External"/><Relationship Id="rId45" Type="http://schemas.openxmlformats.org/officeDocument/2006/relationships/hyperlink" Target="http://www.opentraintimes.com/schedule/L70388/2012/8/8" TargetMode="External"/><Relationship Id="rId66" Type="http://schemas.openxmlformats.org/officeDocument/2006/relationships/hyperlink" Target="http://www.opentraintimes.com/schedule/L70504/2012/8/8" TargetMode="External"/><Relationship Id="rId87" Type="http://schemas.openxmlformats.org/officeDocument/2006/relationships/hyperlink" Target="http://www.opentraintimes.com/schedule/L70452/2012/8/8" TargetMode="External"/><Relationship Id="rId110" Type="http://schemas.openxmlformats.org/officeDocument/2006/relationships/hyperlink" Target="http://www.opentraintimes.com/schedule/L70473/2012/8/8" TargetMode="External"/><Relationship Id="rId115" Type="http://schemas.openxmlformats.org/officeDocument/2006/relationships/hyperlink" Target="http://www.opentraintimes.com/schedule/L70477/2012/8/8" TargetMode="External"/><Relationship Id="rId131" Type="http://schemas.openxmlformats.org/officeDocument/2006/relationships/hyperlink" Target="http://www.opentraintimes.com/schedule/L70533/2012/8/8" TargetMode="External"/><Relationship Id="rId136" Type="http://schemas.openxmlformats.org/officeDocument/2006/relationships/hyperlink" Target="http://www.opentraintimes.com/schedule/L70357/2012/8/8" TargetMode="External"/><Relationship Id="rId157" Type="http://schemas.openxmlformats.org/officeDocument/2006/relationships/hyperlink" Target="http://www.opentraintimes.com/schedule/L70546/2012/8/8" TargetMode="External"/><Relationship Id="rId61" Type="http://schemas.openxmlformats.org/officeDocument/2006/relationships/hyperlink" Target="http://www.opentraintimes.com/schedule/L70419/2012/8/8" TargetMode="External"/><Relationship Id="rId82" Type="http://schemas.openxmlformats.org/officeDocument/2006/relationships/hyperlink" Target="http://www.opentraintimes.com/schedule/L70512/2012/8/8" TargetMode="External"/><Relationship Id="rId152" Type="http://schemas.openxmlformats.org/officeDocument/2006/relationships/hyperlink" Target="http://www.opentraintimes.com/schedule/L70389/2012/8/8" TargetMode="External"/><Relationship Id="rId19" Type="http://schemas.openxmlformats.org/officeDocument/2006/relationships/hyperlink" Target="http://www.opentraintimes.com/schedule/L70483/2012/8/8" TargetMode="External"/><Relationship Id="rId14" Type="http://schemas.openxmlformats.org/officeDocument/2006/relationships/hyperlink" Target="http://www.opentraintimes.com/schedule/L70336/2012/8/8" TargetMode="External"/><Relationship Id="rId30" Type="http://schemas.openxmlformats.org/officeDocument/2006/relationships/hyperlink" Target="http://www.opentraintimes.com/schedule/L70364/2012/8/8" TargetMode="External"/><Relationship Id="rId35" Type="http://schemas.openxmlformats.org/officeDocument/2006/relationships/hyperlink" Target="http://www.opentraintimes.com/schedule/L70372/2012/8/8" TargetMode="External"/><Relationship Id="rId56" Type="http://schemas.openxmlformats.org/officeDocument/2006/relationships/hyperlink" Target="http://www.opentraintimes.com/schedule/L70499/2012/8/8" TargetMode="External"/><Relationship Id="rId77" Type="http://schemas.openxmlformats.org/officeDocument/2006/relationships/hyperlink" Target="http://www.opentraintimes.com/schedule/L70442/2012/8/8" TargetMode="External"/><Relationship Id="rId100" Type="http://schemas.openxmlformats.org/officeDocument/2006/relationships/hyperlink" Target="http://www.opentraintimes.com/schedule/L70465/2012/8/8" TargetMode="External"/><Relationship Id="rId105" Type="http://schemas.openxmlformats.org/officeDocument/2006/relationships/hyperlink" Target="http://www.opentraintimes.com/schedule/L70469/2012/8/8" TargetMode="External"/><Relationship Id="rId126" Type="http://schemas.openxmlformats.org/officeDocument/2006/relationships/hyperlink" Target="http://www.opentraintimes.com/schedule/L70531/2012/8/8" TargetMode="External"/><Relationship Id="rId147" Type="http://schemas.openxmlformats.org/officeDocument/2006/relationships/hyperlink" Target="http://www.opentraintimes.com/schedule/L70541/2012/8/8" TargetMode="External"/><Relationship Id="rId8" Type="http://schemas.openxmlformats.org/officeDocument/2006/relationships/hyperlink" Target="http://www.opentraintimes.com/schedule/L70433/2012/8/8" TargetMode="External"/><Relationship Id="rId51" Type="http://schemas.openxmlformats.org/officeDocument/2006/relationships/hyperlink" Target="http://www.opentraintimes.com/schedule/L70400/2012/8/8" TargetMode="External"/><Relationship Id="rId72" Type="http://schemas.openxmlformats.org/officeDocument/2006/relationships/hyperlink" Target="http://www.opentraintimes.com/schedule/L70507/2012/8/8" TargetMode="External"/><Relationship Id="rId93" Type="http://schemas.openxmlformats.org/officeDocument/2006/relationships/hyperlink" Target="http://www.opentraintimes.com/schedule/L70459/2012/8/8" TargetMode="External"/><Relationship Id="rId98" Type="http://schemas.openxmlformats.org/officeDocument/2006/relationships/hyperlink" Target="http://www.opentraintimes.com/schedule/L77139/2012/8/8" TargetMode="External"/><Relationship Id="rId121" Type="http://schemas.openxmlformats.org/officeDocument/2006/relationships/hyperlink" Target="http://www.opentraintimes.com/schedule/L70529/2012/8/8" TargetMode="External"/><Relationship Id="rId142" Type="http://schemas.openxmlformats.org/officeDocument/2006/relationships/hyperlink" Target="http://www.opentraintimes.com/schedule/L70369/2012/8/8" TargetMode="External"/><Relationship Id="rId163" Type="http://schemas.openxmlformats.org/officeDocument/2006/relationships/hyperlink" Target="http://www.opentraintimes.com/schedule/L70549/2012/8/8" TargetMode="External"/><Relationship Id="rId3" Type="http://schemas.openxmlformats.org/officeDocument/2006/relationships/hyperlink" Target="http://www.opentraintimes.com/schedule/L70315/2012/8/8" TargetMode="External"/><Relationship Id="rId25" Type="http://schemas.openxmlformats.org/officeDocument/2006/relationships/hyperlink" Target="http://www.opentraintimes.com/schedule/L70356/2012/8/8" TargetMode="External"/><Relationship Id="rId46" Type="http://schemas.openxmlformats.org/officeDocument/2006/relationships/hyperlink" Target="http://www.opentraintimes.com/schedule/L70494/2012/8/8" TargetMode="External"/><Relationship Id="rId67" Type="http://schemas.openxmlformats.org/officeDocument/2006/relationships/hyperlink" Target="http://www.opentraintimes.com/schedule/L70431/2012/8/8" TargetMode="External"/><Relationship Id="rId116" Type="http://schemas.openxmlformats.org/officeDocument/2006/relationships/hyperlink" Target="http://www.opentraintimes.com/schedule/L70527/2012/8/8" TargetMode="External"/><Relationship Id="rId137" Type="http://schemas.openxmlformats.org/officeDocument/2006/relationships/hyperlink" Target="http://www.opentraintimes.com/schedule/L70536/2012/8/8" TargetMode="External"/><Relationship Id="rId158" Type="http://schemas.openxmlformats.org/officeDocument/2006/relationships/hyperlink" Target="http://www.opentraintimes.com/schedule/L70401/2012/8/8" TargetMode="External"/><Relationship Id="rId20" Type="http://schemas.openxmlformats.org/officeDocument/2006/relationships/hyperlink" Target="http://www.opentraintimes.com/schedule/L70348/2012/8/8" TargetMode="External"/><Relationship Id="rId41" Type="http://schemas.openxmlformats.org/officeDocument/2006/relationships/hyperlink" Target="http://www.opentraintimes.com/schedule/L70492/2012/8/8" TargetMode="External"/><Relationship Id="rId62" Type="http://schemas.openxmlformats.org/officeDocument/2006/relationships/hyperlink" Target="http://www.opentraintimes.com/schedule/L70502/2012/8/8" TargetMode="External"/><Relationship Id="rId83" Type="http://schemas.openxmlformats.org/officeDocument/2006/relationships/hyperlink" Target="http://www.opentraintimes.com/schedule/L70448/2012/8/8" TargetMode="External"/><Relationship Id="rId88" Type="http://schemas.openxmlformats.org/officeDocument/2006/relationships/hyperlink" Target="http://www.opentraintimes.com/schedule/L70515/2012/8/8" TargetMode="External"/><Relationship Id="rId111" Type="http://schemas.openxmlformats.org/officeDocument/2006/relationships/hyperlink" Target="http://www.opentraintimes.com/schedule/L70525/2012/8/8" TargetMode="External"/><Relationship Id="rId132" Type="http://schemas.openxmlformats.org/officeDocument/2006/relationships/hyperlink" Target="http://www.opentraintimes.com/schedule/L70349/2012/8/8" TargetMode="External"/><Relationship Id="rId153" Type="http://schemas.openxmlformats.org/officeDocument/2006/relationships/hyperlink" Target="http://www.opentraintimes.com/schedule/L70544/2012/8/8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F54117/2012/8/8" TargetMode="External"/><Relationship Id="rId299" Type="http://schemas.openxmlformats.org/officeDocument/2006/relationships/hyperlink" Target="http://www.opentraintimes.com/schedule/F08186/2012/8/8" TargetMode="External"/><Relationship Id="rId303" Type="http://schemas.openxmlformats.org/officeDocument/2006/relationships/hyperlink" Target="http://www.opentraintimes.com/schedule/F53989/2012/8/8" TargetMode="External"/><Relationship Id="rId21" Type="http://schemas.openxmlformats.org/officeDocument/2006/relationships/hyperlink" Target="http://www.opentraintimes.com/schedule/F54291/2012/8/8" TargetMode="External"/><Relationship Id="rId42" Type="http://schemas.openxmlformats.org/officeDocument/2006/relationships/hyperlink" Target="http://www.opentraintimes.com/schedule/F54234/2012/8/8" TargetMode="External"/><Relationship Id="rId63" Type="http://schemas.openxmlformats.org/officeDocument/2006/relationships/hyperlink" Target="http://www.opentraintimes.com/schedule/F54226/2012/8/8" TargetMode="External"/><Relationship Id="rId84" Type="http://schemas.openxmlformats.org/officeDocument/2006/relationships/hyperlink" Target="http://www.opentraintimes.com/schedule/F54232/2012/8/8" TargetMode="External"/><Relationship Id="rId138" Type="http://schemas.openxmlformats.org/officeDocument/2006/relationships/hyperlink" Target="http://www.opentraintimes.com/schedule/F54268/2012/8/8" TargetMode="External"/><Relationship Id="rId159" Type="http://schemas.openxmlformats.org/officeDocument/2006/relationships/hyperlink" Target="http://www.opentraintimes.com/schedule/F54029/2012/8/8" TargetMode="External"/><Relationship Id="rId170" Type="http://schemas.openxmlformats.org/officeDocument/2006/relationships/hyperlink" Target="http://www.opentraintimes.com/schedule/F54272/2012/8/8" TargetMode="External"/><Relationship Id="rId191" Type="http://schemas.openxmlformats.org/officeDocument/2006/relationships/hyperlink" Target="http://www.opentraintimes.com/schedule/F54126/2012/8/8" TargetMode="External"/><Relationship Id="rId205" Type="http://schemas.openxmlformats.org/officeDocument/2006/relationships/hyperlink" Target="http://www.opentraintimes.com/schedule/F54038/2012/8/8" TargetMode="External"/><Relationship Id="rId226" Type="http://schemas.openxmlformats.org/officeDocument/2006/relationships/hyperlink" Target="http://www.opentraintimes.com/schedule/F54008/2012/8/8" TargetMode="External"/><Relationship Id="rId247" Type="http://schemas.openxmlformats.org/officeDocument/2006/relationships/hyperlink" Target="http://www.opentraintimes.com/schedule/F12507/2012/8/8" TargetMode="External"/><Relationship Id="rId107" Type="http://schemas.openxmlformats.org/officeDocument/2006/relationships/hyperlink" Target="http://www.opentraintimes.com/schedule/F54084/2012/8/8" TargetMode="External"/><Relationship Id="rId268" Type="http://schemas.openxmlformats.org/officeDocument/2006/relationships/hyperlink" Target="http://www.opentraintimes.com/schedule/F54314/2012/8/8" TargetMode="External"/><Relationship Id="rId289" Type="http://schemas.openxmlformats.org/officeDocument/2006/relationships/hyperlink" Target="http://www.opentraintimes.com/schedule/F54421/2012/8/8" TargetMode="External"/><Relationship Id="rId11" Type="http://schemas.openxmlformats.org/officeDocument/2006/relationships/hyperlink" Target="http://www.opentraintimes.com/schedule/F54449/2012/8/8" TargetMode="External"/><Relationship Id="rId32" Type="http://schemas.openxmlformats.org/officeDocument/2006/relationships/hyperlink" Target="http://www.opentraintimes.com/schedule/F54247/2012/8/8" TargetMode="External"/><Relationship Id="rId53" Type="http://schemas.openxmlformats.org/officeDocument/2006/relationships/hyperlink" Target="http://www.opentraintimes.com/schedule/F54426/2012/8/8" TargetMode="External"/><Relationship Id="rId74" Type="http://schemas.openxmlformats.org/officeDocument/2006/relationships/hyperlink" Target="http://www.opentraintimes.com/schedule/F54152/2012/8/8" TargetMode="External"/><Relationship Id="rId128" Type="http://schemas.openxmlformats.org/officeDocument/2006/relationships/hyperlink" Target="http://www.opentraintimes.com/schedule/F53975/2012/8/8" TargetMode="External"/><Relationship Id="rId149" Type="http://schemas.openxmlformats.org/officeDocument/2006/relationships/hyperlink" Target="http://www.opentraintimes.com/schedule/F54121/2012/8/8" TargetMode="External"/><Relationship Id="rId314" Type="http://schemas.openxmlformats.org/officeDocument/2006/relationships/hyperlink" Target="http://www.opentraintimes.com/schedule/F54445/2012/8/8" TargetMode="External"/><Relationship Id="rId5" Type="http://schemas.openxmlformats.org/officeDocument/2006/relationships/hyperlink" Target="http://www.opentraintimes.com/schedule/F54245/2012/8/8" TargetMode="External"/><Relationship Id="rId95" Type="http://schemas.openxmlformats.org/officeDocument/2006/relationships/hyperlink" Target="http://www.opentraintimes.com/schedule/F54021/2012/8/8" TargetMode="External"/><Relationship Id="rId160" Type="http://schemas.openxmlformats.org/officeDocument/2006/relationships/hyperlink" Target="http://www.opentraintimes.com/schedule/F53979/2012/8/8" TargetMode="External"/><Relationship Id="rId181" Type="http://schemas.openxmlformats.org/officeDocument/2006/relationships/hyperlink" Target="http://www.opentraintimes.com/schedule/F54414/2012/8/8" TargetMode="External"/><Relationship Id="rId216" Type="http://schemas.openxmlformats.org/officeDocument/2006/relationships/hyperlink" Target="http://www.opentraintimes.com/schedule/F54432/2012/8/8" TargetMode="External"/><Relationship Id="rId237" Type="http://schemas.openxmlformats.org/officeDocument/2006/relationships/hyperlink" Target="http://www.opentraintimes.com/schedule/F54068/2012/8/8" TargetMode="External"/><Relationship Id="rId258" Type="http://schemas.openxmlformats.org/officeDocument/2006/relationships/hyperlink" Target="http://www.opentraintimes.com/schedule/F54417/2012/8/8" TargetMode="External"/><Relationship Id="rId279" Type="http://schemas.openxmlformats.org/officeDocument/2006/relationships/hyperlink" Target="http://www.opentraintimes.com/schedule/F54181/2012/8/8" TargetMode="External"/><Relationship Id="rId22" Type="http://schemas.openxmlformats.org/officeDocument/2006/relationships/hyperlink" Target="http://www.opentraintimes.com/schedule/F54321/2012/8/8" TargetMode="External"/><Relationship Id="rId43" Type="http://schemas.openxmlformats.org/officeDocument/2006/relationships/hyperlink" Target="http://www.opentraintimes.com/schedule/F53999/2012/8/8" TargetMode="External"/><Relationship Id="rId64" Type="http://schemas.openxmlformats.org/officeDocument/2006/relationships/hyperlink" Target="http://www.opentraintimes.com/schedule/F54017/2012/8/8" TargetMode="External"/><Relationship Id="rId118" Type="http://schemas.openxmlformats.org/officeDocument/2006/relationships/hyperlink" Target="http://www.opentraintimes.com/schedule/F54298/2012/8/8" TargetMode="External"/><Relationship Id="rId139" Type="http://schemas.openxmlformats.org/officeDocument/2006/relationships/hyperlink" Target="http://www.opentraintimes.com/schedule/F54088/2012/8/8" TargetMode="External"/><Relationship Id="rId290" Type="http://schemas.openxmlformats.org/officeDocument/2006/relationships/hyperlink" Target="http://www.opentraintimes.com/schedule/F54135/2012/8/8" TargetMode="External"/><Relationship Id="rId304" Type="http://schemas.openxmlformats.org/officeDocument/2006/relationships/hyperlink" Target="http://www.opentraintimes.com/schedule/F08189/2012/8/8" TargetMode="External"/><Relationship Id="rId85" Type="http://schemas.openxmlformats.org/officeDocument/2006/relationships/hyperlink" Target="http://www.opentraintimes.com/schedule/F54113/2012/8/8" TargetMode="External"/><Relationship Id="rId150" Type="http://schemas.openxmlformats.org/officeDocument/2006/relationships/hyperlink" Target="http://www.opentraintimes.com/schedule/F54302/2012/8/8" TargetMode="External"/><Relationship Id="rId171" Type="http://schemas.openxmlformats.org/officeDocument/2006/relationships/hyperlink" Target="http://www.opentraintimes.com/schedule/F54092/2012/8/8" TargetMode="External"/><Relationship Id="rId192" Type="http://schemas.openxmlformats.org/officeDocument/2006/relationships/hyperlink" Target="http://www.opentraintimes.com/schedule/F54307/2012/8/8" TargetMode="External"/><Relationship Id="rId206" Type="http://schemas.openxmlformats.org/officeDocument/2006/relationships/hyperlink" Target="http://www.opentraintimes.com/schedule/F54039/2012/8/8" TargetMode="External"/><Relationship Id="rId227" Type="http://schemas.openxmlformats.org/officeDocument/2006/relationships/hyperlink" Target="http://www.opentraintimes.com/schedule/F54066/2012/8/8" TargetMode="External"/><Relationship Id="rId248" Type="http://schemas.openxmlformats.org/officeDocument/2006/relationships/hyperlink" Target="http://www.opentraintimes.com/schedule/F53983/2012/8/8" TargetMode="External"/><Relationship Id="rId269" Type="http://schemas.openxmlformats.org/officeDocument/2006/relationships/hyperlink" Target="http://www.opentraintimes.com/schedule/F54054/2012/8/8" TargetMode="External"/><Relationship Id="rId12" Type="http://schemas.openxmlformats.org/officeDocument/2006/relationships/hyperlink" Target="http://www.opentraintimes.com/schedule/F54450/2012/8/8" TargetMode="External"/><Relationship Id="rId33" Type="http://schemas.openxmlformats.org/officeDocument/2006/relationships/hyperlink" Target="http://www.opentraintimes.com/schedule/F54014/2012/8/8" TargetMode="External"/><Relationship Id="rId108" Type="http://schemas.openxmlformats.org/officeDocument/2006/relationships/hyperlink" Target="http://www.opentraintimes.com/schedule/F54405/2012/8/8" TargetMode="External"/><Relationship Id="rId129" Type="http://schemas.openxmlformats.org/officeDocument/2006/relationships/hyperlink" Target="http://www.opentraintimes.com/schedule/F54159/2012/8/8" TargetMode="External"/><Relationship Id="rId280" Type="http://schemas.openxmlformats.org/officeDocument/2006/relationships/hyperlink" Target="http://www.opentraintimes.com/schedule/F54103/2012/8/8" TargetMode="External"/><Relationship Id="rId315" Type="http://schemas.openxmlformats.org/officeDocument/2006/relationships/printerSettings" Target="../printerSettings/printerSettings3.bin"/><Relationship Id="rId54" Type="http://schemas.openxmlformats.org/officeDocument/2006/relationships/hyperlink" Target="http://www.opentraintimes.com/schedule/F54001/2012/8/8" TargetMode="External"/><Relationship Id="rId75" Type="http://schemas.openxmlformats.org/officeDocument/2006/relationships/hyperlink" Target="http://www.opentraintimes.com/schedule/F54233/2012/8/8" TargetMode="External"/><Relationship Id="rId96" Type="http://schemas.openxmlformats.org/officeDocument/2006/relationships/hyperlink" Target="http://www.opentraintimes.com/schedule/F53971/2012/8/8" TargetMode="External"/><Relationship Id="rId140" Type="http://schemas.openxmlformats.org/officeDocument/2006/relationships/hyperlink" Target="http://www.opentraintimes.com/schedule/F54409/2012/8/8" TargetMode="External"/><Relationship Id="rId161" Type="http://schemas.openxmlformats.org/officeDocument/2006/relationships/hyperlink" Target="http://www.opentraintimes.com/schedule/F54163/2012/8/8" TargetMode="External"/><Relationship Id="rId182" Type="http://schemas.openxmlformats.org/officeDocument/2006/relationships/hyperlink" Target="http://www.opentraintimes.com/schedule/F54125/2012/8/8" TargetMode="External"/><Relationship Id="rId217" Type="http://schemas.openxmlformats.org/officeDocument/2006/relationships/hyperlink" Target="http://www.opentraintimes.com/schedule/F54043/2012/8/8" TargetMode="External"/><Relationship Id="rId6" Type="http://schemas.openxmlformats.org/officeDocument/2006/relationships/hyperlink" Target="http://www.opentraintimes.com/schedule/F54446/2012/8/8" TargetMode="External"/><Relationship Id="rId238" Type="http://schemas.openxmlformats.org/officeDocument/2006/relationships/hyperlink" Target="http://www.opentraintimes.com/schedule/F54279/2012/8/8" TargetMode="External"/><Relationship Id="rId259" Type="http://schemas.openxmlformats.org/officeDocument/2006/relationships/hyperlink" Target="http://www.opentraintimes.com/schedule/F54131/2012/8/8" TargetMode="External"/><Relationship Id="rId23" Type="http://schemas.openxmlformats.org/officeDocument/2006/relationships/hyperlink" Target="http://www.opentraintimes.com/schedule/F54147/2012/8/8" TargetMode="External"/><Relationship Id="rId119" Type="http://schemas.openxmlformats.org/officeDocument/2006/relationships/hyperlink" Target="http://www.opentraintimes.com/schedule/F54024/2012/8/8" TargetMode="External"/><Relationship Id="rId270" Type="http://schemas.openxmlformats.org/officeDocument/2006/relationships/hyperlink" Target="http://www.opentraintimes.com/schedule/F53986/2012/8/8" TargetMode="External"/><Relationship Id="rId291" Type="http://schemas.openxmlformats.org/officeDocument/2006/relationships/hyperlink" Target="http://www.opentraintimes.com/schedule/F54424/2012/8/8" TargetMode="External"/><Relationship Id="rId305" Type="http://schemas.openxmlformats.org/officeDocument/2006/relationships/hyperlink" Target="http://www.opentraintimes.com/schedule/F54441/2012/8/8" TargetMode="External"/><Relationship Id="rId44" Type="http://schemas.openxmlformats.org/officeDocument/2006/relationships/hyperlink" Target="http://www.opentraintimes.com/schedule/F54251/2012/8/8" TargetMode="External"/><Relationship Id="rId65" Type="http://schemas.openxmlformats.org/officeDocument/2006/relationships/hyperlink" Target="http://www.opentraintimes.com/schedule/F54003/2012/8/8" TargetMode="External"/><Relationship Id="rId86" Type="http://schemas.openxmlformats.org/officeDocument/2006/relationships/hyperlink" Target="http://www.opentraintimes.com/schedule/F54294/2012/8/8" TargetMode="External"/><Relationship Id="rId130" Type="http://schemas.openxmlformats.org/officeDocument/2006/relationships/hyperlink" Target="http://www.opentraintimes.com/schedule/F54267/2012/8/8" TargetMode="External"/><Relationship Id="rId151" Type="http://schemas.openxmlformats.org/officeDocument/2006/relationships/hyperlink" Target="http://www.opentraintimes.com/schedule/F54028/2012/8/8" TargetMode="External"/><Relationship Id="rId172" Type="http://schemas.openxmlformats.org/officeDocument/2006/relationships/hyperlink" Target="http://www.opentraintimes.com/schedule/F54413/2012/8/8" TargetMode="External"/><Relationship Id="rId193" Type="http://schemas.openxmlformats.org/officeDocument/2006/relationships/hyperlink" Target="http://www.opentraintimes.com/schedule/F54033/2012/8/8" TargetMode="External"/><Relationship Id="rId207" Type="http://schemas.openxmlformats.org/officeDocument/2006/relationships/hyperlink" Target="http://www.opentraintimes.com/schedule/F54402/2012/8/8" TargetMode="External"/><Relationship Id="rId228" Type="http://schemas.openxmlformats.org/officeDocument/2006/relationships/hyperlink" Target="http://www.opentraintimes.com/schedule/F54237/2012/8/8" TargetMode="External"/><Relationship Id="rId249" Type="http://schemas.openxmlformats.org/officeDocument/2006/relationships/hyperlink" Target="http://www.opentraintimes.com/schedule/F54099/2012/8/8" TargetMode="External"/><Relationship Id="rId13" Type="http://schemas.openxmlformats.org/officeDocument/2006/relationships/hyperlink" Target="http://www.opentraintimes.com/schedule/F54110/2012/8/8" TargetMode="External"/><Relationship Id="rId109" Type="http://schemas.openxmlformats.org/officeDocument/2006/relationships/hyperlink" Target="http://www.opentraintimes.com/schedule/F54116/2012/8/8" TargetMode="External"/><Relationship Id="rId260" Type="http://schemas.openxmlformats.org/officeDocument/2006/relationships/hyperlink" Target="http://www.opentraintimes.com/schedule/F54313/2012/8/8" TargetMode="External"/><Relationship Id="rId281" Type="http://schemas.openxmlformats.org/officeDocument/2006/relationships/hyperlink" Target="http://www.opentraintimes.com/schedule/F54420/2012/8/8" TargetMode="External"/><Relationship Id="rId34" Type="http://schemas.openxmlformats.org/officeDocument/2006/relationships/hyperlink" Target="http://www.opentraintimes.com/schedule/F54435/2012/8/8" TargetMode="External"/><Relationship Id="rId55" Type="http://schemas.openxmlformats.org/officeDocument/2006/relationships/hyperlink" Target="http://www.opentraintimes.com/schedule/F54078/2012/8/8" TargetMode="External"/><Relationship Id="rId76" Type="http://schemas.openxmlformats.org/officeDocument/2006/relationships/hyperlink" Target="http://www.opentraintimes.com/schedule/F53992/2012/8/8" TargetMode="External"/><Relationship Id="rId97" Type="http://schemas.openxmlformats.org/officeDocument/2006/relationships/hyperlink" Target="http://www.opentraintimes.com/schedule/F54155/2012/8/8" TargetMode="External"/><Relationship Id="rId120" Type="http://schemas.openxmlformats.org/officeDocument/2006/relationships/hyperlink" Target="http://www.opentraintimes.com/schedule/F53974/2012/8/8" TargetMode="External"/><Relationship Id="rId141" Type="http://schemas.openxmlformats.org/officeDocument/2006/relationships/hyperlink" Target="http://www.opentraintimes.com/schedule/F54120/2012/8/8" TargetMode="External"/><Relationship Id="rId7" Type="http://schemas.openxmlformats.org/officeDocument/2006/relationships/hyperlink" Target="http://www.opentraintimes.com/schedule/F54186/2012/8/8" TargetMode="External"/><Relationship Id="rId162" Type="http://schemas.openxmlformats.org/officeDocument/2006/relationships/hyperlink" Target="http://www.opentraintimes.com/schedule/F54271/2012/8/8" TargetMode="External"/><Relationship Id="rId183" Type="http://schemas.openxmlformats.org/officeDocument/2006/relationships/hyperlink" Target="http://www.opentraintimes.com/schedule/F54306/2012/8/8" TargetMode="External"/><Relationship Id="rId218" Type="http://schemas.openxmlformats.org/officeDocument/2006/relationships/hyperlink" Target="http://www.opentraintimes.com/schedule/F54172/2012/8/8" TargetMode="External"/><Relationship Id="rId239" Type="http://schemas.openxmlformats.org/officeDocument/2006/relationships/hyperlink" Target="http://www.opentraintimes.com/schedule/F54176/2012/8/8" TargetMode="External"/><Relationship Id="rId250" Type="http://schemas.openxmlformats.org/officeDocument/2006/relationships/hyperlink" Target="http://www.opentraintimes.com/schedule/F54416/2012/8/8" TargetMode="External"/><Relationship Id="rId271" Type="http://schemas.openxmlformats.org/officeDocument/2006/relationships/hyperlink" Target="http://www.opentraintimes.com/schedule/F54180/2012/8/8" TargetMode="External"/><Relationship Id="rId292" Type="http://schemas.openxmlformats.org/officeDocument/2006/relationships/hyperlink" Target="http://www.opentraintimes.com/schedule/F54317/2012/8/8" TargetMode="External"/><Relationship Id="rId306" Type="http://schemas.openxmlformats.org/officeDocument/2006/relationships/hyperlink" Target="http://www.opentraintimes.com/schedule/F54422/2012/8/8" TargetMode="External"/><Relationship Id="rId24" Type="http://schemas.openxmlformats.org/officeDocument/2006/relationships/hyperlink" Target="http://www.opentraintimes.com/schedule/F54322/2012/8/8" TargetMode="External"/><Relationship Id="rId45" Type="http://schemas.openxmlformats.org/officeDocument/2006/relationships/hyperlink" Target="http://www.opentraintimes.com/schedule/F54077/2012/8/8" TargetMode="External"/><Relationship Id="rId66" Type="http://schemas.openxmlformats.org/officeDocument/2006/relationships/hyperlink" Target="http://www.opentraintimes.com/schedule/F54079/2012/8/8" TargetMode="External"/><Relationship Id="rId87" Type="http://schemas.openxmlformats.org/officeDocument/2006/relationships/hyperlink" Target="http://www.opentraintimes.com/schedule/F54020/2012/8/8" TargetMode="External"/><Relationship Id="rId110" Type="http://schemas.openxmlformats.org/officeDocument/2006/relationships/hyperlink" Target="http://www.opentraintimes.com/schedule/F54297/2012/8/8" TargetMode="External"/><Relationship Id="rId131" Type="http://schemas.openxmlformats.org/officeDocument/2006/relationships/hyperlink" Target="http://www.opentraintimes.com/schedule/F54087/2012/8/8" TargetMode="External"/><Relationship Id="rId61" Type="http://schemas.openxmlformats.org/officeDocument/2006/relationships/hyperlink" Target="http://www.opentraintimes.com/schedule/F54002/2012/8/8" TargetMode="External"/><Relationship Id="rId82" Type="http://schemas.openxmlformats.org/officeDocument/2006/relationships/hyperlink" Target="http://www.opentraintimes.com/schedule/F54081/2012/8/8" TargetMode="External"/><Relationship Id="rId152" Type="http://schemas.openxmlformats.org/officeDocument/2006/relationships/hyperlink" Target="http://www.opentraintimes.com/schedule/F53978/2012/8/8" TargetMode="External"/><Relationship Id="rId173" Type="http://schemas.openxmlformats.org/officeDocument/2006/relationships/hyperlink" Target="http://www.opentraintimes.com/schedule/F54124/2012/8/8" TargetMode="External"/><Relationship Id="rId194" Type="http://schemas.openxmlformats.org/officeDocument/2006/relationships/hyperlink" Target="http://www.opentraintimes.com/schedule/F54145/2012/8/8" TargetMode="External"/><Relationship Id="rId199" Type="http://schemas.openxmlformats.org/officeDocument/2006/relationships/hyperlink" Target="http://www.opentraintimes.com/schedule/F54308/2012/8/8" TargetMode="External"/><Relationship Id="rId203" Type="http://schemas.openxmlformats.org/officeDocument/2006/relationships/hyperlink" Target="http://www.opentraintimes.com/schedule/F54169/2012/8/8" TargetMode="External"/><Relationship Id="rId208" Type="http://schemas.openxmlformats.org/officeDocument/2006/relationships/hyperlink" Target="http://www.opentraintimes.com/schedule/F54143/2012/8/8" TargetMode="External"/><Relationship Id="rId229" Type="http://schemas.openxmlformats.org/officeDocument/2006/relationships/hyperlink" Target="http://www.opentraintimes.com/schedule/F54096/2012/8/8" TargetMode="External"/><Relationship Id="rId19" Type="http://schemas.openxmlformats.org/officeDocument/2006/relationships/hyperlink" Target="http://www.opentraintimes.com/schedule/F53965/2012/8/8" TargetMode="External"/><Relationship Id="rId224" Type="http://schemas.openxmlformats.org/officeDocument/2006/relationships/hyperlink" Target="http://www.opentraintimes.com/schedule/F54173/2012/8/8" TargetMode="External"/><Relationship Id="rId240" Type="http://schemas.openxmlformats.org/officeDocument/2006/relationships/hyperlink" Target="http://www.opentraintimes.com/schedule/F53964/2012/8/8" TargetMode="External"/><Relationship Id="rId245" Type="http://schemas.openxmlformats.org/officeDocument/2006/relationships/hyperlink" Target="http://www.opentraintimes.com/schedule/F54146/2012/8/8" TargetMode="External"/><Relationship Id="rId261" Type="http://schemas.openxmlformats.org/officeDocument/2006/relationships/hyperlink" Target="http://www.opentraintimes.com/schedule/F54053/2012/8/8" TargetMode="External"/><Relationship Id="rId266" Type="http://schemas.openxmlformats.org/officeDocument/2006/relationships/hyperlink" Target="http://www.opentraintimes.com/schedule/F54418/2012/8/8" TargetMode="External"/><Relationship Id="rId287" Type="http://schemas.openxmlformats.org/officeDocument/2006/relationships/hyperlink" Target="http://www.opentraintimes.com/schedule/F54284/2012/8/8" TargetMode="External"/><Relationship Id="rId14" Type="http://schemas.openxmlformats.org/officeDocument/2006/relationships/hyperlink" Target="http://www.opentraintimes.com/schedule/F54289/2012/8/8" TargetMode="External"/><Relationship Id="rId30" Type="http://schemas.openxmlformats.org/officeDocument/2006/relationships/hyperlink" Target="http://www.opentraintimes.com/schedule/F54400/2012/8/8" TargetMode="External"/><Relationship Id="rId35" Type="http://schemas.openxmlformats.org/officeDocument/2006/relationships/hyperlink" Target="http://www.opentraintimes.com/schedule/F54293/2012/8/8" TargetMode="External"/><Relationship Id="rId56" Type="http://schemas.openxmlformats.org/officeDocument/2006/relationships/hyperlink" Target="http://www.opentraintimes.com/schedule/F54255/2012/8/8" TargetMode="External"/><Relationship Id="rId77" Type="http://schemas.openxmlformats.org/officeDocument/2006/relationships/hyperlink" Target="http://www.opentraintimes.com/schedule/F54112/2012/8/8" TargetMode="External"/><Relationship Id="rId100" Type="http://schemas.openxmlformats.org/officeDocument/2006/relationships/hyperlink" Target="http://www.opentraintimes.com/schedule/F54404/2012/8/8" TargetMode="External"/><Relationship Id="rId105" Type="http://schemas.openxmlformats.org/officeDocument/2006/relationships/hyperlink" Target="http://www.opentraintimes.com/schedule/F54156/2012/8/8" TargetMode="External"/><Relationship Id="rId126" Type="http://schemas.openxmlformats.org/officeDocument/2006/relationships/hyperlink" Target="http://www.opentraintimes.com/schedule/F54299/2012/8/8" TargetMode="External"/><Relationship Id="rId147" Type="http://schemas.openxmlformats.org/officeDocument/2006/relationships/hyperlink" Target="http://www.opentraintimes.com/schedule/F54089/2012/8/8" TargetMode="External"/><Relationship Id="rId168" Type="http://schemas.openxmlformats.org/officeDocument/2006/relationships/hyperlink" Target="http://www.opentraintimes.com/schedule/F53980/2012/8/8" TargetMode="External"/><Relationship Id="rId282" Type="http://schemas.openxmlformats.org/officeDocument/2006/relationships/hyperlink" Target="http://www.opentraintimes.com/schedule/F54134/2012/8/8" TargetMode="External"/><Relationship Id="rId312" Type="http://schemas.openxmlformats.org/officeDocument/2006/relationships/hyperlink" Target="http://www.opentraintimes.com/schedule/F54444/2012/8/8" TargetMode="External"/><Relationship Id="rId8" Type="http://schemas.openxmlformats.org/officeDocument/2006/relationships/hyperlink" Target="http://www.opentraintimes.com/schedule/F54447/2012/8/8" TargetMode="External"/><Relationship Id="rId51" Type="http://schemas.openxmlformats.org/officeDocument/2006/relationships/hyperlink" Target="http://www.opentraintimes.com/schedule/F54016/2012/8/8" TargetMode="External"/><Relationship Id="rId72" Type="http://schemas.openxmlformats.org/officeDocument/2006/relationships/hyperlink" Target="http://www.opentraintimes.com/schedule/F54288/2012/8/8" TargetMode="External"/><Relationship Id="rId93" Type="http://schemas.openxmlformats.org/officeDocument/2006/relationships/hyperlink" Target="http://www.opentraintimes.com/schedule/F54114/2012/8/8" TargetMode="External"/><Relationship Id="rId98" Type="http://schemas.openxmlformats.org/officeDocument/2006/relationships/hyperlink" Target="http://www.opentraintimes.com/schedule/F54263/2012/8/8" TargetMode="External"/><Relationship Id="rId121" Type="http://schemas.openxmlformats.org/officeDocument/2006/relationships/hyperlink" Target="http://www.opentraintimes.com/schedule/F54158/2012/8/8" TargetMode="External"/><Relationship Id="rId142" Type="http://schemas.openxmlformats.org/officeDocument/2006/relationships/hyperlink" Target="http://www.opentraintimes.com/schedule/F54301/2012/8/8" TargetMode="External"/><Relationship Id="rId163" Type="http://schemas.openxmlformats.org/officeDocument/2006/relationships/hyperlink" Target="http://www.opentraintimes.com/schedule/F54091/2012/8/8" TargetMode="External"/><Relationship Id="rId184" Type="http://schemas.openxmlformats.org/officeDocument/2006/relationships/hyperlink" Target="http://www.opentraintimes.com/schedule/F54189/2012/8/8" TargetMode="External"/><Relationship Id="rId189" Type="http://schemas.openxmlformats.org/officeDocument/2006/relationships/hyperlink" Target="http://www.opentraintimes.com/schedule/F54166/2012/8/8" TargetMode="External"/><Relationship Id="rId219" Type="http://schemas.openxmlformats.org/officeDocument/2006/relationships/hyperlink" Target="http://www.opentraintimes.com/schedule/F54045/2012/8/8" TargetMode="External"/><Relationship Id="rId3" Type="http://schemas.openxmlformats.org/officeDocument/2006/relationships/hyperlink" Target="http://www.opentraintimes.com/schedule/F53990/2012/8/7" TargetMode="External"/><Relationship Id="rId214" Type="http://schemas.openxmlformats.org/officeDocument/2006/relationships/hyperlink" Target="http://www.opentraintimes.com/schedule/F54171/2012/8/8" TargetMode="External"/><Relationship Id="rId230" Type="http://schemas.openxmlformats.org/officeDocument/2006/relationships/hyperlink" Target="http://www.opentraintimes.com/schedule/F54174/2012/8/8" TargetMode="External"/><Relationship Id="rId235" Type="http://schemas.openxmlformats.org/officeDocument/2006/relationships/hyperlink" Target="http://www.opentraintimes.com/schedule/F54238/2012/8/8" TargetMode="External"/><Relationship Id="rId251" Type="http://schemas.openxmlformats.org/officeDocument/2006/relationships/hyperlink" Target="http://www.opentraintimes.com/schedule/F54130/2012/8/8" TargetMode="External"/><Relationship Id="rId256" Type="http://schemas.openxmlformats.org/officeDocument/2006/relationships/hyperlink" Target="http://www.opentraintimes.com/schedule/F40001/2012/8/8" TargetMode="External"/><Relationship Id="rId277" Type="http://schemas.openxmlformats.org/officeDocument/2006/relationships/hyperlink" Target="http://www.opentraintimes.com/schedule/F54055/2012/8/8" TargetMode="External"/><Relationship Id="rId298" Type="http://schemas.openxmlformats.org/officeDocument/2006/relationships/hyperlink" Target="http://www.opentraintimes.com/schedule/F54439/2012/8/8" TargetMode="External"/><Relationship Id="rId25" Type="http://schemas.openxmlformats.org/officeDocument/2006/relationships/hyperlink" Target="http://www.opentraintimes.com/schedule/F54292/2012/8/8" TargetMode="External"/><Relationship Id="rId46" Type="http://schemas.openxmlformats.org/officeDocument/2006/relationships/hyperlink" Target="http://www.opentraintimes.com/schedule/F54224/2012/8/8" TargetMode="External"/><Relationship Id="rId67" Type="http://schemas.openxmlformats.org/officeDocument/2006/relationships/hyperlink" Target="http://www.opentraintimes.com/schedule/F54258/2012/8/8" TargetMode="External"/><Relationship Id="rId116" Type="http://schemas.openxmlformats.org/officeDocument/2006/relationships/hyperlink" Target="http://www.opentraintimes.com/schedule/F54406/2012/8/8" TargetMode="External"/><Relationship Id="rId137" Type="http://schemas.openxmlformats.org/officeDocument/2006/relationships/hyperlink" Target="http://www.opentraintimes.com/schedule/F54160/2012/8/8" TargetMode="External"/><Relationship Id="rId158" Type="http://schemas.openxmlformats.org/officeDocument/2006/relationships/hyperlink" Target="http://www.opentraintimes.com/schedule/F54303/2012/8/8" TargetMode="External"/><Relationship Id="rId272" Type="http://schemas.openxmlformats.org/officeDocument/2006/relationships/hyperlink" Target="http://www.opentraintimes.com/schedule/F54283/2012/8/8" TargetMode="External"/><Relationship Id="rId293" Type="http://schemas.openxmlformats.org/officeDocument/2006/relationships/hyperlink" Target="http://www.opentraintimes.com/schedule/F12508/2012/8/8" TargetMode="External"/><Relationship Id="rId302" Type="http://schemas.openxmlformats.org/officeDocument/2006/relationships/hyperlink" Target="http://www.opentraintimes.com/schedule/F54184/2012/8/8" TargetMode="External"/><Relationship Id="rId307" Type="http://schemas.openxmlformats.org/officeDocument/2006/relationships/hyperlink" Target="http://www.opentraintimes.com/schedule/F54138/2012/8/8" TargetMode="External"/><Relationship Id="rId20" Type="http://schemas.openxmlformats.org/officeDocument/2006/relationships/hyperlink" Target="http://www.opentraintimes.com/schedule/F54074/2012/8/8" TargetMode="External"/><Relationship Id="rId41" Type="http://schemas.openxmlformats.org/officeDocument/2006/relationships/hyperlink" Target="http://www.opentraintimes.com/schedule/F54015/2012/8/8" TargetMode="External"/><Relationship Id="rId62" Type="http://schemas.openxmlformats.org/officeDocument/2006/relationships/hyperlink" Target="http://www.opentraintimes.com/schedule/F54434/2012/8/8" TargetMode="External"/><Relationship Id="rId83" Type="http://schemas.openxmlformats.org/officeDocument/2006/relationships/hyperlink" Target="http://www.opentraintimes.com/schedule/F54397/2012/8/8" TargetMode="External"/><Relationship Id="rId88" Type="http://schemas.openxmlformats.org/officeDocument/2006/relationships/hyperlink" Target="http://www.opentraintimes.com/schedule/F53970/2012/8/8" TargetMode="External"/><Relationship Id="rId111" Type="http://schemas.openxmlformats.org/officeDocument/2006/relationships/hyperlink" Target="http://www.opentraintimes.com/schedule/F54023/2012/8/8" TargetMode="External"/><Relationship Id="rId132" Type="http://schemas.openxmlformats.org/officeDocument/2006/relationships/hyperlink" Target="http://www.opentraintimes.com/schedule/F54408/2012/8/8" TargetMode="External"/><Relationship Id="rId153" Type="http://schemas.openxmlformats.org/officeDocument/2006/relationships/hyperlink" Target="http://www.opentraintimes.com/schedule/F54162/2012/8/8" TargetMode="External"/><Relationship Id="rId174" Type="http://schemas.openxmlformats.org/officeDocument/2006/relationships/hyperlink" Target="http://www.opentraintimes.com/schedule/F54057/2012/8/8" TargetMode="External"/><Relationship Id="rId179" Type="http://schemas.openxmlformats.org/officeDocument/2006/relationships/hyperlink" Target="http://www.opentraintimes.com/schedule/F54273/2012/8/8" TargetMode="External"/><Relationship Id="rId195" Type="http://schemas.openxmlformats.org/officeDocument/2006/relationships/hyperlink" Target="http://www.opentraintimes.com/schedule/F54167/2012/8/8" TargetMode="External"/><Relationship Id="rId209" Type="http://schemas.openxmlformats.org/officeDocument/2006/relationships/hyperlink" Target="http://www.opentraintimes.com/schedule/F54170/2012/8/8" TargetMode="External"/><Relationship Id="rId190" Type="http://schemas.openxmlformats.org/officeDocument/2006/relationships/hyperlink" Target="http://www.opentraintimes.com/schedule/F54415/2012/8/8" TargetMode="External"/><Relationship Id="rId204" Type="http://schemas.openxmlformats.org/officeDocument/2006/relationships/hyperlink" Target="http://www.opentraintimes.com/schedule/F53961/2012/8/8" TargetMode="External"/><Relationship Id="rId220" Type="http://schemas.openxmlformats.org/officeDocument/2006/relationships/hyperlink" Target="http://www.opentraintimes.com/schedule/F53963/2012/8/8" TargetMode="External"/><Relationship Id="rId225" Type="http://schemas.openxmlformats.org/officeDocument/2006/relationships/hyperlink" Target="http://www.opentraintimes.com/schedule/F54287/2012/8/8" TargetMode="External"/><Relationship Id="rId241" Type="http://schemas.openxmlformats.org/officeDocument/2006/relationships/hyperlink" Target="http://www.opentraintimes.com/schedule/F54098/2012/8/8" TargetMode="External"/><Relationship Id="rId246" Type="http://schemas.openxmlformats.org/officeDocument/2006/relationships/hyperlink" Target="http://www.opentraintimes.com/schedule/F54177/2012/8/8" TargetMode="External"/><Relationship Id="rId267" Type="http://schemas.openxmlformats.org/officeDocument/2006/relationships/hyperlink" Target="http://www.opentraintimes.com/schedule/F54132/2012/8/8" TargetMode="External"/><Relationship Id="rId288" Type="http://schemas.openxmlformats.org/officeDocument/2006/relationships/hyperlink" Target="http://www.opentraintimes.com/schedule/F54104/2012/8/8" TargetMode="External"/><Relationship Id="rId15" Type="http://schemas.openxmlformats.org/officeDocument/2006/relationships/hyperlink" Target="http://www.opentraintimes.com/schedule/F54072/2012/8/8" TargetMode="External"/><Relationship Id="rId36" Type="http://schemas.openxmlformats.org/officeDocument/2006/relationships/hyperlink" Target="http://www.opentraintimes.com/schedule/F54076/2012/8/8" TargetMode="External"/><Relationship Id="rId57" Type="http://schemas.openxmlformats.org/officeDocument/2006/relationships/hyperlink" Target="http://www.opentraintimes.com/schedule/F54428/2012/8/8" TargetMode="External"/><Relationship Id="rId106" Type="http://schemas.openxmlformats.org/officeDocument/2006/relationships/hyperlink" Target="http://www.opentraintimes.com/schedule/F54264/2012/8/8" TargetMode="External"/><Relationship Id="rId127" Type="http://schemas.openxmlformats.org/officeDocument/2006/relationships/hyperlink" Target="http://www.opentraintimes.com/schedule/F54025/2012/8/8" TargetMode="External"/><Relationship Id="rId262" Type="http://schemas.openxmlformats.org/officeDocument/2006/relationships/hyperlink" Target="http://www.opentraintimes.com/schedule/F53985/2012/8/8" TargetMode="External"/><Relationship Id="rId283" Type="http://schemas.openxmlformats.org/officeDocument/2006/relationships/hyperlink" Target="http://www.opentraintimes.com/schedule/F54316/2012/8/8" TargetMode="External"/><Relationship Id="rId313" Type="http://schemas.openxmlformats.org/officeDocument/2006/relationships/hyperlink" Target="http://www.opentraintimes.com/schedule/F08190/2012/8/8" TargetMode="External"/><Relationship Id="rId10" Type="http://schemas.openxmlformats.org/officeDocument/2006/relationships/hyperlink" Target="http://www.opentraintimes.com/schedule/F08191/2012/8/8" TargetMode="External"/><Relationship Id="rId31" Type="http://schemas.openxmlformats.org/officeDocument/2006/relationships/hyperlink" Target="http://www.opentraintimes.com/schedule/F54285/2012/8/8" TargetMode="External"/><Relationship Id="rId52" Type="http://schemas.openxmlformats.org/officeDocument/2006/relationships/hyperlink" Target="http://www.opentraintimes.com/schedule/F54149/2012/8/8" TargetMode="External"/><Relationship Id="rId73" Type="http://schemas.openxmlformats.org/officeDocument/2006/relationships/hyperlink" Target="http://www.opentraintimes.com/schedule/F54080/2012/8/8" TargetMode="External"/><Relationship Id="rId78" Type="http://schemas.openxmlformats.org/officeDocument/2006/relationships/hyperlink" Target="http://www.opentraintimes.com/schedule/F54005/2012/8/8" TargetMode="External"/><Relationship Id="rId94" Type="http://schemas.openxmlformats.org/officeDocument/2006/relationships/hyperlink" Target="http://www.opentraintimes.com/schedule/F54295/2012/8/8" TargetMode="External"/><Relationship Id="rId99" Type="http://schemas.openxmlformats.org/officeDocument/2006/relationships/hyperlink" Target="http://www.opentraintimes.com/schedule/F54083/2012/8/8" TargetMode="External"/><Relationship Id="rId101" Type="http://schemas.openxmlformats.org/officeDocument/2006/relationships/hyperlink" Target="http://www.opentraintimes.com/schedule/F54115/2012/8/8" TargetMode="External"/><Relationship Id="rId122" Type="http://schemas.openxmlformats.org/officeDocument/2006/relationships/hyperlink" Target="http://www.opentraintimes.com/schedule/F54266/2012/8/8" TargetMode="External"/><Relationship Id="rId143" Type="http://schemas.openxmlformats.org/officeDocument/2006/relationships/hyperlink" Target="http://www.opentraintimes.com/schedule/F54027/2012/8/8" TargetMode="External"/><Relationship Id="rId148" Type="http://schemas.openxmlformats.org/officeDocument/2006/relationships/hyperlink" Target="http://www.opentraintimes.com/schedule/F54410/2012/8/8" TargetMode="External"/><Relationship Id="rId164" Type="http://schemas.openxmlformats.org/officeDocument/2006/relationships/hyperlink" Target="http://www.opentraintimes.com/schedule/F54412/2012/8/8" TargetMode="External"/><Relationship Id="rId169" Type="http://schemas.openxmlformats.org/officeDocument/2006/relationships/hyperlink" Target="http://www.opentraintimes.com/schedule/F54164/2012/8/8" TargetMode="External"/><Relationship Id="rId185" Type="http://schemas.openxmlformats.org/officeDocument/2006/relationships/hyperlink" Target="http://www.opentraintimes.com/schedule/F54032/2012/8/8" TargetMode="External"/><Relationship Id="rId4" Type="http://schemas.openxmlformats.org/officeDocument/2006/relationships/hyperlink" Target="http://www.opentraintimes.com/schedule/F08187/2012/8/8" TargetMode="External"/><Relationship Id="rId9" Type="http://schemas.openxmlformats.org/officeDocument/2006/relationships/hyperlink" Target="http://www.opentraintimes.com/schedule/F54448/2012/8/8" TargetMode="External"/><Relationship Id="rId180" Type="http://schemas.openxmlformats.org/officeDocument/2006/relationships/hyperlink" Target="http://www.opentraintimes.com/schedule/F54093/2012/8/8" TargetMode="External"/><Relationship Id="rId210" Type="http://schemas.openxmlformats.org/officeDocument/2006/relationships/hyperlink" Target="http://www.opentraintimes.com/schedule/F54064/2012/8/8" TargetMode="External"/><Relationship Id="rId215" Type="http://schemas.openxmlformats.org/officeDocument/2006/relationships/hyperlink" Target="http://www.opentraintimes.com/schedule/F54065/2012/8/8" TargetMode="External"/><Relationship Id="rId236" Type="http://schemas.openxmlformats.org/officeDocument/2006/relationships/hyperlink" Target="http://www.opentraintimes.com/schedule/F54310/2012/8/8" TargetMode="External"/><Relationship Id="rId257" Type="http://schemas.openxmlformats.org/officeDocument/2006/relationships/hyperlink" Target="http://www.opentraintimes.com/schedule/F54100/2012/8/8" TargetMode="External"/><Relationship Id="rId278" Type="http://schemas.openxmlformats.org/officeDocument/2006/relationships/hyperlink" Target="http://www.opentraintimes.com/schedule/F53987/2012/8/8" TargetMode="External"/><Relationship Id="rId26" Type="http://schemas.openxmlformats.org/officeDocument/2006/relationships/hyperlink" Target="http://www.opentraintimes.com/schedule/F54075/2012/8/8" TargetMode="External"/><Relationship Id="rId231" Type="http://schemas.openxmlformats.org/officeDocument/2006/relationships/hyperlink" Target="http://www.opentraintimes.com/schedule/F54309/2012/8/8" TargetMode="External"/><Relationship Id="rId252" Type="http://schemas.openxmlformats.org/officeDocument/2006/relationships/hyperlink" Target="http://www.opentraintimes.com/schedule/F54312/2012/8/8" TargetMode="External"/><Relationship Id="rId273" Type="http://schemas.openxmlformats.org/officeDocument/2006/relationships/hyperlink" Target="http://www.opentraintimes.com/schedule/F54102/2012/8/8" TargetMode="External"/><Relationship Id="rId294" Type="http://schemas.openxmlformats.org/officeDocument/2006/relationships/hyperlink" Target="http://www.opentraintimes.com/schedule/F53988/2012/8/8" TargetMode="External"/><Relationship Id="rId308" Type="http://schemas.openxmlformats.org/officeDocument/2006/relationships/hyperlink" Target="http://www.opentraintimes.com/schedule/F54442/2012/8/8" TargetMode="External"/><Relationship Id="rId47" Type="http://schemas.openxmlformats.org/officeDocument/2006/relationships/hyperlink" Target="http://www.opentraintimes.com/schedule/F54071/2012/8/8" TargetMode="External"/><Relationship Id="rId68" Type="http://schemas.openxmlformats.org/officeDocument/2006/relationships/hyperlink" Target="http://www.opentraintimes.com/schedule/F54429/2012/8/8" TargetMode="External"/><Relationship Id="rId89" Type="http://schemas.openxmlformats.org/officeDocument/2006/relationships/hyperlink" Target="http://www.opentraintimes.com/schedule/F54154/2012/8/8" TargetMode="External"/><Relationship Id="rId112" Type="http://schemas.openxmlformats.org/officeDocument/2006/relationships/hyperlink" Target="http://www.opentraintimes.com/schedule/F53973/2012/8/8" TargetMode="External"/><Relationship Id="rId133" Type="http://schemas.openxmlformats.org/officeDocument/2006/relationships/hyperlink" Target="http://www.opentraintimes.com/schedule/F54119/2012/8/8" TargetMode="External"/><Relationship Id="rId154" Type="http://schemas.openxmlformats.org/officeDocument/2006/relationships/hyperlink" Target="http://www.opentraintimes.com/schedule/F54270/2012/8/8" TargetMode="External"/><Relationship Id="rId175" Type="http://schemas.openxmlformats.org/officeDocument/2006/relationships/hyperlink" Target="http://www.opentraintimes.com/schedule/F54305/2012/8/8" TargetMode="External"/><Relationship Id="rId196" Type="http://schemas.openxmlformats.org/officeDocument/2006/relationships/hyperlink" Target="http://www.opentraintimes.com/schedule/F54275/2012/8/8" TargetMode="External"/><Relationship Id="rId200" Type="http://schemas.openxmlformats.org/officeDocument/2006/relationships/hyperlink" Target="http://www.opentraintimes.com/schedule/F54168/2012/8/8" TargetMode="External"/><Relationship Id="rId16" Type="http://schemas.openxmlformats.org/officeDocument/2006/relationships/hyperlink" Target="http://www.opentraintimes.com/schedule/F54073/2012/8/8" TargetMode="External"/><Relationship Id="rId221" Type="http://schemas.openxmlformats.org/officeDocument/2006/relationships/hyperlink" Target="http://www.opentraintimes.com/schedule/F54128/2012/8/8" TargetMode="External"/><Relationship Id="rId242" Type="http://schemas.openxmlformats.org/officeDocument/2006/relationships/hyperlink" Target="http://www.opentraintimes.com/schedule/F54425/2012/8/8" TargetMode="External"/><Relationship Id="rId263" Type="http://schemas.openxmlformats.org/officeDocument/2006/relationships/hyperlink" Target="http://www.opentraintimes.com/schedule/F54179/2012/8/8" TargetMode="External"/><Relationship Id="rId284" Type="http://schemas.openxmlformats.org/officeDocument/2006/relationships/hyperlink" Target="http://www.opentraintimes.com/schedule/F54056/2012/8/8" TargetMode="External"/><Relationship Id="rId37" Type="http://schemas.openxmlformats.org/officeDocument/2006/relationships/hyperlink" Target="http://www.opentraintimes.com/schedule/F53966/2012/8/8" TargetMode="External"/><Relationship Id="rId58" Type="http://schemas.openxmlformats.org/officeDocument/2006/relationships/hyperlink" Target="http://www.opentraintimes.com/schedule/F54062/2012/8/8" TargetMode="External"/><Relationship Id="rId79" Type="http://schemas.openxmlformats.org/officeDocument/2006/relationships/hyperlink" Target="http://www.opentraintimes.com/schedule/F54019/2012/8/8" TargetMode="External"/><Relationship Id="rId102" Type="http://schemas.openxmlformats.org/officeDocument/2006/relationships/hyperlink" Target="http://www.opentraintimes.com/schedule/F54296/2012/8/8" TargetMode="External"/><Relationship Id="rId123" Type="http://schemas.openxmlformats.org/officeDocument/2006/relationships/hyperlink" Target="http://www.opentraintimes.com/schedule/F54086/2012/8/8" TargetMode="External"/><Relationship Id="rId144" Type="http://schemas.openxmlformats.org/officeDocument/2006/relationships/hyperlink" Target="http://www.opentraintimes.com/schedule/F53977/2012/8/8" TargetMode="External"/><Relationship Id="rId90" Type="http://schemas.openxmlformats.org/officeDocument/2006/relationships/hyperlink" Target="http://www.opentraintimes.com/schedule/F54262/2012/8/8" TargetMode="External"/><Relationship Id="rId165" Type="http://schemas.openxmlformats.org/officeDocument/2006/relationships/hyperlink" Target="http://www.opentraintimes.com/schedule/F54123/2012/8/8" TargetMode="External"/><Relationship Id="rId186" Type="http://schemas.openxmlformats.org/officeDocument/2006/relationships/hyperlink" Target="http://www.opentraintimes.com/schedule/F53982/2012/8/8" TargetMode="External"/><Relationship Id="rId211" Type="http://schemas.openxmlformats.org/officeDocument/2006/relationships/hyperlink" Target="http://www.opentraintimes.com/schedule/F54041/2012/8/8" TargetMode="External"/><Relationship Id="rId232" Type="http://schemas.openxmlformats.org/officeDocument/2006/relationships/hyperlink" Target="http://www.opentraintimes.com/schedule/F54048/2012/8/8" TargetMode="External"/><Relationship Id="rId253" Type="http://schemas.openxmlformats.org/officeDocument/2006/relationships/hyperlink" Target="http://www.opentraintimes.com/schedule/F54052/2012/8/8" TargetMode="External"/><Relationship Id="rId274" Type="http://schemas.openxmlformats.org/officeDocument/2006/relationships/hyperlink" Target="http://www.opentraintimes.com/schedule/F54419/2012/8/8" TargetMode="External"/><Relationship Id="rId295" Type="http://schemas.openxmlformats.org/officeDocument/2006/relationships/hyperlink" Target="http://www.opentraintimes.com/schedule/F08188/2012/8/8" TargetMode="External"/><Relationship Id="rId309" Type="http://schemas.openxmlformats.org/officeDocument/2006/relationships/hyperlink" Target="http://www.opentraintimes.com/schedule/F54319/2012/8/8" TargetMode="External"/><Relationship Id="rId27" Type="http://schemas.openxmlformats.org/officeDocument/2006/relationships/hyperlink" Target="http://www.opentraintimes.com/schedule/F54139/2012/8/8" TargetMode="External"/><Relationship Id="rId48" Type="http://schemas.openxmlformats.org/officeDocument/2006/relationships/hyperlink" Target="http://www.opentraintimes.com/schedule/F53969/2012/8/8" TargetMode="External"/><Relationship Id="rId69" Type="http://schemas.openxmlformats.org/officeDocument/2006/relationships/hyperlink" Target="http://www.opentraintimes.com/schedule/F54151/2012/8/8" TargetMode="External"/><Relationship Id="rId113" Type="http://schemas.openxmlformats.org/officeDocument/2006/relationships/hyperlink" Target="http://www.opentraintimes.com/schedule/F54157/2012/8/8" TargetMode="External"/><Relationship Id="rId134" Type="http://schemas.openxmlformats.org/officeDocument/2006/relationships/hyperlink" Target="http://www.opentraintimes.com/schedule/F54300/2012/8/8" TargetMode="External"/><Relationship Id="rId80" Type="http://schemas.openxmlformats.org/officeDocument/2006/relationships/hyperlink" Target="http://www.opentraintimes.com/schedule/F54006/2012/8/8" TargetMode="External"/><Relationship Id="rId155" Type="http://schemas.openxmlformats.org/officeDocument/2006/relationships/hyperlink" Target="http://www.opentraintimes.com/schedule/F54090/2012/8/8" TargetMode="External"/><Relationship Id="rId176" Type="http://schemas.openxmlformats.org/officeDocument/2006/relationships/hyperlink" Target="http://www.opentraintimes.com/schedule/F54031/2012/8/8" TargetMode="External"/><Relationship Id="rId197" Type="http://schemas.openxmlformats.org/officeDocument/2006/relationships/hyperlink" Target="http://www.opentraintimes.com/schedule/F54127/2012/8/8" TargetMode="External"/><Relationship Id="rId201" Type="http://schemas.openxmlformats.org/officeDocument/2006/relationships/hyperlink" Target="http://www.opentraintimes.com/schedule/F54276/2012/8/8" TargetMode="External"/><Relationship Id="rId222" Type="http://schemas.openxmlformats.org/officeDocument/2006/relationships/hyperlink" Target="http://www.opentraintimes.com/schedule/F08194/2012/8/8" TargetMode="External"/><Relationship Id="rId243" Type="http://schemas.openxmlformats.org/officeDocument/2006/relationships/hyperlink" Target="http://www.opentraintimes.com/schedule/F54129/2012/8/8" TargetMode="External"/><Relationship Id="rId264" Type="http://schemas.openxmlformats.org/officeDocument/2006/relationships/hyperlink" Target="http://www.opentraintimes.com/schedule/F54282/2012/8/8" TargetMode="External"/><Relationship Id="rId285" Type="http://schemas.openxmlformats.org/officeDocument/2006/relationships/hyperlink" Target="http://www.opentraintimes.com/schedule/F53991/2012/8/8" TargetMode="External"/><Relationship Id="rId17" Type="http://schemas.openxmlformats.org/officeDocument/2006/relationships/hyperlink" Target="http://www.opentraintimes.com/schedule/F54320/2012/8/8" TargetMode="External"/><Relationship Id="rId38" Type="http://schemas.openxmlformats.org/officeDocument/2006/relationships/hyperlink" Target="http://www.opentraintimes.com/schedule/F54248/2012/8/8" TargetMode="External"/><Relationship Id="rId59" Type="http://schemas.openxmlformats.org/officeDocument/2006/relationships/hyperlink" Target="http://www.opentraintimes.com/schedule/F54235/2012/8/8" TargetMode="External"/><Relationship Id="rId103" Type="http://schemas.openxmlformats.org/officeDocument/2006/relationships/hyperlink" Target="http://www.opentraintimes.com/schedule/F54022/2012/8/8" TargetMode="External"/><Relationship Id="rId124" Type="http://schemas.openxmlformats.org/officeDocument/2006/relationships/hyperlink" Target="http://www.opentraintimes.com/schedule/F54407/2012/8/8" TargetMode="External"/><Relationship Id="rId310" Type="http://schemas.openxmlformats.org/officeDocument/2006/relationships/hyperlink" Target="http://www.opentraintimes.com/schedule/F54443/2012/8/8" TargetMode="External"/><Relationship Id="rId70" Type="http://schemas.openxmlformats.org/officeDocument/2006/relationships/hyperlink" Target="http://www.opentraintimes.com/schedule/F54004/2012/8/8" TargetMode="External"/><Relationship Id="rId91" Type="http://schemas.openxmlformats.org/officeDocument/2006/relationships/hyperlink" Target="http://www.opentraintimes.com/schedule/F54082/2012/8/8" TargetMode="External"/><Relationship Id="rId145" Type="http://schemas.openxmlformats.org/officeDocument/2006/relationships/hyperlink" Target="http://www.opentraintimes.com/schedule/F54161/2012/8/8" TargetMode="External"/><Relationship Id="rId166" Type="http://schemas.openxmlformats.org/officeDocument/2006/relationships/hyperlink" Target="http://www.opentraintimes.com/schedule/F54304/2012/8/8" TargetMode="External"/><Relationship Id="rId187" Type="http://schemas.openxmlformats.org/officeDocument/2006/relationships/hyperlink" Target="http://www.opentraintimes.com/schedule/F54274/2012/8/8" TargetMode="External"/><Relationship Id="rId1" Type="http://schemas.openxmlformats.org/officeDocument/2006/relationships/hyperlink" Target="http://www.opentraintimes.com/schedule/F54424/2012/8/8" TargetMode="External"/><Relationship Id="rId212" Type="http://schemas.openxmlformats.org/officeDocument/2006/relationships/hyperlink" Target="http://www.opentraintimes.com/schedule/F54144/2012/8/8" TargetMode="External"/><Relationship Id="rId233" Type="http://schemas.openxmlformats.org/officeDocument/2006/relationships/hyperlink" Target="http://www.opentraintimes.com/schedule/F54097/2012/8/8" TargetMode="External"/><Relationship Id="rId254" Type="http://schemas.openxmlformats.org/officeDocument/2006/relationships/hyperlink" Target="http://www.opentraintimes.com/schedule/F54178/2012/8/8" TargetMode="External"/><Relationship Id="rId28" Type="http://schemas.openxmlformats.org/officeDocument/2006/relationships/hyperlink" Target="http://www.opentraintimes.com/schedule/F53993/2012/8/8" TargetMode="External"/><Relationship Id="rId49" Type="http://schemas.openxmlformats.org/officeDocument/2006/relationships/hyperlink" Target="http://www.opentraintimes.com/schedule/F54140/2012/8/8" TargetMode="External"/><Relationship Id="rId114" Type="http://schemas.openxmlformats.org/officeDocument/2006/relationships/hyperlink" Target="http://www.opentraintimes.com/schedule/F54265/2012/8/8" TargetMode="External"/><Relationship Id="rId275" Type="http://schemas.openxmlformats.org/officeDocument/2006/relationships/hyperlink" Target="http://www.opentraintimes.com/schedule/F54133/2012/8/8" TargetMode="External"/><Relationship Id="rId296" Type="http://schemas.openxmlformats.org/officeDocument/2006/relationships/hyperlink" Target="http://www.opentraintimes.com/schedule/F54423/2012/8/8" TargetMode="External"/><Relationship Id="rId300" Type="http://schemas.openxmlformats.org/officeDocument/2006/relationships/hyperlink" Target="http://www.opentraintimes.com/schedule/F54318/2012/8/8" TargetMode="External"/><Relationship Id="rId60" Type="http://schemas.openxmlformats.org/officeDocument/2006/relationships/hyperlink" Target="http://www.opentraintimes.com/schedule/F54150/2012/8/8" TargetMode="External"/><Relationship Id="rId81" Type="http://schemas.openxmlformats.org/officeDocument/2006/relationships/hyperlink" Target="http://www.opentraintimes.com/schedule/F54153/2012/8/8" TargetMode="External"/><Relationship Id="rId135" Type="http://schemas.openxmlformats.org/officeDocument/2006/relationships/hyperlink" Target="http://www.opentraintimes.com/schedule/F54026/2012/8/8" TargetMode="External"/><Relationship Id="rId156" Type="http://schemas.openxmlformats.org/officeDocument/2006/relationships/hyperlink" Target="http://www.opentraintimes.com/schedule/F54411/2012/8/8" TargetMode="External"/><Relationship Id="rId177" Type="http://schemas.openxmlformats.org/officeDocument/2006/relationships/hyperlink" Target="http://www.opentraintimes.com/schedule/F53981/2012/8/8" TargetMode="External"/><Relationship Id="rId198" Type="http://schemas.openxmlformats.org/officeDocument/2006/relationships/hyperlink" Target="http://www.opentraintimes.com/schedule/F54141/2012/8/8" TargetMode="External"/><Relationship Id="rId202" Type="http://schemas.openxmlformats.org/officeDocument/2006/relationships/hyperlink" Target="http://www.opentraintimes.com/schedule/F54142/2012/8/8" TargetMode="External"/><Relationship Id="rId223" Type="http://schemas.openxmlformats.org/officeDocument/2006/relationships/hyperlink" Target="http://www.opentraintimes.com/schedule/F54095/2012/8/8" TargetMode="External"/><Relationship Id="rId244" Type="http://schemas.openxmlformats.org/officeDocument/2006/relationships/hyperlink" Target="http://www.opentraintimes.com/schedule/F54311/2012/8/8" TargetMode="External"/><Relationship Id="rId18" Type="http://schemas.openxmlformats.org/officeDocument/2006/relationships/hyperlink" Target="http://www.opentraintimes.com/schedule/F54290/2012/8/8" TargetMode="External"/><Relationship Id="rId39" Type="http://schemas.openxmlformats.org/officeDocument/2006/relationships/hyperlink" Target="http://www.opentraintimes.com/schedule/F54060/2012/8/8" TargetMode="External"/><Relationship Id="rId265" Type="http://schemas.openxmlformats.org/officeDocument/2006/relationships/hyperlink" Target="http://www.opentraintimes.com/schedule/F54101/2012/8/8" TargetMode="External"/><Relationship Id="rId286" Type="http://schemas.openxmlformats.org/officeDocument/2006/relationships/hyperlink" Target="http://www.opentraintimes.com/schedule/F54182/2012/8/8" TargetMode="External"/><Relationship Id="rId50" Type="http://schemas.openxmlformats.org/officeDocument/2006/relationships/hyperlink" Target="http://www.opentraintimes.com/schedule/F54000/2012/8/8" TargetMode="External"/><Relationship Id="rId104" Type="http://schemas.openxmlformats.org/officeDocument/2006/relationships/hyperlink" Target="http://www.opentraintimes.com/schedule/F53972/2012/8/8" TargetMode="External"/><Relationship Id="rId125" Type="http://schemas.openxmlformats.org/officeDocument/2006/relationships/hyperlink" Target="http://www.opentraintimes.com/schedule/F54118/2012/8/8" TargetMode="External"/><Relationship Id="rId146" Type="http://schemas.openxmlformats.org/officeDocument/2006/relationships/hyperlink" Target="http://www.opentraintimes.com/schedule/F54269/2012/8/8" TargetMode="External"/><Relationship Id="rId167" Type="http://schemas.openxmlformats.org/officeDocument/2006/relationships/hyperlink" Target="http://www.opentraintimes.com/schedule/F54030/2012/8/8" TargetMode="External"/><Relationship Id="rId188" Type="http://schemas.openxmlformats.org/officeDocument/2006/relationships/hyperlink" Target="http://www.opentraintimes.com/schedule/F54094/2012/8/8" TargetMode="External"/><Relationship Id="rId311" Type="http://schemas.openxmlformats.org/officeDocument/2006/relationships/hyperlink" Target="http://www.opentraintimes.com/schedule/F54185/2012/8/8" TargetMode="External"/><Relationship Id="rId71" Type="http://schemas.openxmlformats.org/officeDocument/2006/relationships/hyperlink" Target="http://www.opentraintimes.com/schedule/F54018/2012/8/8" TargetMode="External"/><Relationship Id="rId92" Type="http://schemas.openxmlformats.org/officeDocument/2006/relationships/hyperlink" Target="http://www.opentraintimes.com/schedule/F54403/2012/8/8" TargetMode="External"/><Relationship Id="rId213" Type="http://schemas.openxmlformats.org/officeDocument/2006/relationships/hyperlink" Target="http://www.opentraintimes.com/schedule/F54253/2012/8/8" TargetMode="External"/><Relationship Id="rId234" Type="http://schemas.openxmlformats.org/officeDocument/2006/relationships/hyperlink" Target="http://www.opentraintimes.com/schedule/F54175/2012/8/8" TargetMode="External"/><Relationship Id="rId2" Type="http://schemas.openxmlformats.org/officeDocument/2006/relationships/hyperlink" Target="http://www.opentraintimes.com/schedule/F54137/2012/8/7" TargetMode="External"/><Relationship Id="rId29" Type="http://schemas.openxmlformats.org/officeDocument/2006/relationships/hyperlink" Target="http://www.opentraintimes.com/schedule/F54148/2012/8/8" TargetMode="External"/><Relationship Id="rId255" Type="http://schemas.openxmlformats.org/officeDocument/2006/relationships/hyperlink" Target="http://www.opentraintimes.com/schedule/F54281/2012/8/8" TargetMode="External"/><Relationship Id="rId276" Type="http://schemas.openxmlformats.org/officeDocument/2006/relationships/hyperlink" Target="http://www.opentraintimes.com/schedule/F54315/2012/8/8" TargetMode="External"/><Relationship Id="rId297" Type="http://schemas.openxmlformats.org/officeDocument/2006/relationships/hyperlink" Target="http://www.opentraintimes.com/schedule/F54136/2012/8/8" TargetMode="External"/><Relationship Id="rId40" Type="http://schemas.openxmlformats.org/officeDocument/2006/relationships/hyperlink" Target="http://www.opentraintimes.com/schedule/F54436/2012/8/8" TargetMode="External"/><Relationship Id="rId115" Type="http://schemas.openxmlformats.org/officeDocument/2006/relationships/hyperlink" Target="http://www.opentraintimes.com/schedule/F54085/2012/8/8" TargetMode="External"/><Relationship Id="rId136" Type="http://schemas.openxmlformats.org/officeDocument/2006/relationships/hyperlink" Target="http://www.opentraintimes.com/schedule/F53976/2012/8/8" TargetMode="External"/><Relationship Id="rId157" Type="http://schemas.openxmlformats.org/officeDocument/2006/relationships/hyperlink" Target="http://www.opentraintimes.com/schedule/F54122/2012/8/8" TargetMode="External"/><Relationship Id="rId178" Type="http://schemas.openxmlformats.org/officeDocument/2006/relationships/hyperlink" Target="http://www.opentraintimes.com/schedule/F54165/2012/8/8" TargetMode="External"/><Relationship Id="rId301" Type="http://schemas.openxmlformats.org/officeDocument/2006/relationships/hyperlink" Target="http://www.opentraintimes.com/schedule/F54440/2012/8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46"/>
  <sheetViews>
    <sheetView zoomScaleNormal="100" workbookViewId="0">
      <selection activeCell="K14" sqref="K14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7.85546875" customWidth="1"/>
    <col min="5" max="5" width="14.140625" customWidth="1"/>
    <col min="6" max="6" width="19" customWidth="1"/>
    <col min="7" max="7" width="14.42578125" customWidth="1"/>
    <col min="8" max="8" width="7.140625" customWidth="1"/>
    <col min="9" max="9" width="8.140625" customWidth="1"/>
    <col min="10" max="12" width="10.140625" customWidth="1"/>
    <col min="13" max="13" width="9" style="9" customWidth="1"/>
    <col min="14" max="14" width="19" customWidth="1"/>
    <col min="15" max="15" width="13.42578125" customWidth="1"/>
    <col min="16" max="16" width="9.7109375" customWidth="1"/>
    <col min="17" max="17" width="11.85546875" customWidth="1"/>
    <col min="18" max="18" width="10.140625" customWidth="1"/>
    <col min="19" max="19" width="13.5703125" customWidth="1"/>
    <col min="20" max="20" width="10.28515625" customWidth="1"/>
    <col min="21" max="21" width="15" customWidth="1"/>
    <col min="22" max="22" width="12" customWidth="1"/>
  </cols>
  <sheetData>
    <row r="1" spans="1:22" s="1" customFormat="1" ht="30" customHeight="1" x14ac:dyDescent="0.25">
      <c r="A1" s="11" t="s">
        <v>1035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" t="s">
        <v>178</v>
      </c>
      <c r="I1" s="1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</row>
    <row r="2" spans="1:22" s="4" customFormat="1" ht="15" customHeight="1" x14ac:dyDescent="0.25">
      <c r="A2" s="10"/>
      <c r="B2" s="3" t="s">
        <v>246</v>
      </c>
      <c r="C2" s="1" t="s">
        <v>247</v>
      </c>
      <c r="D2" s="2" t="s">
        <v>635</v>
      </c>
      <c r="E2" s="1" t="s">
        <v>490</v>
      </c>
      <c r="F2" s="2" t="s">
        <v>636</v>
      </c>
      <c r="G2" s="1" t="s">
        <v>248</v>
      </c>
      <c r="H2" s="1" t="s">
        <v>3</v>
      </c>
      <c r="I2" t="str">
        <f t="shared" ref="I2:I12" si="0">LEFT(B2,2)</f>
        <v>1H</v>
      </c>
      <c r="J2" t="str">
        <f t="shared" ref="J2:J12" si="1">LEFT(C2,5)</f>
        <v xml:space="preserve">2357 </v>
      </c>
      <c r="K2" t="str">
        <f t="shared" ref="K2:K12" si="2">LEFT(G2,5)</f>
        <v xml:space="preserve">0001 </v>
      </c>
      <c r="L2" t="str">
        <f>LEFT(E2,6)</f>
        <v>Plat 4</v>
      </c>
      <c r="M2" s="8" t="str">
        <f>RIGHT(L2,1)</f>
        <v>4</v>
      </c>
      <c r="N2" s="4" t="s">
        <v>636</v>
      </c>
    </row>
    <row r="3" spans="1:22" s="4" customFormat="1" ht="15" customHeight="1" x14ac:dyDescent="0.25">
      <c r="A3" s="10"/>
      <c r="B3" s="3" t="s">
        <v>249</v>
      </c>
      <c r="C3" s="1" t="s">
        <v>248</v>
      </c>
      <c r="D3" s="2" t="s">
        <v>636</v>
      </c>
      <c r="E3" s="1" t="s">
        <v>491</v>
      </c>
      <c r="F3" s="2" t="s">
        <v>635</v>
      </c>
      <c r="G3" s="1" t="s">
        <v>250</v>
      </c>
      <c r="H3" s="1" t="s">
        <v>3</v>
      </c>
      <c r="I3" t="str">
        <f t="shared" si="0"/>
        <v>1L</v>
      </c>
      <c r="J3" t="str">
        <f t="shared" si="1"/>
        <v xml:space="preserve">0001 </v>
      </c>
      <c r="K3" t="str">
        <f t="shared" si="2"/>
        <v xml:space="preserve">0005 </v>
      </c>
      <c r="L3" t="str">
        <f t="shared" ref="L3:L66" si="3">LEFT(E3,6)</f>
        <v>Plat 2</v>
      </c>
      <c r="M3" s="8" t="str">
        <f t="shared" ref="M3:M66" si="4">RIGHT(L3,1)</f>
        <v>2</v>
      </c>
      <c r="N3" s="4" t="s">
        <v>635</v>
      </c>
    </row>
    <row r="4" spans="1:22" s="4" customFormat="1" ht="15" customHeight="1" x14ac:dyDescent="0.25">
      <c r="A4" s="10"/>
      <c r="B4" s="3" t="s">
        <v>251</v>
      </c>
      <c r="C4" s="1" t="s">
        <v>252</v>
      </c>
      <c r="D4" s="2" t="s">
        <v>635</v>
      </c>
      <c r="E4" s="1" t="s">
        <v>489</v>
      </c>
      <c r="F4" s="2" t="s">
        <v>636</v>
      </c>
      <c r="G4" s="1" t="s">
        <v>253</v>
      </c>
      <c r="H4" s="1" t="s">
        <v>3</v>
      </c>
      <c r="I4" t="str">
        <f t="shared" si="0"/>
        <v>1L</v>
      </c>
      <c r="J4" t="str">
        <f t="shared" si="1"/>
        <v>0001½</v>
      </c>
      <c r="K4" t="str">
        <f t="shared" si="2"/>
        <v>0005½</v>
      </c>
      <c r="L4" t="str">
        <f t="shared" si="3"/>
        <v>Plat 3</v>
      </c>
      <c r="M4" s="8" t="str">
        <f t="shared" si="4"/>
        <v>3</v>
      </c>
      <c r="N4" s="4" t="s">
        <v>636</v>
      </c>
    </row>
    <row r="5" spans="1:22" s="4" customFormat="1" ht="15" customHeight="1" x14ac:dyDescent="0.25">
      <c r="A5" s="10"/>
      <c r="B5" s="3" t="s">
        <v>254</v>
      </c>
      <c r="C5" s="1" t="s">
        <v>250</v>
      </c>
      <c r="D5" s="2" t="s">
        <v>636</v>
      </c>
      <c r="E5" s="1" t="s">
        <v>492</v>
      </c>
      <c r="F5" s="2" t="s">
        <v>635</v>
      </c>
      <c r="G5" s="1" t="s">
        <v>255</v>
      </c>
      <c r="H5" s="1" t="s">
        <v>3</v>
      </c>
      <c r="I5" t="str">
        <f t="shared" si="0"/>
        <v>1H</v>
      </c>
      <c r="J5" t="str">
        <f t="shared" si="1"/>
        <v xml:space="preserve">0005 </v>
      </c>
      <c r="K5" t="str">
        <f t="shared" si="2"/>
        <v xml:space="preserve">0010 </v>
      </c>
      <c r="L5" t="str">
        <f t="shared" si="3"/>
        <v>Plat 1</v>
      </c>
      <c r="M5" s="8" t="str">
        <f t="shared" si="4"/>
        <v>1</v>
      </c>
      <c r="N5" s="4" t="s">
        <v>635</v>
      </c>
    </row>
    <row r="6" spans="1:22" s="4" customFormat="1" ht="15" customHeight="1" x14ac:dyDescent="0.25">
      <c r="A6" s="10"/>
      <c r="B6" s="3" t="s">
        <v>256</v>
      </c>
      <c r="C6" s="1" t="s">
        <v>257</v>
      </c>
      <c r="D6" s="2" t="s">
        <v>635</v>
      </c>
      <c r="E6" s="1" t="s">
        <v>490</v>
      </c>
      <c r="F6" s="2" t="s">
        <v>636</v>
      </c>
      <c r="G6" s="1" t="s">
        <v>258</v>
      </c>
      <c r="H6" s="1" t="s">
        <v>3</v>
      </c>
      <c r="I6" t="str">
        <f t="shared" si="0"/>
        <v>1H</v>
      </c>
      <c r="J6" t="str">
        <f t="shared" si="1"/>
        <v xml:space="preserve">0008 </v>
      </c>
      <c r="K6" t="str">
        <f t="shared" si="2"/>
        <v xml:space="preserve">0012 </v>
      </c>
      <c r="L6" t="str">
        <f t="shared" si="3"/>
        <v>Plat 4</v>
      </c>
      <c r="M6" s="8" t="str">
        <f t="shared" si="4"/>
        <v>4</v>
      </c>
      <c r="N6" s="4" t="s">
        <v>636</v>
      </c>
    </row>
    <row r="7" spans="1:22" s="4" customFormat="1" ht="15" customHeight="1" x14ac:dyDescent="0.25">
      <c r="A7" s="10"/>
      <c r="B7" s="3" t="s">
        <v>259</v>
      </c>
      <c r="C7" s="1" t="s">
        <v>260</v>
      </c>
      <c r="D7" s="2" t="s">
        <v>636</v>
      </c>
      <c r="E7" s="1" t="s">
        <v>491</v>
      </c>
      <c r="F7" s="2" t="s">
        <v>635</v>
      </c>
      <c r="G7" s="1" t="s">
        <v>261</v>
      </c>
      <c r="H7" s="1" t="s">
        <v>3</v>
      </c>
      <c r="I7" t="str">
        <f t="shared" si="0"/>
        <v>1H</v>
      </c>
      <c r="J7" t="str">
        <f t="shared" si="1"/>
        <v xml:space="preserve">0011 </v>
      </c>
      <c r="K7" t="str">
        <f t="shared" si="2"/>
        <v xml:space="preserve">0015 </v>
      </c>
      <c r="L7" t="str">
        <f t="shared" si="3"/>
        <v>Plat 2</v>
      </c>
      <c r="M7" s="8" t="str">
        <f t="shared" si="4"/>
        <v>2</v>
      </c>
      <c r="N7" s="4" t="s">
        <v>635</v>
      </c>
    </row>
    <row r="8" spans="1:22" s="4" customFormat="1" ht="15" customHeight="1" x14ac:dyDescent="0.25">
      <c r="A8" s="10"/>
      <c r="B8" s="3" t="s">
        <v>262</v>
      </c>
      <c r="C8" s="1" t="s">
        <v>258</v>
      </c>
      <c r="D8" s="2" t="s">
        <v>635</v>
      </c>
      <c r="E8" s="1" t="s">
        <v>489</v>
      </c>
      <c r="F8" s="2" t="s">
        <v>636</v>
      </c>
      <c r="G8" s="1" t="s">
        <v>263</v>
      </c>
      <c r="H8" s="1" t="s">
        <v>3</v>
      </c>
      <c r="I8" t="str">
        <f t="shared" si="0"/>
        <v>1L</v>
      </c>
      <c r="J8" t="str">
        <f t="shared" si="1"/>
        <v xml:space="preserve">0012 </v>
      </c>
      <c r="K8" t="str">
        <f t="shared" si="2"/>
        <v xml:space="preserve">0016 </v>
      </c>
      <c r="L8" t="str">
        <f t="shared" si="3"/>
        <v>Plat 3</v>
      </c>
      <c r="M8" s="8" t="str">
        <f t="shared" si="4"/>
        <v>3</v>
      </c>
      <c r="N8" s="4" t="s">
        <v>636</v>
      </c>
    </row>
    <row r="9" spans="1:22" s="4" customFormat="1" ht="15" customHeight="1" x14ac:dyDescent="0.25">
      <c r="A9" s="10"/>
      <c r="B9" s="3" t="s">
        <v>264</v>
      </c>
      <c r="C9" s="1" t="s">
        <v>263</v>
      </c>
      <c r="D9" s="2" t="s">
        <v>636</v>
      </c>
      <c r="E9" s="1" t="s">
        <v>492</v>
      </c>
      <c r="F9" s="2" t="s">
        <v>635</v>
      </c>
      <c r="G9" s="1" t="s">
        <v>265</v>
      </c>
      <c r="H9" s="1" t="s">
        <v>3</v>
      </c>
      <c r="I9" t="str">
        <f t="shared" si="0"/>
        <v>1L</v>
      </c>
      <c r="J9" t="str">
        <f t="shared" si="1"/>
        <v xml:space="preserve">0016 </v>
      </c>
      <c r="K9" t="str">
        <f t="shared" si="2"/>
        <v xml:space="preserve">0020 </v>
      </c>
      <c r="L9" t="str">
        <f t="shared" si="3"/>
        <v>Plat 1</v>
      </c>
      <c r="M9" s="8" t="str">
        <f t="shared" si="4"/>
        <v>1</v>
      </c>
      <c r="N9" s="4" t="s">
        <v>635</v>
      </c>
    </row>
    <row r="10" spans="1:22" s="4" customFormat="1" ht="15" customHeight="1" x14ac:dyDescent="0.25">
      <c r="A10" s="10"/>
      <c r="B10" s="3" t="s">
        <v>266</v>
      </c>
      <c r="C10" s="1" t="s">
        <v>267</v>
      </c>
      <c r="D10" s="2" t="s">
        <v>635</v>
      </c>
      <c r="E10" s="1" t="s">
        <v>490</v>
      </c>
      <c r="F10" s="2" t="s">
        <v>636</v>
      </c>
      <c r="G10" s="1" t="s">
        <v>268</v>
      </c>
      <c r="H10" s="1" t="s">
        <v>3</v>
      </c>
      <c r="I10" t="str">
        <f t="shared" si="0"/>
        <v>1L</v>
      </c>
      <c r="J10" t="str">
        <f t="shared" si="1"/>
        <v>0016½</v>
      </c>
      <c r="K10" t="str">
        <f t="shared" si="2"/>
        <v>0020½</v>
      </c>
      <c r="L10" t="str">
        <f t="shared" si="3"/>
        <v>Plat 4</v>
      </c>
      <c r="M10" s="8" t="str">
        <f t="shared" si="4"/>
        <v>4</v>
      </c>
      <c r="N10" s="4" t="s">
        <v>636</v>
      </c>
    </row>
    <row r="11" spans="1:22" s="4" customFormat="1" ht="15" customHeight="1" x14ac:dyDescent="0.25">
      <c r="A11" s="10"/>
      <c r="B11" s="3" t="s">
        <v>269</v>
      </c>
      <c r="C11" s="1" t="s">
        <v>270</v>
      </c>
      <c r="D11" s="2" t="s">
        <v>636</v>
      </c>
      <c r="E11" s="1" t="s">
        <v>491</v>
      </c>
      <c r="F11" s="2" t="s">
        <v>635</v>
      </c>
      <c r="G11" s="1" t="s">
        <v>271</v>
      </c>
      <c r="H11" s="1" t="s">
        <v>3</v>
      </c>
      <c r="I11" t="str">
        <f t="shared" si="0"/>
        <v>1L</v>
      </c>
      <c r="J11" t="str">
        <f t="shared" si="1"/>
        <v xml:space="preserve">0021 </v>
      </c>
      <c r="K11" t="str">
        <f t="shared" si="2"/>
        <v xml:space="preserve">0025 </v>
      </c>
      <c r="L11" t="str">
        <f t="shared" si="3"/>
        <v>Plat 2</v>
      </c>
      <c r="M11" s="8" t="str">
        <f t="shared" si="4"/>
        <v>2</v>
      </c>
      <c r="N11" s="4" t="s">
        <v>635</v>
      </c>
    </row>
    <row r="12" spans="1:22" s="4" customFormat="1" ht="15" customHeight="1" x14ac:dyDescent="0.25">
      <c r="A12" s="10"/>
      <c r="B12" s="3" t="s">
        <v>272</v>
      </c>
      <c r="C12" s="1" t="s">
        <v>273</v>
      </c>
      <c r="D12" s="2" t="s">
        <v>635</v>
      </c>
      <c r="E12" s="1" t="s">
        <v>489</v>
      </c>
      <c r="F12" s="2" t="s">
        <v>636</v>
      </c>
      <c r="G12" s="1" t="s">
        <v>274</v>
      </c>
      <c r="H12" s="1" t="s">
        <v>3</v>
      </c>
      <c r="I12" t="str">
        <f t="shared" si="0"/>
        <v>1H</v>
      </c>
      <c r="J12" t="str">
        <f t="shared" si="1"/>
        <v xml:space="preserve">0023 </v>
      </c>
      <c r="K12" t="str">
        <f t="shared" si="2"/>
        <v xml:space="preserve">0027 </v>
      </c>
      <c r="L12" t="str">
        <f t="shared" si="3"/>
        <v>Plat 3</v>
      </c>
      <c r="M12" s="8" t="str">
        <f t="shared" si="4"/>
        <v>3</v>
      </c>
      <c r="N12" s="4" t="s">
        <v>636</v>
      </c>
    </row>
    <row r="13" spans="1:22" s="4" customFormat="1" ht="15" customHeight="1" x14ac:dyDescent="0.25">
      <c r="A13" s="10"/>
      <c r="B13" s="3" t="s">
        <v>180</v>
      </c>
      <c r="C13" s="1" t="s">
        <v>181</v>
      </c>
      <c r="D13" s="2" t="s">
        <v>636</v>
      </c>
      <c r="E13" s="1" t="s">
        <v>492</v>
      </c>
      <c r="F13" s="2" t="s">
        <v>635</v>
      </c>
      <c r="G13" s="1" t="s">
        <v>182</v>
      </c>
      <c r="H13" s="1" t="s">
        <v>3</v>
      </c>
      <c r="I13" t="str">
        <f t="shared" ref="I13:I37" si="5">LEFT(B13,2)</f>
        <v>1H</v>
      </c>
      <c r="J13" t="str">
        <f t="shared" ref="J13:J37" si="6">LEFT(C13,5)</f>
        <v xml:space="preserve">0026 </v>
      </c>
      <c r="K13" t="str">
        <f t="shared" ref="K13:K37" si="7">LEFT(G13,5)</f>
        <v xml:space="preserve">0030 </v>
      </c>
      <c r="L13" t="str">
        <f t="shared" si="3"/>
        <v>Plat 1</v>
      </c>
      <c r="M13" s="8" t="str">
        <f t="shared" si="4"/>
        <v>1</v>
      </c>
      <c r="N13" s="4" t="s">
        <v>635</v>
      </c>
    </row>
    <row r="14" spans="1:22" s="4" customFormat="1" ht="15" customHeight="1" x14ac:dyDescent="0.25">
      <c r="A14" s="10"/>
      <c r="B14" s="3" t="s">
        <v>183</v>
      </c>
      <c r="C14" s="1" t="s">
        <v>184</v>
      </c>
      <c r="D14" s="2" t="s">
        <v>635</v>
      </c>
      <c r="E14" s="1" t="s">
        <v>490</v>
      </c>
      <c r="F14" s="2" t="s">
        <v>636</v>
      </c>
      <c r="G14" s="1" t="s">
        <v>185</v>
      </c>
      <c r="H14" s="1" t="s">
        <v>3</v>
      </c>
      <c r="I14" t="str">
        <f t="shared" si="5"/>
        <v>1L</v>
      </c>
      <c r="J14" t="str">
        <f t="shared" si="6"/>
        <v>0026½</v>
      </c>
      <c r="K14" t="str">
        <f t="shared" si="7"/>
        <v>0030½</v>
      </c>
      <c r="L14" t="str">
        <f t="shared" si="3"/>
        <v>Plat 4</v>
      </c>
      <c r="M14" s="8" t="str">
        <f t="shared" si="4"/>
        <v>4</v>
      </c>
      <c r="N14" s="4" t="s">
        <v>636</v>
      </c>
    </row>
    <row r="15" spans="1:22" s="4" customFormat="1" ht="15" customHeight="1" x14ac:dyDescent="0.25">
      <c r="A15" s="10"/>
      <c r="B15" s="3" t="s">
        <v>186</v>
      </c>
      <c r="C15" s="1" t="s">
        <v>187</v>
      </c>
      <c r="D15" s="2" t="s">
        <v>636</v>
      </c>
      <c r="E15" s="1" t="s">
        <v>491</v>
      </c>
      <c r="F15" s="2" t="s">
        <v>635</v>
      </c>
      <c r="G15" s="1" t="s">
        <v>188</v>
      </c>
      <c r="H15" s="1" t="s">
        <v>3</v>
      </c>
      <c r="I15" t="str">
        <f t="shared" si="5"/>
        <v>1H</v>
      </c>
      <c r="J15" t="str">
        <f t="shared" si="6"/>
        <v xml:space="preserve">0031 </v>
      </c>
      <c r="K15" t="str">
        <f t="shared" si="7"/>
        <v xml:space="preserve">0035 </v>
      </c>
      <c r="L15" t="str">
        <f t="shared" si="3"/>
        <v>Plat 2</v>
      </c>
      <c r="M15" s="8" t="str">
        <f t="shared" si="4"/>
        <v>2</v>
      </c>
      <c r="N15" s="4" t="s">
        <v>635</v>
      </c>
    </row>
    <row r="16" spans="1:22" s="4" customFormat="1" ht="15" customHeight="1" x14ac:dyDescent="0.25">
      <c r="A16" s="10"/>
      <c r="B16" s="3" t="s">
        <v>189</v>
      </c>
      <c r="C16" s="1" t="s">
        <v>190</v>
      </c>
      <c r="D16" s="2" t="s">
        <v>635</v>
      </c>
      <c r="E16" s="1" t="s">
        <v>489</v>
      </c>
      <c r="F16" s="2" t="s">
        <v>636</v>
      </c>
      <c r="G16" s="1" t="s">
        <v>191</v>
      </c>
      <c r="H16" s="1" t="s">
        <v>3</v>
      </c>
      <c r="I16" t="str">
        <f t="shared" si="5"/>
        <v>1H</v>
      </c>
      <c r="J16" t="str">
        <f t="shared" si="6"/>
        <v>0032½</v>
      </c>
      <c r="K16" t="str">
        <f t="shared" si="7"/>
        <v>0036½</v>
      </c>
      <c r="L16" t="str">
        <f t="shared" si="3"/>
        <v>Plat 3</v>
      </c>
      <c r="M16" s="8" t="str">
        <f t="shared" si="4"/>
        <v>3</v>
      </c>
      <c r="N16" s="4" t="s">
        <v>636</v>
      </c>
    </row>
    <row r="17" spans="1:15" s="4" customFormat="1" ht="15" customHeight="1" x14ac:dyDescent="0.25">
      <c r="A17" s="10"/>
      <c r="B17" s="3" t="s">
        <v>192</v>
      </c>
      <c r="C17" s="1" t="s">
        <v>188</v>
      </c>
      <c r="D17" s="2" t="s">
        <v>636</v>
      </c>
      <c r="E17" s="1" t="s">
        <v>492</v>
      </c>
      <c r="F17" s="2" t="s">
        <v>635</v>
      </c>
      <c r="G17" s="1" t="s">
        <v>193</v>
      </c>
      <c r="H17" s="1" t="s">
        <v>3</v>
      </c>
      <c r="I17" t="str">
        <f t="shared" si="5"/>
        <v>1L</v>
      </c>
      <c r="J17" t="str">
        <f t="shared" si="6"/>
        <v xml:space="preserve">0035 </v>
      </c>
      <c r="K17" t="str">
        <f t="shared" si="7"/>
        <v xml:space="preserve">0040 </v>
      </c>
      <c r="L17" t="str">
        <f t="shared" si="3"/>
        <v>Plat 1</v>
      </c>
      <c r="M17" s="8" t="str">
        <f t="shared" si="4"/>
        <v>1</v>
      </c>
      <c r="N17" s="4" t="s">
        <v>635</v>
      </c>
    </row>
    <row r="18" spans="1:15" s="4" customFormat="1" ht="15" customHeight="1" x14ac:dyDescent="0.25">
      <c r="A18" s="10"/>
      <c r="B18" s="3" t="s">
        <v>194</v>
      </c>
      <c r="C18" s="1" t="s">
        <v>195</v>
      </c>
      <c r="D18" s="2" t="s">
        <v>635</v>
      </c>
      <c r="E18" s="1" t="s">
        <v>490</v>
      </c>
      <c r="F18" s="2" t="s">
        <v>636</v>
      </c>
      <c r="G18" s="1" t="s">
        <v>196</v>
      </c>
      <c r="H18" s="1" t="s">
        <v>3</v>
      </c>
      <c r="I18" t="str">
        <f t="shared" si="5"/>
        <v>1L</v>
      </c>
      <c r="J18" t="str">
        <f t="shared" si="6"/>
        <v xml:space="preserve">0038 </v>
      </c>
      <c r="K18" t="str">
        <f t="shared" si="7"/>
        <v xml:space="preserve">0042 </v>
      </c>
      <c r="L18" t="str">
        <f t="shared" si="3"/>
        <v>Plat 4</v>
      </c>
      <c r="M18" s="8" t="str">
        <f t="shared" si="4"/>
        <v>4</v>
      </c>
      <c r="N18" s="4" t="s">
        <v>636</v>
      </c>
    </row>
    <row r="19" spans="1:15" s="4" customFormat="1" ht="15" customHeight="1" x14ac:dyDescent="0.25">
      <c r="A19" s="10"/>
      <c r="B19" s="3" t="s">
        <v>197</v>
      </c>
      <c r="C19" s="1" t="s">
        <v>198</v>
      </c>
      <c r="D19" s="2" t="s">
        <v>636</v>
      </c>
      <c r="E19" s="1" t="s">
        <v>491</v>
      </c>
      <c r="F19" s="2" t="s">
        <v>635</v>
      </c>
      <c r="G19" s="1" t="s">
        <v>199</v>
      </c>
      <c r="H19" s="1" t="s">
        <v>3</v>
      </c>
      <c r="I19" t="str">
        <f t="shared" si="5"/>
        <v>1H</v>
      </c>
      <c r="J19" t="str">
        <f t="shared" si="6"/>
        <v xml:space="preserve">0041 </v>
      </c>
      <c r="K19" t="str">
        <f t="shared" si="7"/>
        <v xml:space="preserve">0045 </v>
      </c>
      <c r="L19" t="str">
        <f t="shared" si="3"/>
        <v>Plat 2</v>
      </c>
      <c r="M19" s="8" t="str">
        <f t="shared" si="4"/>
        <v>2</v>
      </c>
      <c r="N19" s="4" t="s">
        <v>635</v>
      </c>
    </row>
    <row r="20" spans="1:15" s="4" customFormat="1" ht="15" customHeight="1" x14ac:dyDescent="0.25">
      <c r="A20" s="10"/>
      <c r="B20" s="3" t="s">
        <v>200</v>
      </c>
      <c r="C20" s="1" t="s">
        <v>196</v>
      </c>
      <c r="D20" s="2" t="s">
        <v>635</v>
      </c>
      <c r="E20" s="1" t="s">
        <v>489</v>
      </c>
      <c r="F20" s="2" t="s">
        <v>636</v>
      </c>
      <c r="G20" s="1" t="s">
        <v>201</v>
      </c>
      <c r="H20" s="1" t="s">
        <v>3</v>
      </c>
      <c r="I20" t="str">
        <f t="shared" si="5"/>
        <v>1H</v>
      </c>
      <c r="J20" t="str">
        <f t="shared" si="6"/>
        <v xml:space="preserve">0042 </v>
      </c>
      <c r="K20" t="str">
        <f t="shared" si="7"/>
        <v xml:space="preserve">0046 </v>
      </c>
      <c r="L20" t="str">
        <f t="shared" si="3"/>
        <v>Plat 3</v>
      </c>
      <c r="M20" s="8" t="str">
        <f t="shared" si="4"/>
        <v>3</v>
      </c>
      <c r="N20" s="4" t="s">
        <v>636</v>
      </c>
    </row>
    <row r="21" spans="1:15" s="4" customFormat="1" ht="15" customHeight="1" x14ac:dyDescent="0.25">
      <c r="A21" s="10"/>
      <c r="B21" s="3" t="s">
        <v>202</v>
      </c>
      <c r="C21" s="1" t="s">
        <v>201</v>
      </c>
      <c r="D21" s="2" t="s">
        <v>636</v>
      </c>
      <c r="E21" s="1" t="s">
        <v>492</v>
      </c>
      <c r="F21" s="2" t="s">
        <v>635</v>
      </c>
      <c r="G21" s="1" t="s">
        <v>203</v>
      </c>
      <c r="H21" s="1" t="s">
        <v>3</v>
      </c>
      <c r="I21" t="str">
        <f t="shared" si="5"/>
        <v>1L</v>
      </c>
      <c r="J21" t="str">
        <f t="shared" si="6"/>
        <v xml:space="preserve">0046 </v>
      </c>
      <c r="K21" t="str">
        <f t="shared" si="7"/>
        <v xml:space="preserve">0050 </v>
      </c>
      <c r="L21" t="str">
        <f t="shared" si="3"/>
        <v>Plat 1</v>
      </c>
      <c r="M21" s="8" t="str">
        <f t="shared" si="4"/>
        <v>1</v>
      </c>
      <c r="N21" s="4" t="s">
        <v>635</v>
      </c>
    </row>
    <row r="22" spans="1:15" s="4" customFormat="1" ht="15" customHeight="1" x14ac:dyDescent="0.25">
      <c r="A22" s="10"/>
      <c r="B22" s="3" t="s">
        <v>204</v>
      </c>
      <c r="C22" s="1" t="s">
        <v>205</v>
      </c>
      <c r="D22" s="2" t="s">
        <v>635</v>
      </c>
      <c r="E22" s="1" t="s">
        <v>490</v>
      </c>
      <c r="F22" s="2" t="s">
        <v>637</v>
      </c>
      <c r="G22" s="1" t="s">
        <v>206</v>
      </c>
      <c r="H22" s="1" t="s">
        <v>3</v>
      </c>
      <c r="I22" t="str">
        <f t="shared" si="5"/>
        <v>1J</v>
      </c>
      <c r="J22" t="str">
        <f t="shared" si="6"/>
        <v>0046½</v>
      </c>
      <c r="K22" t="str">
        <f t="shared" si="7"/>
        <v>0050½</v>
      </c>
      <c r="L22" t="str">
        <f t="shared" si="3"/>
        <v>Plat 4</v>
      </c>
      <c r="M22" s="8" t="str">
        <f t="shared" si="4"/>
        <v>4</v>
      </c>
      <c r="N22" s="4" t="s">
        <v>636</v>
      </c>
      <c r="O22" s="4" t="s">
        <v>637</v>
      </c>
    </row>
    <row r="23" spans="1:15" s="4" customFormat="1" ht="15" customHeight="1" x14ac:dyDescent="0.25">
      <c r="A23" s="10"/>
      <c r="B23" s="3" t="s">
        <v>207</v>
      </c>
      <c r="C23" s="1" t="s">
        <v>208</v>
      </c>
      <c r="D23" s="2" t="s">
        <v>636</v>
      </c>
      <c r="E23" s="1" t="s">
        <v>491</v>
      </c>
      <c r="F23" s="2" t="s">
        <v>635</v>
      </c>
      <c r="G23" s="1" t="s">
        <v>209</v>
      </c>
      <c r="H23" s="1" t="s">
        <v>3</v>
      </c>
      <c r="I23" t="str">
        <f t="shared" si="5"/>
        <v>1L</v>
      </c>
      <c r="J23" t="str">
        <f t="shared" si="6"/>
        <v xml:space="preserve">0051 </v>
      </c>
      <c r="K23" t="str">
        <f t="shared" si="7"/>
        <v xml:space="preserve">0055 </v>
      </c>
      <c r="L23" t="str">
        <f t="shared" si="3"/>
        <v>Plat 2</v>
      </c>
      <c r="M23" s="8" t="str">
        <f t="shared" si="4"/>
        <v>2</v>
      </c>
      <c r="N23" s="4" t="s">
        <v>635</v>
      </c>
    </row>
    <row r="24" spans="1:15" s="4" customFormat="1" ht="15" customHeight="1" x14ac:dyDescent="0.25">
      <c r="A24" s="10"/>
      <c r="B24" s="3" t="s">
        <v>210</v>
      </c>
      <c r="C24" s="1" t="s">
        <v>211</v>
      </c>
      <c r="D24" s="2" t="s">
        <v>635</v>
      </c>
      <c r="E24" s="1" t="s">
        <v>489</v>
      </c>
      <c r="F24" s="2" t="s">
        <v>636</v>
      </c>
      <c r="G24" s="1" t="s">
        <v>212</v>
      </c>
      <c r="H24" s="1" t="s">
        <v>3</v>
      </c>
      <c r="I24" t="str">
        <f t="shared" si="5"/>
        <v>1L</v>
      </c>
      <c r="J24" t="str">
        <f t="shared" si="6"/>
        <v xml:space="preserve">0053 </v>
      </c>
      <c r="K24" t="str">
        <f t="shared" si="7"/>
        <v xml:space="preserve">0057 </v>
      </c>
      <c r="L24" t="str">
        <f t="shared" si="3"/>
        <v>Plat 3</v>
      </c>
      <c r="M24" s="8" t="str">
        <f t="shared" si="4"/>
        <v>3</v>
      </c>
      <c r="N24" s="4" t="s">
        <v>636</v>
      </c>
    </row>
    <row r="25" spans="1:15" s="4" customFormat="1" ht="15" customHeight="1" x14ac:dyDescent="0.25">
      <c r="A25" s="10"/>
      <c r="B25" s="3" t="s">
        <v>213</v>
      </c>
      <c r="C25" s="1" t="s">
        <v>214</v>
      </c>
      <c r="D25" s="2" t="s">
        <v>636</v>
      </c>
      <c r="E25" s="1" t="s">
        <v>492</v>
      </c>
      <c r="F25" s="2" t="s">
        <v>635</v>
      </c>
      <c r="G25" s="1" t="s">
        <v>215</v>
      </c>
      <c r="H25" s="1" t="s">
        <v>3</v>
      </c>
      <c r="I25" t="str">
        <f t="shared" si="5"/>
        <v>1H</v>
      </c>
      <c r="J25" t="str">
        <f t="shared" si="6"/>
        <v xml:space="preserve">0056 </v>
      </c>
      <c r="K25" t="str">
        <f t="shared" si="7"/>
        <v xml:space="preserve">0100 </v>
      </c>
      <c r="L25" t="str">
        <f t="shared" si="3"/>
        <v>Plat 1</v>
      </c>
      <c r="M25" s="8" t="str">
        <f t="shared" si="4"/>
        <v>1</v>
      </c>
      <c r="N25" s="4" t="s">
        <v>635</v>
      </c>
    </row>
    <row r="26" spans="1:15" s="4" customFormat="1" ht="15" customHeight="1" x14ac:dyDescent="0.25">
      <c r="A26" s="10"/>
      <c r="B26" s="3" t="s">
        <v>216</v>
      </c>
      <c r="C26" s="1" t="s">
        <v>217</v>
      </c>
      <c r="D26" s="2" t="s">
        <v>635</v>
      </c>
      <c r="E26" s="1" t="s">
        <v>490</v>
      </c>
      <c r="F26" s="2" t="s">
        <v>636</v>
      </c>
      <c r="G26" s="1" t="s">
        <v>218</v>
      </c>
      <c r="H26" s="1" t="s">
        <v>3</v>
      </c>
      <c r="I26" t="str">
        <f t="shared" si="5"/>
        <v>1L</v>
      </c>
      <c r="J26" t="str">
        <f t="shared" si="6"/>
        <v>0056½</v>
      </c>
      <c r="K26" t="str">
        <f t="shared" si="7"/>
        <v>0100½</v>
      </c>
      <c r="L26" t="str">
        <f t="shared" si="3"/>
        <v>Plat 4</v>
      </c>
      <c r="M26" s="8" t="str">
        <f t="shared" si="4"/>
        <v>4</v>
      </c>
      <c r="N26" s="4" t="s">
        <v>636</v>
      </c>
    </row>
    <row r="27" spans="1:15" s="4" customFormat="1" ht="15" customHeight="1" x14ac:dyDescent="0.25">
      <c r="A27" s="10"/>
      <c r="B27" s="3" t="s">
        <v>219</v>
      </c>
      <c r="C27" s="1" t="s">
        <v>220</v>
      </c>
      <c r="D27" s="2" t="s">
        <v>636</v>
      </c>
      <c r="E27" s="1" t="s">
        <v>491</v>
      </c>
      <c r="F27" s="2" t="s">
        <v>635</v>
      </c>
      <c r="G27" s="1" t="s">
        <v>221</v>
      </c>
      <c r="H27" s="1" t="s">
        <v>3</v>
      </c>
      <c r="I27" t="str">
        <f t="shared" si="5"/>
        <v>1L</v>
      </c>
      <c r="J27" t="str">
        <f t="shared" si="6"/>
        <v xml:space="preserve">0101 </v>
      </c>
      <c r="K27" t="str">
        <f t="shared" si="7"/>
        <v xml:space="preserve">0105 </v>
      </c>
      <c r="L27" t="str">
        <f t="shared" si="3"/>
        <v>Plat 2</v>
      </c>
      <c r="M27" s="8" t="str">
        <f t="shared" si="4"/>
        <v>2</v>
      </c>
      <c r="N27" s="4" t="s">
        <v>635</v>
      </c>
    </row>
    <row r="28" spans="1:15" s="4" customFormat="1" ht="15" customHeight="1" x14ac:dyDescent="0.25">
      <c r="A28" s="10"/>
      <c r="B28" s="3" t="s">
        <v>222</v>
      </c>
      <c r="C28" s="1" t="s">
        <v>223</v>
      </c>
      <c r="D28" s="2" t="s">
        <v>635</v>
      </c>
      <c r="E28" s="1" t="s">
        <v>489</v>
      </c>
      <c r="F28" s="2" t="s">
        <v>637</v>
      </c>
      <c r="G28" s="1" t="s">
        <v>224</v>
      </c>
      <c r="H28" s="1" t="s">
        <v>3</v>
      </c>
      <c r="I28" t="str">
        <f t="shared" si="5"/>
        <v>1J</v>
      </c>
      <c r="J28" t="str">
        <f t="shared" si="6"/>
        <v>0102½</v>
      </c>
      <c r="K28" t="str">
        <f t="shared" si="7"/>
        <v>0106½</v>
      </c>
      <c r="L28" t="str">
        <f t="shared" si="3"/>
        <v>Plat 3</v>
      </c>
      <c r="M28" s="8" t="str">
        <f t="shared" si="4"/>
        <v>3</v>
      </c>
      <c r="N28" s="4" t="s">
        <v>636</v>
      </c>
      <c r="O28" s="4" t="s">
        <v>637</v>
      </c>
    </row>
    <row r="29" spans="1:15" s="4" customFormat="1" ht="15" customHeight="1" x14ac:dyDescent="0.25">
      <c r="A29" s="10"/>
      <c r="B29" s="3" t="s">
        <v>225</v>
      </c>
      <c r="C29" s="1" t="s">
        <v>226</v>
      </c>
      <c r="D29" s="2" t="s">
        <v>636</v>
      </c>
      <c r="E29" s="1" t="s">
        <v>492</v>
      </c>
      <c r="F29" s="2" t="s">
        <v>635</v>
      </c>
      <c r="G29" s="1" t="s">
        <v>227</v>
      </c>
      <c r="H29" s="1" t="s">
        <v>3</v>
      </c>
      <c r="I29" t="str">
        <f t="shared" si="5"/>
        <v>1H</v>
      </c>
      <c r="J29" t="str">
        <f t="shared" si="6"/>
        <v xml:space="preserve">0106 </v>
      </c>
      <c r="K29" t="str">
        <f t="shared" si="7"/>
        <v xml:space="preserve">0110 </v>
      </c>
      <c r="L29" t="str">
        <f t="shared" si="3"/>
        <v>Plat 1</v>
      </c>
      <c r="M29" s="8" t="str">
        <f t="shared" si="4"/>
        <v>1</v>
      </c>
      <c r="N29" s="4" t="s">
        <v>635</v>
      </c>
    </row>
    <row r="30" spans="1:15" s="4" customFormat="1" ht="15" customHeight="1" x14ac:dyDescent="0.25">
      <c r="A30" s="10"/>
      <c r="B30" s="3" t="s">
        <v>228</v>
      </c>
      <c r="C30" s="1" t="s">
        <v>229</v>
      </c>
      <c r="D30" s="2" t="s">
        <v>635</v>
      </c>
      <c r="E30" s="1" t="s">
        <v>490</v>
      </c>
      <c r="F30" s="2" t="s">
        <v>636</v>
      </c>
      <c r="G30" s="1" t="s">
        <v>230</v>
      </c>
      <c r="H30" s="1" t="s">
        <v>3</v>
      </c>
      <c r="I30" t="str">
        <f t="shared" si="5"/>
        <v>1H</v>
      </c>
      <c r="J30" t="str">
        <f t="shared" si="6"/>
        <v xml:space="preserve">0108 </v>
      </c>
      <c r="K30" t="str">
        <f t="shared" si="7"/>
        <v xml:space="preserve">0112 </v>
      </c>
      <c r="L30" t="str">
        <f t="shared" si="3"/>
        <v>Plat 4</v>
      </c>
      <c r="M30" s="8" t="str">
        <f t="shared" si="4"/>
        <v>4</v>
      </c>
      <c r="N30" s="4" t="s">
        <v>636</v>
      </c>
    </row>
    <row r="31" spans="1:15" s="4" customFormat="1" ht="15" customHeight="1" x14ac:dyDescent="0.25">
      <c r="A31" s="10"/>
      <c r="B31" s="3" t="s">
        <v>231</v>
      </c>
      <c r="C31" s="1" t="s">
        <v>230</v>
      </c>
      <c r="D31" s="2" t="s">
        <v>636</v>
      </c>
      <c r="E31" s="1" t="s">
        <v>491</v>
      </c>
      <c r="F31" s="2" t="s">
        <v>635</v>
      </c>
      <c r="G31" s="1" t="s">
        <v>232</v>
      </c>
      <c r="H31" s="1" t="s">
        <v>3</v>
      </c>
      <c r="I31" t="str">
        <f t="shared" si="5"/>
        <v>1L</v>
      </c>
      <c r="J31" t="str">
        <f t="shared" si="6"/>
        <v xml:space="preserve">0112 </v>
      </c>
      <c r="K31" t="str">
        <f t="shared" si="7"/>
        <v xml:space="preserve">0116 </v>
      </c>
      <c r="L31" t="str">
        <f t="shared" si="3"/>
        <v>Plat 2</v>
      </c>
      <c r="M31" s="8" t="str">
        <f t="shared" si="4"/>
        <v>2</v>
      </c>
      <c r="N31" s="4" t="s">
        <v>635</v>
      </c>
    </row>
    <row r="32" spans="1:15" s="4" customFormat="1" ht="15" customHeight="1" x14ac:dyDescent="0.25">
      <c r="A32" s="10"/>
      <c r="B32" s="3" t="s">
        <v>233</v>
      </c>
      <c r="C32" s="1" t="s">
        <v>230</v>
      </c>
      <c r="D32" s="2" t="s">
        <v>635</v>
      </c>
      <c r="E32" s="1" t="s">
        <v>489</v>
      </c>
      <c r="F32" s="2" t="s">
        <v>637</v>
      </c>
      <c r="G32" s="1" t="s">
        <v>232</v>
      </c>
      <c r="H32" s="1" t="s">
        <v>3</v>
      </c>
      <c r="I32" t="str">
        <f t="shared" si="5"/>
        <v>1J</v>
      </c>
      <c r="J32" t="str">
        <f t="shared" si="6"/>
        <v xml:space="preserve">0112 </v>
      </c>
      <c r="K32" t="str">
        <f t="shared" si="7"/>
        <v xml:space="preserve">0116 </v>
      </c>
      <c r="L32" t="str">
        <f t="shared" si="3"/>
        <v>Plat 3</v>
      </c>
      <c r="M32" s="8" t="str">
        <f t="shared" si="4"/>
        <v>3</v>
      </c>
      <c r="N32" s="4" t="s">
        <v>636</v>
      </c>
      <c r="O32" s="4" t="s">
        <v>637</v>
      </c>
    </row>
    <row r="33" spans="1:22" s="4" customFormat="1" ht="15" customHeight="1" x14ac:dyDescent="0.25">
      <c r="A33" s="10"/>
      <c r="B33" s="3" t="s">
        <v>234</v>
      </c>
      <c r="C33" s="1" t="s">
        <v>235</v>
      </c>
      <c r="D33" s="2" t="s">
        <v>635</v>
      </c>
      <c r="E33" s="1" t="s">
        <v>490</v>
      </c>
      <c r="F33" s="2" t="s">
        <v>637</v>
      </c>
      <c r="G33" s="1" t="s">
        <v>236</v>
      </c>
      <c r="H33" s="1" t="s">
        <v>3</v>
      </c>
      <c r="I33" t="str">
        <f t="shared" si="5"/>
        <v>1J</v>
      </c>
      <c r="J33" t="str">
        <f t="shared" si="6"/>
        <v>0116½</v>
      </c>
      <c r="K33" t="str">
        <f t="shared" si="7"/>
        <v>0120½</v>
      </c>
      <c r="L33" t="str">
        <f t="shared" si="3"/>
        <v>Plat 4</v>
      </c>
      <c r="M33" s="8" t="str">
        <f t="shared" si="4"/>
        <v>4</v>
      </c>
      <c r="N33" s="4" t="s">
        <v>636</v>
      </c>
      <c r="O33" s="4" t="s">
        <v>637</v>
      </c>
    </row>
    <row r="34" spans="1:22" s="4" customFormat="1" ht="15" customHeight="1" x14ac:dyDescent="0.25">
      <c r="A34" s="10"/>
      <c r="B34" s="3" t="s">
        <v>237</v>
      </c>
      <c r="C34" s="1" t="s">
        <v>238</v>
      </c>
      <c r="D34" s="2" t="s">
        <v>636</v>
      </c>
      <c r="E34" s="1" t="s">
        <v>492</v>
      </c>
      <c r="F34" s="2" t="s">
        <v>635</v>
      </c>
      <c r="G34" s="1" t="s">
        <v>239</v>
      </c>
      <c r="H34" s="1" t="s">
        <v>3</v>
      </c>
      <c r="I34" t="str">
        <f t="shared" si="5"/>
        <v>1H</v>
      </c>
      <c r="J34" t="str">
        <f t="shared" si="6"/>
        <v xml:space="preserve">0118 </v>
      </c>
      <c r="K34" t="str">
        <f t="shared" si="7"/>
        <v xml:space="preserve">0122 </v>
      </c>
      <c r="L34" t="str">
        <f t="shared" si="3"/>
        <v>Plat 1</v>
      </c>
      <c r="M34" s="8" t="str">
        <f t="shared" si="4"/>
        <v>1</v>
      </c>
      <c r="N34" s="4" t="s">
        <v>635</v>
      </c>
    </row>
    <row r="35" spans="1:22" s="4" customFormat="1" ht="15" customHeight="1" x14ac:dyDescent="0.25">
      <c r="A35" s="10"/>
      <c r="B35" s="3" t="s">
        <v>240</v>
      </c>
      <c r="C35" s="1" t="s">
        <v>241</v>
      </c>
      <c r="D35" s="2" t="s">
        <v>635</v>
      </c>
      <c r="E35" s="1" t="s">
        <v>489</v>
      </c>
      <c r="F35" s="2" t="s">
        <v>19</v>
      </c>
      <c r="G35" s="1" t="s">
        <v>242</v>
      </c>
      <c r="H35" s="1" t="s">
        <v>3</v>
      </c>
      <c r="I35" t="str">
        <f t="shared" si="5"/>
        <v>1F</v>
      </c>
      <c r="J35" t="str">
        <f t="shared" si="6"/>
        <v>0122½</v>
      </c>
      <c r="K35" t="str">
        <f t="shared" si="7"/>
        <v>0126½</v>
      </c>
      <c r="L35" t="str">
        <f t="shared" si="3"/>
        <v>Plat 3</v>
      </c>
      <c r="M35" s="8" t="str">
        <f t="shared" si="4"/>
        <v>3</v>
      </c>
      <c r="N35" s="4" t="s">
        <v>636</v>
      </c>
      <c r="O35" s="4" t="s">
        <v>1028</v>
      </c>
      <c r="P35" s="4" t="s">
        <v>1029</v>
      </c>
      <c r="Q35" s="4" t="s">
        <v>1030</v>
      </c>
      <c r="R35" s="4" t="s">
        <v>1031</v>
      </c>
      <c r="S35" s="4" t="s">
        <v>1032</v>
      </c>
      <c r="T35" s="4" t="s">
        <v>1033</v>
      </c>
      <c r="U35" s="4" t="s">
        <v>1034</v>
      </c>
      <c r="V35" s="4" t="s">
        <v>19</v>
      </c>
    </row>
    <row r="36" spans="1:22" s="4" customFormat="1" ht="15" customHeight="1" x14ac:dyDescent="0.25">
      <c r="A36" s="10"/>
      <c r="B36" s="3" t="s">
        <v>243</v>
      </c>
      <c r="C36" s="1" t="s">
        <v>244</v>
      </c>
      <c r="D36" s="2" t="s">
        <v>636</v>
      </c>
      <c r="E36" s="1" t="s">
        <v>491</v>
      </c>
      <c r="F36" s="2" t="s">
        <v>635</v>
      </c>
      <c r="G36" s="1" t="s">
        <v>245</v>
      </c>
      <c r="H36" s="1" t="s">
        <v>3</v>
      </c>
      <c r="I36" t="str">
        <f t="shared" si="5"/>
        <v>1L</v>
      </c>
      <c r="J36" t="str">
        <f t="shared" si="6"/>
        <v xml:space="preserve">0125 </v>
      </c>
      <c r="K36" t="str">
        <f t="shared" si="7"/>
        <v xml:space="preserve">0129 </v>
      </c>
      <c r="L36" t="str">
        <f t="shared" si="3"/>
        <v>Plat 2</v>
      </c>
      <c r="M36" s="8" t="str">
        <f t="shared" si="4"/>
        <v>2</v>
      </c>
      <c r="N36" s="4" t="s">
        <v>635</v>
      </c>
    </row>
    <row r="37" spans="1:22" ht="15" customHeight="1" x14ac:dyDescent="0.25">
      <c r="A37" s="10"/>
      <c r="B37" s="5" t="s">
        <v>0</v>
      </c>
      <c r="C37" s="1" t="s">
        <v>1</v>
      </c>
      <c r="D37" s="2" t="s">
        <v>635</v>
      </c>
      <c r="E37" s="1" t="s">
        <v>490</v>
      </c>
      <c r="F37" s="2" t="s">
        <v>636</v>
      </c>
      <c r="G37" s="1" t="s">
        <v>2</v>
      </c>
      <c r="H37" s="1" t="s">
        <v>3</v>
      </c>
      <c r="I37" t="str">
        <f t="shared" si="5"/>
        <v>1J</v>
      </c>
      <c r="J37" t="str">
        <f t="shared" si="6"/>
        <v>0126½</v>
      </c>
      <c r="K37" t="str">
        <f t="shared" si="7"/>
        <v>0130½</v>
      </c>
      <c r="L37" t="str">
        <f t="shared" si="3"/>
        <v>Plat 4</v>
      </c>
      <c r="M37" s="8" t="str">
        <f t="shared" si="4"/>
        <v>4</v>
      </c>
      <c r="N37" t="s">
        <v>636</v>
      </c>
    </row>
    <row r="38" spans="1:22" ht="15" customHeight="1" x14ac:dyDescent="0.25">
      <c r="A38" s="10"/>
      <c r="B38" s="3" t="s">
        <v>4</v>
      </c>
      <c r="C38" s="1" t="s">
        <v>5</v>
      </c>
      <c r="D38" s="2" t="s">
        <v>635</v>
      </c>
      <c r="E38" s="1" t="s">
        <v>489</v>
      </c>
      <c r="F38" s="2" t="s">
        <v>637</v>
      </c>
      <c r="G38" s="1" t="s">
        <v>6</v>
      </c>
      <c r="H38" s="1" t="s">
        <v>3</v>
      </c>
      <c r="I38" t="str">
        <f t="shared" ref="I38:I57" si="8">LEFT(B38,2)</f>
        <v>1J</v>
      </c>
      <c r="J38" t="str">
        <f t="shared" ref="J38:J100" si="9">LEFT(C38,5)</f>
        <v>0132½</v>
      </c>
      <c r="K38" t="str">
        <f t="shared" ref="K38:K100" si="10">LEFT(G38,5)</f>
        <v>0136½</v>
      </c>
      <c r="L38" t="str">
        <f t="shared" si="3"/>
        <v>Plat 3</v>
      </c>
      <c r="M38" s="8" t="str">
        <f t="shared" si="4"/>
        <v>3</v>
      </c>
      <c r="N38" t="s">
        <v>636</v>
      </c>
      <c r="O38" t="s">
        <v>637</v>
      </c>
    </row>
    <row r="39" spans="1:22" ht="15" customHeight="1" x14ac:dyDescent="0.25">
      <c r="A39" s="10"/>
      <c r="B39" s="3" t="s">
        <v>7</v>
      </c>
      <c r="C39" s="1" t="s">
        <v>8</v>
      </c>
      <c r="D39" s="2" t="s">
        <v>636</v>
      </c>
      <c r="E39" s="1" t="s">
        <v>492</v>
      </c>
      <c r="F39" s="2" t="s">
        <v>635</v>
      </c>
      <c r="G39" s="1" t="s">
        <v>9</v>
      </c>
      <c r="H39" s="1" t="s">
        <v>3</v>
      </c>
      <c r="I39" t="str">
        <f t="shared" si="8"/>
        <v>1L</v>
      </c>
      <c r="J39" t="str">
        <f t="shared" si="9"/>
        <v xml:space="preserve">0134 </v>
      </c>
      <c r="K39" t="str">
        <f t="shared" si="10"/>
        <v xml:space="preserve">0138 </v>
      </c>
      <c r="L39" t="str">
        <f t="shared" si="3"/>
        <v>Plat 1</v>
      </c>
      <c r="M39" s="8" t="str">
        <f t="shared" si="4"/>
        <v>1</v>
      </c>
      <c r="N39" t="s">
        <v>635</v>
      </c>
    </row>
    <row r="40" spans="1:22" ht="15" customHeight="1" x14ac:dyDescent="0.25">
      <c r="A40" s="10"/>
      <c r="B40" s="3" t="s">
        <v>10</v>
      </c>
      <c r="C40" s="1" t="s">
        <v>9</v>
      </c>
      <c r="D40" s="2" t="s">
        <v>635</v>
      </c>
      <c r="E40" s="1" t="s">
        <v>490</v>
      </c>
      <c r="F40" s="2" t="s">
        <v>636</v>
      </c>
      <c r="G40" s="1" t="s">
        <v>11</v>
      </c>
      <c r="H40" s="1" t="s">
        <v>3</v>
      </c>
      <c r="I40" t="str">
        <f t="shared" si="8"/>
        <v>1J</v>
      </c>
      <c r="J40" t="str">
        <f t="shared" si="9"/>
        <v xml:space="preserve">0138 </v>
      </c>
      <c r="K40" t="str">
        <f t="shared" si="10"/>
        <v xml:space="preserve">0142 </v>
      </c>
      <c r="L40" t="str">
        <f t="shared" si="3"/>
        <v>Plat 4</v>
      </c>
      <c r="M40" s="8" t="str">
        <f t="shared" si="4"/>
        <v>4</v>
      </c>
      <c r="N40" t="s">
        <v>636</v>
      </c>
    </row>
    <row r="41" spans="1:22" ht="15" customHeight="1" x14ac:dyDescent="0.25">
      <c r="A41" s="10"/>
      <c r="B41" s="3" t="s">
        <v>12</v>
      </c>
      <c r="C41" s="1" t="s">
        <v>11</v>
      </c>
      <c r="D41" s="2" t="s">
        <v>636</v>
      </c>
      <c r="E41" s="1" t="s">
        <v>491</v>
      </c>
      <c r="F41" s="2" t="s">
        <v>635</v>
      </c>
      <c r="G41" s="1" t="s">
        <v>13</v>
      </c>
      <c r="H41" s="1" t="s">
        <v>3</v>
      </c>
      <c r="I41" t="str">
        <f t="shared" si="8"/>
        <v>1H</v>
      </c>
      <c r="J41" t="str">
        <f t="shared" si="9"/>
        <v xml:space="preserve">0142 </v>
      </c>
      <c r="K41" t="str">
        <f t="shared" si="10"/>
        <v xml:space="preserve">0146 </v>
      </c>
      <c r="L41" t="str">
        <f t="shared" si="3"/>
        <v>Plat 2</v>
      </c>
      <c r="M41" s="8" t="str">
        <f t="shared" si="4"/>
        <v>2</v>
      </c>
      <c r="N41" t="s">
        <v>635</v>
      </c>
    </row>
    <row r="42" spans="1:22" ht="15" customHeight="1" x14ac:dyDescent="0.25">
      <c r="A42" s="10"/>
      <c r="B42" s="3" t="s">
        <v>14</v>
      </c>
      <c r="C42" s="1" t="s">
        <v>15</v>
      </c>
      <c r="D42" s="2" t="s">
        <v>635</v>
      </c>
      <c r="E42" s="1" t="s">
        <v>489</v>
      </c>
      <c r="F42" s="2" t="s">
        <v>637</v>
      </c>
      <c r="G42" s="1" t="s">
        <v>16</v>
      </c>
      <c r="H42" s="1" t="s">
        <v>3</v>
      </c>
      <c r="I42" t="str">
        <f t="shared" si="8"/>
        <v>1J</v>
      </c>
      <c r="J42" t="str">
        <f t="shared" si="9"/>
        <v xml:space="preserve">0144 </v>
      </c>
      <c r="K42" t="str">
        <f t="shared" si="10"/>
        <v xml:space="preserve">0148 </v>
      </c>
      <c r="L42" t="str">
        <f t="shared" si="3"/>
        <v>Plat 3</v>
      </c>
      <c r="M42" s="8" t="str">
        <f t="shared" si="4"/>
        <v>3</v>
      </c>
      <c r="N42" t="s">
        <v>636</v>
      </c>
      <c r="O42" t="s">
        <v>637</v>
      </c>
    </row>
    <row r="43" spans="1:22" ht="15" customHeight="1" x14ac:dyDescent="0.25">
      <c r="A43" s="10"/>
      <c r="B43" s="3" t="s">
        <v>17</v>
      </c>
      <c r="C43" s="1" t="s">
        <v>18</v>
      </c>
      <c r="D43" s="2" t="s">
        <v>635</v>
      </c>
      <c r="E43" s="1" t="s">
        <v>490</v>
      </c>
      <c r="F43" s="2" t="s">
        <v>19</v>
      </c>
      <c r="G43" s="1" t="s">
        <v>20</v>
      </c>
      <c r="H43" s="1" t="s">
        <v>3</v>
      </c>
      <c r="I43" t="str">
        <f t="shared" si="8"/>
        <v>1F</v>
      </c>
      <c r="J43" t="str">
        <f t="shared" si="9"/>
        <v xml:space="preserve">0150 </v>
      </c>
      <c r="K43" t="str">
        <f t="shared" si="10"/>
        <v xml:space="preserve">0154 </v>
      </c>
      <c r="L43" t="str">
        <f t="shared" si="3"/>
        <v>Plat 4</v>
      </c>
      <c r="M43" s="8" t="str">
        <f t="shared" si="4"/>
        <v>4</v>
      </c>
      <c r="N43" t="s">
        <v>636</v>
      </c>
      <c r="O43" t="s">
        <v>1030</v>
      </c>
      <c r="P43" t="s">
        <v>1031</v>
      </c>
      <c r="Q43" t="s">
        <v>1032</v>
      </c>
      <c r="R43" t="s">
        <v>1033</v>
      </c>
      <c r="S43" t="s">
        <v>1034</v>
      </c>
      <c r="T43" t="s">
        <v>19</v>
      </c>
    </row>
    <row r="44" spans="1:22" ht="15" customHeight="1" x14ac:dyDescent="0.25">
      <c r="A44" s="10"/>
      <c r="B44" s="3" t="s">
        <v>21</v>
      </c>
      <c r="C44" s="1" t="s">
        <v>22</v>
      </c>
      <c r="D44" s="2" t="s">
        <v>635</v>
      </c>
      <c r="E44" s="1" t="s">
        <v>489</v>
      </c>
      <c r="F44" s="2" t="s">
        <v>19</v>
      </c>
      <c r="G44" s="1" t="s">
        <v>23</v>
      </c>
      <c r="H44" s="1" t="s">
        <v>3</v>
      </c>
      <c r="I44" t="str">
        <f t="shared" si="8"/>
        <v>1F</v>
      </c>
      <c r="J44" t="str">
        <f t="shared" si="9"/>
        <v>0200½</v>
      </c>
      <c r="K44" t="str">
        <f t="shared" si="10"/>
        <v>0204½</v>
      </c>
      <c r="L44" t="str">
        <f t="shared" si="3"/>
        <v>Plat 3</v>
      </c>
      <c r="M44" s="8" t="str">
        <f t="shared" si="4"/>
        <v>3</v>
      </c>
      <c r="N44" t="s">
        <v>636</v>
      </c>
      <c r="O44" t="s">
        <v>1028</v>
      </c>
      <c r="P44" t="s">
        <v>1029</v>
      </c>
      <c r="Q44" t="s">
        <v>1030</v>
      </c>
      <c r="R44" t="s">
        <v>1031</v>
      </c>
      <c r="S44" t="s">
        <v>1032</v>
      </c>
      <c r="T44" t="s">
        <v>1033</v>
      </c>
      <c r="U44" t="s">
        <v>1034</v>
      </c>
      <c r="V44" t="s">
        <v>19</v>
      </c>
    </row>
    <row r="45" spans="1:22" ht="15" customHeight="1" x14ac:dyDescent="0.25">
      <c r="A45" s="10"/>
      <c r="B45" s="3" t="s">
        <v>24</v>
      </c>
      <c r="C45" s="1" t="s">
        <v>25</v>
      </c>
      <c r="D45" s="2" t="s">
        <v>635</v>
      </c>
      <c r="E45" s="1" t="s">
        <v>491</v>
      </c>
      <c r="F45" s="1" t="s">
        <v>639</v>
      </c>
      <c r="G45" s="1"/>
      <c r="H45" s="1" t="s">
        <v>3</v>
      </c>
      <c r="I45" t="str">
        <f t="shared" si="8"/>
        <v>1N</v>
      </c>
      <c r="J45" t="str">
        <f t="shared" si="9"/>
        <v xml:space="preserve">0208 </v>
      </c>
      <c r="K45" t="str">
        <f t="shared" si="10"/>
        <v/>
      </c>
      <c r="L45" t="str">
        <f t="shared" si="3"/>
        <v>Plat 2</v>
      </c>
      <c r="M45" s="8" t="str">
        <f t="shared" si="4"/>
        <v>2</v>
      </c>
    </row>
    <row r="46" spans="1:22" ht="15" customHeight="1" x14ac:dyDescent="0.25">
      <c r="A46" s="10"/>
      <c r="B46" s="3" t="s">
        <v>26</v>
      </c>
      <c r="C46" s="1"/>
      <c r="D46" s="1" t="s">
        <v>638</v>
      </c>
      <c r="E46" s="1" t="s">
        <v>491</v>
      </c>
      <c r="F46" s="2" t="s">
        <v>635</v>
      </c>
      <c r="G46" s="1" t="s">
        <v>27</v>
      </c>
      <c r="H46" s="1" t="s">
        <v>3</v>
      </c>
      <c r="I46" t="str">
        <f t="shared" si="8"/>
        <v>1N</v>
      </c>
      <c r="J46" t="str">
        <f t="shared" si="9"/>
        <v/>
      </c>
      <c r="K46" t="str">
        <f t="shared" si="10"/>
        <v xml:space="preserve">0216 </v>
      </c>
      <c r="L46" t="str">
        <f t="shared" si="3"/>
        <v>Plat 2</v>
      </c>
      <c r="M46" s="8" t="str">
        <f t="shared" si="4"/>
        <v>2</v>
      </c>
      <c r="N46" t="s">
        <v>635</v>
      </c>
    </row>
    <row r="47" spans="1:22" ht="15" customHeight="1" x14ac:dyDescent="0.25">
      <c r="A47" s="10"/>
      <c r="B47" s="3" t="s">
        <v>28</v>
      </c>
      <c r="C47" s="1" t="s">
        <v>29</v>
      </c>
      <c r="D47" s="2" t="s">
        <v>635</v>
      </c>
      <c r="E47" s="1" t="s">
        <v>491</v>
      </c>
      <c r="F47" s="1" t="s">
        <v>639</v>
      </c>
      <c r="G47" s="1"/>
      <c r="H47" s="1" t="s">
        <v>3</v>
      </c>
      <c r="I47" t="str">
        <f t="shared" si="8"/>
        <v>1N</v>
      </c>
      <c r="J47" t="str">
        <f t="shared" si="9"/>
        <v xml:space="preserve">0238 </v>
      </c>
      <c r="K47" t="str">
        <f t="shared" si="10"/>
        <v/>
      </c>
      <c r="L47" t="str">
        <f t="shared" si="3"/>
        <v>Plat 2</v>
      </c>
      <c r="M47" s="8" t="str">
        <f t="shared" si="4"/>
        <v>2</v>
      </c>
    </row>
    <row r="48" spans="1:22" ht="15" customHeight="1" x14ac:dyDescent="0.25">
      <c r="A48" s="10"/>
      <c r="B48" s="3" t="s">
        <v>30</v>
      </c>
      <c r="C48" s="1"/>
      <c r="D48" s="1" t="s">
        <v>638</v>
      </c>
      <c r="E48" s="1" t="s">
        <v>491</v>
      </c>
      <c r="F48" s="2" t="s">
        <v>635</v>
      </c>
      <c r="G48" s="1" t="s">
        <v>31</v>
      </c>
      <c r="H48" s="1" t="s">
        <v>3</v>
      </c>
      <c r="I48" t="str">
        <f t="shared" si="8"/>
        <v>1N</v>
      </c>
      <c r="J48" t="str">
        <f t="shared" si="9"/>
        <v/>
      </c>
      <c r="K48" t="str">
        <f t="shared" si="10"/>
        <v xml:space="preserve">0246 </v>
      </c>
      <c r="L48" t="str">
        <f t="shared" si="3"/>
        <v>Plat 2</v>
      </c>
      <c r="M48" s="8" t="str">
        <f t="shared" si="4"/>
        <v>2</v>
      </c>
      <c r="N48" t="s">
        <v>635</v>
      </c>
    </row>
    <row r="49" spans="1:15" ht="15" customHeight="1" x14ac:dyDescent="0.25">
      <c r="A49" s="10"/>
      <c r="B49" s="5" t="s">
        <v>32</v>
      </c>
      <c r="C49" s="1" t="s">
        <v>33</v>
      </c>
      <c r="D49" s="2" t="s">
        <v>635</v>
      </c>
      <c r="E49" s="1" t="s">
        <v>491</v>
      </c>
      <c r="F49" s="1" t="s">
        <v>639</v>
      </c>
      <c r="G49" s="1"/>
      <c r="H49" s="1" t="s">
        <v>3</v>
      </c>
      <c r="I49" t="str">
        <f t="shared" si="8"/>
        <v>1N</v>
      </c>
      <c r="J49" t="str">
        <f t="shared" si="9"/>
        <v xml:space="preserve">0308 </v>
      </c>
      <c r="K49" t="str">
        <f t="shared" si="10"/>
        <v/>
      </c>
      <c r="L49" t="str">
        <f t="shared" si="3"/>
        <v>Plat 2</v>
      </c>
      <c r="M49" s="8" t="str">
        <f t="shared" si="4"/>
        <v>2</v>
      </c>
    </row>
    <row r="50" spans="1:15" ht="15" customHeight="1" x14ac:dyDescent="0.25">
      <c r="A50" s="10"/>
      <c r="B50" s="3" t="s">
        <v>34</v>
      </c>
      <c r="C50" s="1"/>
      <c r="D50" s="1" t="s">
        <v>638</v>
      </c>
      <c r="E50" s="1" t="s">
        <v>491</v>
      </c>
      <c r="F50" s="2" t="s">
        <v>635</v>
      </c>
      <c r="G50" s="1" t="s">
        <v>35</v>
      </c>
      <c r="H50" s="1" t="s">
        <v>3</v>
      </c>
      <c r="I50" t="str">
        <f t="shared" si="8"/>
        <v>1N</v>
      </c>
      <c r="J50" t="str">
        <f t="shared" si="9"/>
        <v/>
      </c>
      <c r="K50" t="str">
        <f t="shared" si="10"/>
        <v xml:space="preserve">0316 </v>
      </c>
      <c r="L50" t="str">
        <f t="shared" si="3"/>
        <v>Plat 2</v>
      </c>
      <c r="M50" s="8" t="str">
        <f t="shared" si="4"/>
        <v>2</v>
      </c>
      <c r="N50" t="s">
        <v>635</v>
      </c>
    </row>
    <row r="51" spans="1:15" ht="15" customHeight="1" x14ac:dyDescent="0.25">
      <c r="A51" s="10"/>
      <c r="B51" s="3" t="s">
        <v>36</v>
      </c>
      <c r="C51" s="1" t="s">
        <v>37</v>
      </c>
      <c r="D51" s="2" t="s">
        <v>635</v>
      </c>
      <c r="E51" s="1" t="s">
        <v>491</v>
      </c>
      <c r="F51" s="1" t="s">
        <v>639</v>
      </c>
      <c r="G51" s="1"/>
      <c r="H51" s="1" t="s">
        <v>3</v>
      </c>
      <c r="I51" t="str">
        <f t="shared" si="8"/>
        <v>1N</v>
      </c>
      <c r="J51" t="str">
        <f t="shared" si="9"/>
        <v xml:space="preserve">0338 </v>
      </c>
      <c r="K51" t="str">
        <f t="shared" si="10"/>
        <v/>
      </c>
      <c r="L51" t="str">
        <f t="shared" si="3"/>
        <v>Plat 2</v>
      </c>
      <c r="M51" s="8" t="str">
        <f t="shared" si="4"/>
        <v>2</v>
      </c>
    </row>
    <row r="52" spans="1:15" ht="15" customHeight="1" x14ac:dyDescent="0.25">
      <c r="A52" s="10"/>
      <c r="B52" s="3" t="s">
        <v>38</v>
      </c>
      <c r="C52" s="1"/>
      <c r="D52" s="1" t="s">
        <v>638</v>
      </c>
      <c r="E52" s="1" t="s">
        <v>491</v>
      </c>
      <c r="F52" s="2" t="s">
        <v>635</v>
      </c>
      <c r="G52" s="1" t="s">
        <v>39</v>
      </c>
      <c r="H52" s="1" t="s">
        <v>3</v>
      </c>
      <c r="I52" t="str">
        <f t="shared" si="8"/>
        <v>1N</v>
      </c>
      <c r="J52" t="str">
        <f t="shared" si="9"/>
        <v/>
      </c>
      <c r="K52" t="str">
        <f t="shared" si="10"/>
        <v xml:space="preserve">0346 </v>
      </c>
      <c r="L52" t="str">
        <f t="shared" si="3"/>
        <v>Plat 2</v>
      </c>
      <c r="M52" s="8" t="str">
        <f t="shared" si="4"/>
        <v>2</v>
      </c>
      <c r="N52" t="s">
        <v>635</v>
      </c>
    </row>
    <row r="53" spans="1:15" ht="15" customHeight="1" x14ac:dyDescent="0.25">
      <c r="A53" s="10"/>
      <c r="B53" s="3" t="s">
        <v>40</v>
      </c>
      <c r="C53" s="1" t="s">
        <v>41</v>
      </c>
      <c r="D53" s="2" t="s">
        <v>635</v>
      </c>
      <c r="E53" s="1" t="s">
        <v>491</v>
      </c>
      <c r="F53" s="1" t="s">
        <v>639</v>
      </c>
      <c r="G53" s="1"/>
      <c r="H53" s="1" t="s">
        <v>3</v>
      </c>
      <c r="I53" t="str">
        <f t="shared" si="8"/>
        <v>1N</v>
      </c>
      <c r="J53" t="str">
        <f t="shared" si="9"/>
        <v xml:space="preserve">0408 </v>
      </c>
      <c r="K53" t="str">
        <f t="shared" si="10"/>
        <v/>
      </c>
      <c r="L53" t="str">
        <f t="shared" si="3"/>
        <v>Plat 2</v>
      </c>
      <c r="M53" s="8" t="str">
        <f t="shared" si="4"/>
        <v>2</v>
      </c>
    </row>
    <row r="54" spans="1:15" ht="15" customHeight="1" x14ac:dyDescent="0.25">
      <c r="A54" s="10"/>
      <c r="B54" s="3" t="s">
        <v>42</v>
      </c>
      <c r="C54" s="1"/>
      <c r="D54" s="1" t="s">
        <v>638</v>
      </c>
      <c r="E54" s="1" t="s">
        <v>491</v>
      </c>
      <c r="F54" s="2" t="s">
        <v>635</v>
      </c>
      <c r="G54" s="1" t="s">
        <v>43</v>
      </c>
      <c r="H54" s="1" t="s">
        <v>3</v>
      </c>
      <c r="I54" t="str">
        <f t="shared" si="8"/>
        <v>1N</v>
      </c>
      <c r="J54" t="str">
        <f t="shared" si="9"/>
        <v/>
      </c>
      <c r="K54" t="str">
        <f t="shared" si="10"/>
        <v xml:space="preserve">0416 </v>
      </c>
      <c r="L54" t="str">
        <f t="shared" si="3"/>
        <v>Plat 2</v>
      </c>
      <c r="M54" s="8" t="str">
        <f t="shared" si="4"/>
        <v>2</v>
      </c>
      <c r="N54" t="s">
        <v>635</v>
      </c>
    </row>
    <row r="55" spans="1:15" ht="15" customHeight="1" x14ac:dyDescent="0.25">
      <c r="A55" s="10"/>
      <c r="B55" s="3" t="s">
        <v>44</v>
      </c>
      <c r="C55" s="1" t="s">
        <v>45</v>
      </c>
      <c r="D55" s="2" t="s">
        <v>635</v>
      </c>
      <c r="E55" s="1" t="s">
        <v>491</v>
      </c>
      <c r="F55" s="1" t="s">
        <v>639</v>
      </c>
      <c r="G55" s="1"/>
      <c r="H55" s="1" t="s">
        <v>3</v>
      </c>
      <c r="I55" t="str">
        <f t="shared" si="8"/>
        <v>1N</v>
      </c>
      <c r="J55" t="str">
        <f t="shared" si="9"/>
        <v xml:space="preserve">0438 </v>
      </c>
      <c r="K55" t="str">
        <f t="shared" si="10"/>
        <v/>
      </c>
      <c r="L55" t="str">
        <f t="shared" si="3"/>
        <v>Plat 2</v>
      </c>
      <c r="M55" s="8" t="str">
        <f t="shared" si="4"/>
        <v>2</v>
      </c>
    </row>
    <row r="56" spans="1:15" ht="15" customHeight="1" x14ac:dyDescent="0.25">
      <c r="A56" s="10"/>
      <c r="B56" s="3" t="s">
        <v>46</v>
      </c>
      <c r="C56" s="1"/>
      <c r="D56" s="1" t="s">
        <v>638</v>
      </c>
      <c r="E56" s="1" t="s">
        <v>491</v>
      </c>
      <c r="F56" s="2" t="s">
        <v>635</v>
      </c>
      <c r="G56" s="1" t="s">
        <v>47</v>
      </c>
      <c r="H56" s="1" t="s">
        <v>3</v>
      </c>
      <c r="I56" t="str">
        <f t="shared" si="8"/>
        <v>1N</v>
      </c>
      <c r="J56" t="str">
        <f t="shared" si="9"/>
        <v/>
      </c>
      <c r="K56" t="str">
        <f t="shared" si="10"/>
        <v xml:space="preserve">0446 </v>
      </c>
      <c r="L56" t="str">
        <f t="shared" si="3"/>
        <v>Plat 2</v>
      </c>
      <c r="M56" s="8" t="str">
        <f t="shared" si="4"/>
        <v>2</v>
      </c>
      <c r="N56" t="s">
        <v>635</v>
      </c>
    </row>
    <row r="57" spans="1:15" ht="15" customHeight="1" x14ac:dyDescent="0.25">
      <c r="A57" s="10"/>
      <c r="B57" s="3" t="s">
        <v>48</v>
      </c>
      <c r="C57" s="1" t="s">
        <v>49</v>
      </c>
      <c r="D57" s="2" t="s">
        <v>635</v>
      </c>
      <c r="E57" s="1" t="s">
        <v>491</v>
      </c>
      <c r="F57" s="1" t="s">
        <v>639</v>
      </c>
      <c r="G57" s="1"/>
      <c r="H57" s="1" t="s">
        <v>3</v>
      </c>
      <c r="I57" t="str">
        <f t="shared" si="8"/>
        <v>1N</v>
      </c>
      <c r="J57" t="str">
        <f t="shared" si="9"/>
        <v xml:space="preserve">0508 </v>
      </c>
      <c r="K57" t="str">
        <f t="shared" si="10"/>
        <v/>
      </c>
      <c r="L57" t="str">
        <f t="shared" si="3"/>
        <v>Plat 2</v>
      </c>
      <c r="M57" s="8" t="str">
        <f t="shared" si="4"/>
        <v>2</v>
      </c>
    </row>
    <row r="58" spans="1:15" x14ac:dyDescent="0.25">
      <c r="A58" s="10"/>
      <c r="B58" s="3" t="s">
        <v>50</v>
      </c>
      <c r="C58" s="1"/>
      <c r="D58" s="1" t="s">
        <v>638</v>
      </c>
      <c r="E58" s="1" t="s">
        <v>491</v>
      </c>
      <c r="F58" s="2" t="s">
        <v>635</v>
      </c>
      <c r="G58" s="1" t="s">
        <v>51</v>
      </c>
      <c r="H58" s="1" t="s">
        <v>3</v>
      </c>
      <c r="I58" t="str">
        <f t="shared" ref="I58:I100" si="11">LEFT(B58,2)</f>
        <v>1N</v>
      </c>
      <c r="J58" t="str">
        <f t="shared" si="9"/>
        <v/>
      </c>
      <c r="K58" t="str">
        <f t="shared" si="10"/>
        <v xml:space="preserve">0516 </v>
      </c>
      <c r="L58" t="str">
        <f t="shared" si="3"/>
        <v>Plat 2</v>
      </c>
      <c r="M58" s="8" t="str">
        <f t="shared" si="4"/>
        <v>2</v>
      </c>
      <c r="N58" t="s">
        <v>635</v>
      </c>
    </row>
    <row r="59" spans="1:15" x14ac:dyDescent="0.25">
      <c r="A59" s="10"/>
      <c r="B59" s="3" t="s">
        <v>52</v>
      </c>
      <c r="C59" s="1" t="s">
        <v>53</v>
      </c>
      <c r="D59" s="2" t="s">
        <v>635</v>
      </c>
      <c r="E59" s="1" t="s">
        <v>489</v>
      </c>
      <c r="F59" s="2" t="s">
        <v>637</v>
      </c>
      <c r="G59" s="1" t="s">
        <v>54</v>
      </c>
      <c r="H59" s="1" t="s">
        <v>3</v>
      </c>
      <c r="I59" t="str">
        <f t="shared" si="11"/>
        <v>1J</v>
      </c>
      <c r="J59" t="str">
        <f t="shared" si="9"/>
        <v xml:space="preserve">0538 </v>
      </c>
      <c r="K59" t="str">
        <f t="shared" si="10"/>
        <v xml:space="preserve">0542 </v>
      </c>
      <c r="L59" t="str">
        <f t="shared" si="3"/>
        <v>Plat 3</v>
      </c>
      <c r="M59" s="8" t="str">
        <f t="shared" si="4"/>
        <v>3</v>
      </c>
      <c r="N59" t="s">
        <v>636</v>
      </c>
      <c r="O59" t="s">
        <v>637</v>
      </c>
    </row>
    <row r="60" spans="1:15" x14ac:dyDescent="0.25">
      <c r="A60" s="10"/>
      <c r="B60" s="3" t="s">
        <v>55</v>
      </c>
      <c r="C60" s="1" t="s">
        <v>56</v>
      </c>
      <c r="D60" s="2" t="s">
        <v>637</v>
      </c>
      <c r="E60" s="1" t="s">
        <v>491</v>
      </c>
      <c r="F60" s="2" t="s">
        <v>635</v>
      </c>
      <c r="G60" s="1" t="s">
        <v>57</v>
      </c>
      <c r="H60" s="1" t="s">
        <v>3</v>
      </c>
      <c r="I60" t="str">
        <f t="shared" si="11"/>
        <v>1J</v>
      </c>
      <c r="J60" t="str">
        <f t="shared" si="9"/>
        <v>0543½</v>
      </c>
      <c r="K60" t="str">
        <f t="shared" si="10"/>
        <v>0544½</v>
      </c>
      <c r="L60" t="str">
        <f t="shared" si="3"/>
        <v>Plat 2</v>
      </c>
      <c r="M60" s="8" t="str">
        <f t="shared" si="4"/>
        <v>2</v>
      </c>
      <c r="N60" t="s">
        <v>635</v>
      </c>
    </row>
    <row r="61" spans="1:15" x14ac:dyDescent="0.25">
      <c r="A61" s="10"/>
      <c r="B61" s="5" t="s">
        <v>58</v>
      </c>
      <c r="C61" s="1" t="s">
        <v>59</v>
      </c>
      <c r="D61" s="2" t="s">
        <v>635</v>
      </c>
      <c r="E61" s="1" t="s">
        <v>489</v>
      </c>
      <c r="F61" s="2" t="s">
        <v>636</v>
      </c>
      <c r="G61" s="1" t="s">
        <v>60</v>
      </c>
      <c r="H61" s="1" t="s">
        <v>3</v>
      </c>
      <c r="I61" t="str">
        <f t="shared" si="11"/>
        <v>1L</v>
      </c>
      <c r="J61" t="str">
        <f t="shared" si="9"/>
        <v xml:space="preserve">0610 </v>
      </c>
      <c r="K61" t="str">
        <f t="shared" si="10"/>
        <v xml:space="preserve">0614 </v>
      </c>
      <c r="L61" t="str">
        <f t="shared" si="3"/>
        <v>Plat 3</v>
      </c>
      <c r="M61" s="8" t="str">
        <f t="shared" si="4"/>
        <v>3</v>
      </c>
      <c r="N61" t="s">
        <v>636</v>
      </c>
    </row>
    <row r="62" spans="1:15" x14ac:dyDescent="0.25">
      <c r="B62" s="3" t="s">
        <v>61</v>
      </c>
      <c r="C62" s="1" t="s">
        <v>60</v>
      </c>
      <c r="D62" s="2" t="s">
        <v>62</v>
      </c>
      <c r="E62" s="1" t="s">
        <v>491</v>
      </c>
      <c r="F62" s="2" t="s">
        <v>635</v>
      </c>
      <c r="G62" s="1" t="s">
        <v>63</v>
      </c>
      <c r="H62" s="1" t="s">
        <v>3</v>
      </c>
      <c r="I62" t="str">
        <f t="shared" si="11"/>
        <v>1J</v>
      </c>
      <c r="J62" t="str">
        <f t="shared" si="9"/>
        <v xml:space="preserve">0614 </v>
      </c>
      <c r="K62" t="str">
        <f t="shared" si="10"/>
        <v xml:space="preserve">0617 </v>
      </c>
      <c r="L62" t="str">
        <f t="shared" si="3"/>
        <v>Plat 2</v>
      </c>
      <c r="M62" s="8" t="str">
        <f t="shared" si="4"/>
        <v>2</v>
      </c>
      <c r="N62" t="s">
        <v>635</v>
      </c>
    </row>
    <row r="63" spans="1:15" x14ac:dyDescent="0.25">
      <c r="B63" s="3" t="s">
        <v>64</v>
      </c>
      <c r="C63" s="1" t="s">
        <v>65</v>
      </c>
      <c r="D63" s="2" t="s">
        <v>66</v>
      </c>
      <c r="E63" s="1" t="s">
        <v>491</v>
      </c>
      <c r="F63" s="2" t="s">
        <v>635</v>
      </c>
      <c r="G63" s="1" t="s">
        <v>67</v>
      </c>
      <c r="H63" s="1" t="s">
        <v>3</v>
      </c>
      <c r="I63" t="str">
        <f t="shared" si="11"/>
        <v>1F</v>
      </c>
      <c r="J63" t="str">
        <f t="shared" si="9"/>
        <v xml:space="preserve">0633 </v>
      </c>
      <c r="K63" t="str">
        <f t="shared" si="10"/>
        <v xml:space="preserve">0637 </v>
      </c>
      <c r="L63" t="str">
        <f t="shared" si="3"/>
        <v>Plat 2</v>
      </c>
      <c r="M63" s="8" t="str">
        <f t="shared" si="4"/>
        <v>2</v>
      </c>
      <c r="N63" t="s">
        <v>635</v>
      </c>
    </row>
    <row r="64" spans="1:15" x14ac:dyDescent="0.25">
      <c r="B64" s="3" t="s">
        <v>68</v>
      </c>
      <c r="C64" s="1" t="s">
        <v>69</v>
      </c>
      <c r="D64" s="2" t="s">
        <v>635</v>
      </c>
      <c r="E64" s="1" t="s">
        <v>489</v>
      </c>
      <c r="F64" s="2" t="s">
        <v>636</v>
      </c>
      <c r="G64" s="1" t="s">
        <v>70</v>
      </c>
      <c r="H64" s="1" t="s">
        <v>3</v>
      </c>
      <c r="I64" t="str">
        <f t="shared" si="11"/>
        <v>1H</v>
      </c>
      <c r="J64" t="str">
        <f t="shared" si="9"/>
        <v xml:space="preserve">0638 </v>
      </c>
      <c r="K64" t="str">
        <f t="shared" si="10"/>
        <v xml:space="preserve">0642 </v>
      </c>
      <c r="L64" t="str">
        <f t="shared" si="3"/>
        <v>Plat 3</v>
      </c>
      <c r="M64" s="8" t="str">
        <f t="shared" si="4"/>
        <v>3</v>
      </c>
      <c r="N64" t="s">
        <v>636</v>
      </c>
    </row>
    <row r="65" spans="2:22" x14ac:dyDescent="0.25">
      <c r="B65" s="3" t="s">
        <v>71</v>
      </c>
      <c r="C65" s="1" t="s">
        <v>72</v>
      </c>
      <c r="D65" s="2" t="s">
        <v>637</v>
      </c>
      <c r="E65" s="1" t="s">
        <v>492</v>
      </c>
      <c r="F65" s="2" t="s">
        <v>635</v>
      </c>
      <c r="G65" s="1" t="s">
        <v>73</v>
      </c>
      <c r="H65" s="1" t="s">
        <v>3</v>
      </c>
      <c r="I65" t="str">
        <f t="shared" si="11"/>
        <v>1J</v>
      </c>
      <c r="J65" t="str">
        <f t="shared" si="9"/>
        <v>0644½</v>
      </c>
      <c r="K65" t="str">
        <f t="shared" si="10"/>
        <v>0648½</v>
      </c>
      <c r="L65" t="str">
        <f t="shared" si="3"/>
        <v>Plat 1</v>
      </c>
      <c r="M65" s="8" t="str">
        <f t="shared" si="4"/>
        <v>1</v>
      </c>
      <c r="N65" t="s">
        <v>635</v>
      </c>
    </row>
    <row r="66" spans="2:22" ht="15" customHeight="1" x14ac:dyDescent="0.25">
      <c r="B66" s="3" t="s">
        <v>74</v>
      </c>
      <c r="C66" s="1" t="s">
        <v>75</v>
      </c>
      <c r="D66" s="2" t="s">
        <v>636</v>
      </c>
      <c r="E66" s="1" t="s">
        <v>491</v>
      </c>
      <c r="F66" s="2" t="s">
        <v>635</v>
      </c>
      <c r="G66" s="1" t="s">
        <v>76</v>
      </c>
      <c r="H66" s="1" t="s">
        <v>3</v>
      </c>
      <c r="I66" t="str">
        <f t="shared" si="11"/>
        <v>1L</v>
      </c>
      <c r="J66" t="str">
        <f t="shared" si="9"/>
        <v xml:space="preserve">0651 </v>
      </c>
      <c r="K66" t="str">
        <f t="shared" si="10"/>
        <v xml:space="preserve">0655 </v>
      </c>
      <c r="L66" t="str">
        <f t="shared" si="3"/>
        <v>Plat 2</v>
      </c>
      <c r="M66" s="8" t="str">
        <f t="shared" si="4"/>
        <v>2</v>
      </c>
      <c r="N66" t="s">
        <v>635</v>
      </c>
    </row>
    <row r="67" spans="2:22" x14ac:dyDescent="0.25">
      <c r="B67" s="3" t="s">
        <v>77</v>
      </c>
      <c r="C67" s="1" t="s">
        <v>78</v>
      </c>
      <c r="D67" s="2" t="s">
        <v>19</v>
      </c>
      <c r="E67" s="1" t="s">
        <v>492</v>
      </c>
      <c r="F67" s="2" t="s">
        <v>635</v>
      </c>
      <c r="G67" s="1" t="s">
        <v>79</v>
      </c>
      <c r="H67" s="1" t="s">
        <v>3</v>
      </c>
      <c r="I67" t="str">
        <f t="shared" si="11"/>
        <v>1F</v>
      </c>
      <c r="J67" t="str">
        <f t="shared" si="9"/>
        <v xml:space="preserve">0659 </v>
      </c>
      <c r="K67" t="str">
        <f t="shared" si="10"/>
        <v xml:space="preserve">0700 </v>
      </c>
      <c r="L67" t="str">
        <f t="shared" ref="L67:L130" si="12">LEFT(E67,6)</f>
        <v>Plat 1</v>
      </c>
      <c r="M67" s="8" t="str">
        <f t="shared" ref="M67:M130" si="13">RIGHT(L67,1)</f>
        <v>1</v>
      </c>
      <c r="N67" t="s">
        <v>635</v>
      </c>
    </row>
    <row r="68" spans="2:22" x14ac:dyDescent="0.25">
      <c r="B68" s="3" t="s">
        <v>80</v>
      </c>
      <c r="C68" s="1" t="s">
        <v>78</v>
      </c>
      <c r="D68" s="2" t="s">
        <v>635</v>
      </c>
      <c r="E68" s="1" t="s">
        <v>490</v>
      </c>
      <c r="F68" s="2" t="s">
        <v>636</v>
      </c>
      <c r="G68" s="1" t="s">
        <v>81</v>
      </c>
      <c r="H68" s="1" t="s">
        <v>3</v>
      </c>
      <c r="I68" t="str">
        <f t="shared" si="11"/>
        <v>1H</v>
      </c>
      <c r="J68" t="str">
        <f t="shared" si="9"/>
        <v xml:space="preserve">0659 </v>
      </c>
      <c r="K68" t="str">
        <f t="shared" si="10"/>
        <v xml:space="preserve">0703 </v>
      </c>
      <c r="L68" t="str">
        <f t="shared" si="12"/>
        <v>Plat 4</v>
      </c>
      <c r="M68" s="8" t="str">
        <f t="shared" si="13"/>
        <v>4</v>
      </c>
      <c r="N68" t="s">
        <v>636</v>
      </c>
    </row>
    <row r="69" spans="2:22" x14ac:dyDescent="0.25">
      <c r="B69" s="5" t="s">
        <v>82</v>
      </c>
      <c r="C69" s="1" t="s">
        <v>83</v>
      </c>
      <c r="D69" s="2" t="s">
        <v>84</v>
      </c>
      <c r="E69" s="1" t="s">
        <v>491</v>
      </c>
      <c r="F69" s="2" t="s">
        <v>635</v>
      </c>
      <c r="G69" s="1" t="s">
        <v>85</v>
      </c>
      <c r="H69" s="1" t="s">
        <v>3</v>
      </c>
      <c r="I69" t="str">
        <f t="shared" si="11"/>
        <v>1J</v>
      </c>
      <c r="J69" t="str">
        <f t="shared" si="9"/>
        <v xml:space="preserve">0704 </v>
      </c>
      <c r="K69" t="str">
        <f t="shared" si="10"/>
        <v xml:space="preserve">0708 </v>
      </c>
      <c r="L69" t="str">
        <f t="shared" si="12"/>
        <v>Plat 2</v>
      </c>
      <c r="M69" s="8" t="str">
        <f t="shared" si="13"/>
        <v>2</v>
      </c>
      <c r="N69" t="s">
        <v>635</v>
      </c>
    </row>
    <row r="70" spans="2:22" x14ac:dyDescent="0.25">
      <c r="B70" s="3" t="s">
        <v>86</v>
      </c>
      <c r="C70" s="1" t="s">
        <v>87</v>
      </c>
      <c r="D70" s="2" t="s">
        <v>635</v>
      </c>
      <c r="E70" s="1" t="s">
        <v>489</v>
      </c>
      <c r="F70" s="2" t="s">
        <v>637</v>
      </c>
      <c r="G70" s="1" t="s">
        <v>88</v>
      </c>
      <c r="H70" s="1" t="s">
        <v>3</v>
      </c>
      <c r="I70" t="str">
        <f t="shared" si="11"/>
        <v>1J</v>
      </c>
      <c r="J70" t="str">
        <f t="shared" si="9"/>
        <v xml:space="preserve">0710 </v>
      </c>
      <c r="K70" t="str">
        <f t="shared" si="10"/>
        <v xml:space="preserve">0714 </v>
      </c>
      <c r="L70" t="str">
        <f t="shared" si="12"/>
        <v>Plat 3</v>
      </c>
      <c r="M70" s="8" t="str">
        <f t="shared" si="13"/>
        <v>3</v>
      </c>
      <c r="N70" t="s">
        <v>636</v>
      </c>
      <c r="O70" t="s">
        <v>637</v>
      </c>
    </row>
    <row r="71" spans="2:22" ht="15" customHeight="1" x14ac:dyDescent="0.25">
      <c r="B71" s="3" t="s">
        <v>89</v>
      </c>
      <c r="C71" s="1" t="s">
        <v>90</v>
      </c>
      <c r="D71" s="2" t="s">
        <v>636</v>
      </c>
      <c r="E71" s="1" t="s">
        <v>492</v>
      </c>
      <c r="F71" s="2" t="s">
        <v>635</v>
      </c>
      <c r="G71" s="1" t="s">
        <v>91</v>
      </c>
      <c r="H71" s="1" t="s">
        <v>3</v>
      </c>
      <c r="I71" t="str">
        <f t="shared" si="11"/>
        <v>1H</v>
      </c>
      <c r="J71" t="str">
        <f t="shared" si="9"/>
        <v xml:space="preserve">0712 </v>
      </c>
      <c r="K71" t="str">
        <f t="shared" si="10"/>
        <v xml:space="preserve">0716 </v>
      </c>
      <c r="L71" t="str">
        <f t="shared" si="12"/>
        <v>Plat 1</v>
      </c>
      <c r="M71" s="8" t="str">
        <f t="shared" si="13"/>
        <v>1</v>
      </c>
      <c r="N71" t="s">
        <v>635</v>
      </c>
    </row>
    <row r="72" spans="2:22" x14ac:dyDescent="0.25">
      <c r="B72" s="3" t="s">
        <v>92</v>
      </c>
      <c r="C72" s="1" t="s">
        <v>93</v>
      </c>
      <c r="D72" s="2" t="s">
        <v>635</v>
      </c>
      <c r="E72" s="1" t="s">
        <v>490</v>
      </c>
      <c r="F72" s="2" t="s">
        <v>636</v>
      </c>
      <c r="G72" s="1" t="s">
        <v>94</v>
      </c>
      <c r="H72" s="1" t="s">
        <v>3</v>
      </c>
      <c r="I72" t="str">
        <f t="shared" si="11"/>
        <v>1H</v>
      </c>
      <c r="J72" t="str">
        <f t="shared" si="9"/>
        <v xml:space="preserve">0717 </v>
      </c>
      <c r="K72" t="str">
        <f t="shared" si="10"/>
        <v xml:space="preserve">0721 </v>
      </c>
      <c r="L72" t="str">
        <f t="shared" si="12"/>
        <v>Plat 4</v>
      </c>
      <c r="M72" s="8" t="str">
        <f t="shared" si="13"/>
        <v>4</v>
      </c>
      <c r="N72" t="s">
        <v>636</v>
      </c>
    </row>
    <row r="73" spans="2:22" x14ac:dyDescent="0.25">
      <c r="B73" s="3" t="s">
        <v>95</v>
      </c>
      <c r="C73" s="1" t="s">
        <v>96</v>
      </c>
      <c r="D73" s="2" t="s">
        <v>637</v>
      </c>
      <c r="E73" s="1" t="s">
        <v>491</v>
      </c>
      <c r="F73" s="2" t="s">
        <v>635</v>
      </c>
      <c r="G73" s="1" t="s">
        <v>97</v>
      </c>
      <c r="H73" s="1" t="s">
        <v>3</v>
      </c>
      <c r="I73" t="str">
        <f t="shared" si="11"/>
        <v>1J</v>
      </c>
      <c r="J73" t="str">
        <f t="shared" si="9"/>
        <v xml:space="preserve">0719 </v>
      </c>
      <c r="K73" t="str">
        <f t="shared" si="10"/>
        <v xml:space="preserve">0723 </v>
      </c>
      <c r="L73" t="str">
        <f t="shared" si="12"/>
        <v>Plat 2</v>
      </c>
      <c r="M73" s="8" t="str">
        <f t="shared" si="13"/>
        <v>2</v>
      </c>
      <c r="N73" t="s">
        <v>635</v>
      </c>
    </row>
    <row r="74" spans="2:22" x14ac:dyDescent="0.25">
      <c r="B74" s="3" t="s">
        <v>98</v>
      </c>
      <c r="C74" s="1" t="s">
        <v>99</v>
      </c>
      <c r="D74" s="2" t="s">
        <v>635</v>
      </c>
      <c r="E74" s="1" t="s">
        <v>489</v>
      </c>
      <c r="F74" s="2" t="s">
        <v>19</v>
      </c>
      <c r="G74" s="1" t="s">
        <v>100</v>
      </c>
      <c r="H74" s="1" t="s">
        <v>3</v>
      </c>
      <c r="I74" t="str">
        <f t="shared" si="11"/>
        <v>1F</v>
      </c>
      <c r="J74" t="str">
        <f t="shared" si="9"/>
        <v xml:space="preserve">0724 </v>
      </c>
      <c r="K74" t="str">
        <f t="shared" si="10"/>
        <v xml:space="preserve">0728 </v>
      </c>
      <c r="L74" t="str">
        <f t="shared" si="12"/>
        <v>Plat 3</v>
      </c>
      <c r="M74" s="8" t="str">
        <f t="shared" si="13"/>
        <v>3</v>
      </c>
      <c r="N74" t="s">
        <v>636</v>
      </c>
      <c r="O74" t="s">
        <v>1028</v>
      </c>
      <c r="P74" t="s">
        <v>1029</v>
      </c>
      <c r="Q74" t="s">
        <v>1030</v>
      </c>
      <c r="R74" t="s">
        <v>1031</v>
      </c>
      <c r="S74" t="s">
        <v>1032</v>
      </c>
      <c r="T74" t="s">
        <v>1033</v>
      </c>
      <c r="U74" t="s">
        <v>1034</v>
      </c>
      <c r="V74" t="s">
        <v>19</v>
      </c>
    </row>
    <row r="75" spans="2:22" x14ac:dyDescent="0.25">
      <c r="B75" s="3" t="s">
        <v>101</v>
      </c>
      <c r="C75" s="1" t="s">
        <v>102</v>
      </c>
      <c r="D75" s="2" t="s">
        <v>66</v>
      </c>
      <c r="E75" s="1" t="s">
        <v>492</v>
      </c>
      <c r="F75" s="2" t="s">
        <v>635</v>
      </c>
      <c r="G75" s="1" t="s">
        <v>103</v>
      </c>
      <c r="H75" s="1" t="s">
        <v>3</v>
      </c>
      <c r="I75" t="str">
        <f t="shared" si="11"/>
        <v>1F</v>
      </c>
      <c r="J75" t="str">
        <f t="shared" si="9"/>
        <v xml:space="preserve">0729 </v>
      </c>
      <c r="K75" t="str">
        <f t="shared" si="10"/>
        <v xml:space="preserve">0731 </v>
      </c>
      <c r="L75" t="str">
        <f t="shared" si="12"/>
        <v>Plat 1</v>
      </c>
      <c r="M75" s="8" t="str">
        <f t="shared" si="13"/>
        <v>1</v>
      </c>
      <c r="N75" t="s">
        <v>635</v>
      </c>
    </row>
    <row r="76" spans="2:22" x14ac:dyDescent="0.25">
      <c r="B76" s="3" t="s">
        <v>104</v>
      </c>
      <c r="C76" s="1" t="s">
        <v>103</v>
      </c>
      <c r="D76" s="2" t="s">
        <v>635</v>
      </c>
      <c r="E76" s="1" t="s">
        <v>490</v>
      </c>
      <c r="F76" s="2" t="s">
        <v>636</v>
      </c>
      <c r="G76" s="1" t="s">
        <v>105</v>
      </c>
      <c r="H76" s="1" t="s">
        <v>3</v>
      </c>
      <c r="I76" t="str">
        <f t="shared" si="11"/>
        <v>1L</v>
      </c>
      <c r="J76" t="str">
        <f t="shared" si="9"/>
        <v xml:space="preserve">0731 </v>
      </c>
      <c r="K76" t="str">
        <f t="shared" si="10"/>
        <v xml:space="preserve">0735 </v>
      </c>
      <c r="L76" t="str">
        <f t="shared" si="12"/>
        <v>Plat 4</v>
      </c>
      <c r="M76" s="8" t="str">
        <f t="shared" si="13"/>
        <v>4</v>
      </c>
      <c r="N76" t="s">
        <v>636</v>
      </c>
    </row>
    <row r="77" spans="2:22" ht="15" customHeight="1" x14ac:dyDescent="0.25">
      <c r="B77" s="3" t="s">
        <v>106</v>
      </c>
      <c r="C77" s="1" t="s">
        <v>105</v>
      </c>
      <c r="D77" s="2" t="s">
        <v>636</v>
      </c>
      <c r="E77" s="1" t="s">
        <v>491</v>
      </c>
      <c r="F77" s="2" t="s">
        <v>635</v>
      </c>
      <c r="G77" s="1" t="s">
        <v>107</v>
      </c>
      <c r="H77" s="1" t="s">
        <v>3</v>
      </c>
      <c r="I77" t="str">
        <f t="shared" si="11"/>
        <v>1H</v>
      </c>
      <c r="J77" t="str">
        <f t="shared" si="9"/>
        <v xml:space="preserve">0735 </v>
      </c>
      <c r="K77" t="str">
        <f t="shared" si="10"/>
        <v xml:space="preserve">0737 </v>
      </c>
      <c r="L77" t="str">
        <f t="shared" si="12"/>
        <v>Plat 2</v>
      </c>
      <c r="M77" s="8" t="str">
        <f t="shared" si="13"/>
        <v>2</v>
      </c>
      <c r="N77" t="s">
        <v>635</v>
      </c>
    </row>
    <row r="78" spans="2:22" x14ac:dyDescent="0.25">
      <c r="B78" s="3" t="s">
        <v>108</v>
      </c>
      <c r="C78" s="1" t="s">
        <v>109</v>
      </c>
      <c r="D78" s="2" t="s">
        <v>635</v>
      </c>
      <c r="E78" s="1" t="s">
        <v>489</v>
      </c>
      <c r="F78" s="2" t="s">
        <v>636</v>
      </c>
      <c r="G78" s="1" t="s">
        <v>110</v>
      </c>
      <c r="H78" s="1" t="s">
        <v>3</v>
      </c>
      <c r="I78" t="str">
        <f t="shared" si="11"/>
        <v>1F</v>
      </c>
      <c r="J78" t="str">
        <f t="shared" si="9"/>
        <v xml:space="preserve">0738 </v>
      </c>
      <c r="K78" t="str">
        <f t="shared" si="10"/>
        <v xml:space="preserve">0742 </v>
      </c>
      <c r="L78" t="str">
        <f t="shared" si="12"/>
        <v>Plat 3</v>
      </c>
      <c r="M78" s="8" t="str">
        <f t="shared" si="13"/>
        <v>3</v>
      </c>
      <c r="N78" t="s">
        <v>636</v>
      </c>
    </row>
    <row r="79" spans="2:22" x14ac:dyDescent="0.25">
      <c r="B79" s="3" t="s">
        <v>111</v>
      </c>
      <c r="C79" s="1" t="s">
        <v>112</v>
      </c>
      <c r="D79" s="2" t="s">
        <v>637</v>
      </c>
      <c r="E79" s="1" t="s">
        <v>492</v>
      </c>
      <c r="F79" s="2" t="s">
        <v>635</v>
      </c>
      <c r="G79" s="1" t="s">
        <v>113</v>
      </c>
      <c r="H79" s="1" t="s">
        <v>3</v>
      </c>
      <c r="I79" t="str">
        <f t="shared" si="11"/>
        <v>1J</v>
      </c>
      <c r="J79" t="str">
        <f t="shared" si="9"/>
        <v>0744½</v>
      </c>
      <c r="K79" t="str">
        <f t="shared" si="10"/>
        <v>0748½</v>
      </c>
      <c r="L79" t="str">
        <f t="shared" si="12"/>
        <v>Plat 1</v>
      </c>
      <c r="M79" s="8" t="str">
        <f t="shared" si="13"/>
        <v>1</v>
      </c>
      <c r="N79" t="s">
        <v>635</v>
      </c>
    </row>
    <row r="80" spans="2:22" x14ac:dyDescent="0.25">
      <c r="B80" s="3" t="s">
        <v>114</v>
      </c>
      <c r="C80" s="1" t="s">
        <v>115</v>
      </c>
      <c r="D80" s="2" t="s">
        <v>635</v>
      </c>
      <c r="E80" s="1" t="s">
        <v>490</v>
      </c>
      <c r="F80" s="2" t="s">
        <v>637</v>
      </c>
      <c r="G80" s="1" t="s">
        <v>116</v>
      </c>
      <c r="H80" s="1" t="s">
        <v>3</v>
      </c>
      <c r="I80" t="str">
        <f t="shared" si="11"/>
        <v>1J</v>
      </c>
      <c r="J80" t="str">
        <f t="shared" si="9"/>
        <v xml:space="preserve">0745 </v>
      </c>
      <c r="K80" t="str">
        <f t="shared" si="10"/>
        <v xml:space="preserve">0749 </v>
      </c>
      <c r="L80" t="str">
        <f t="shared" si="12"/>
        <v>Plat 4</v>
      </c>
      <c r="M80" s="8" t="str">
        <f t="shared" si="13"/>
        <v>4</v>
      </c>
      <c r="N80" t="s">
        <v>636</v>
      </c>
      <c r="O80" t="s">
        <v>637</v>
      </c>
    </row>
    <row r="81" spans="2:22" ht="15" customHeight="1" x14ac:dyDescent="0.25">
      <c r="B81" s="3" t="s">
        <v>117</v>
      </c>
      <c r="C81" s="1" t="s">
        <v>118</v>
      </c>
      <c r="D81" s="2" t="s">
        <v>636</v>
      </c>
      <c r="E81" s="1" t="s">
        <v>491</v>
      </c>
      <c r="F81" s="2" t="s">
        <v>635</v>
      </c>
      <c r="G81" s="1" t="s">
        <v>119</v>
      </c>
      <c r="H81" s="1" t="s">
        <v>3</v>
      </c>
      <c r="I81" t="str">
        <f t="shared" si="11"/>
        <v>1H</v>
      </c>
      <c r="J81" t="str">
        <f t="shared" si="9"/>
        <v xml:space="preserve">0751 </v>
      </c>
      <c r="K81" t="str">
        <f t="shared" si="10"/>
        <v xml:space="preserve">0755 </v>
      </c>
      <c r="L81" t="str">
        <f t="shared" si="12"/>
        <v>Plat 2</v>
      </c>
      <c r="M81" s="8" t="str">
        <f t="shared" si="13"/>
        <v>2</v>
      </c>
      <c r="N81" t="s">
        <v>635</v>
      </c>
    </row>
    <row r="82" spans="2:22" x14ac:dyDescent="0.25">
      <c r="B82" s="3" t="s">
        <v>120</v>
      </c>
      <c r="C82" s="1" t="s">
        <v>121</v>
      </c>
      <c r="D82" s="2" t="s">
        <v>635</v>
      </c>
      <c r="E82" s="1" t="s">
        <v>489</v>
      </c>
      <c r="F82" s="2" t="s">
        <v>636</v>
      </c>
      <c r="G82" s="1" t="s">
        <v>122</v>
      </c>
      <c r="H82" s="1" t="s">
        <v>3</v>
      </c>
      <c r="I82" t="str">
        <f t="shared" si="11"/>
        <v>1L</v>
      </c>
      <c r="J82" t="str">
        <f t="shared" si="9"/>
        <v xml:space="preserve">0752 </v>
      </c>
      <c r="K82" t="str">
        <f t="shared" si="10"/>
        <v xml:space="preserve">0756 </v>
      </c>
      <c r="L82" t="str">
        <f t="shared" si="12"/>
        <v>Plat 3</v>
      </c>
      <c r="M82" s="8" t="str">
        <f t="shared" si="13"/>
        <v>3</v>
      </c>
      <c r="N82" t="s">
        <v>636</v>
      </c>
    </row>
    <row r="83" spans="2:22" x14ac:dyDescent="0.25">
      <c r="B83" s="3" t="s">
        <v>123</v>
      </c>
      <c r="C83" s="1" t="s">
        <v>124</v>
      </c>
      <c r="D83" s="2" t="s">
        <v>66</v>
      </c>
      <c r="E83" s="1" t="s">
        <v>492</v>
      </c>
      <c r="F83" s="2" t="s">
        <v>635</v>
      </c>
      <c r="G83" s="1" t="s">
        <v>125</v>
      </c>
      <c r="H83" s="1" t="s">
        <v>3</v>
      </c>
      <c r="I83" t="str">
        <f t="shared" si="11"/>
        <v>1F</v>
      </c>
      <c r="J83" t="str">
        <f t="shared" si="9"/>
        <v xml:space="preserve">0759 </v>
      </c>
      <c r="K83" t="str">
        <f t="shared" si="10"/>
        <v xml:space="preserve">0803 </v>
      </c>
      <c r="L83" t="str">
        <f t="shared" si="12"/>
        <v>Plat 1</v>
      </c>
      <c r="M83" s="8" t="str">
        <f t="shared" si="13"/>
        <v>1</v>
      </c>
      <c r="N83" t="s">
        <v>635</v>
      </c>
    </row>
    <row r="84" spans="2:22" x14ac:dyDescent="0.25">
      <c r="B84" s="3" t="s">
        <v>126</v>
      </c>
      <c r="C84" s="1" t="s">
        <v>124</v>
      </c>
      <c r="D84" s="2" t="s">
        <v>635</v>
      </c>
      <c r="E84" s="1" t="s">
        <v>490</v>
      </c>
      <c r="F84" s="2" t="s">
        <v>636</v>
      </c>
      <c r="G84" s="1" t="s">
        <v>125</v>
      </c>
      <c r="H84" s="1" t="s">
        <v>3</v>
      </c>
      <c r="I84" t="str">
        <f t="shared" si="11"/>
        <v>1H</v>
      </c>
      <c r="J84" t="str">
        <f t="shared" si="9"/>
        <v xml:space="preserve">0759 </v>
      </c>
      <c r="K84" t="str">
        <f t="shared" si="10"/>
        <v xml:space="preserve">0803 </v>
      </c>
      <c r="L84" t="str">
        <f t="shared" si="12"/>
        <v>Plat 4</v>
      </c>
      <c r="M84" s="8" t="str">
        <f t="shared" si="13"/>
        <v>4</v>
      </c>
      <c r="N84" t="s">
        <v>636</v>
      </c>
    </row>
    <row r="85" spans="2:22" ht="15" customHeight="1" x14ac:dyDescent="0.25">
      <c r="B85" s="3" t="s">
        <v>127</v>
      </c>
      <c r="C85" s="1" t="s">
        <v>128</v>
      </c>
      <c r="D85" s="2" t="s">
        <v>636</v>
      </c>
      <c r="E85" s="1" t="s">
        <v>491</v>
      </c>
      <c r="F85" s="2" t="s">
        <v>635</v>
      </c>
      <c r="G85" s="1" t="s">
        <v>129</v>
      </c>
      <c r="H85" s="1" t="s">
        <v>3</v>
      </c>
      <c r="I85" t="str">
        <f t="shared" si="11"/>
        <v>1L</v>
      </c>
      <c r="J85" t="str">
        <f t="shared" si="9"/>
        <v xml:space="preserve">0805 </v>
      </c>
      <c r="K85" t="str">
        <f t="shared" si="10"/>
        <v xml:space="preserve">0809 </v>
      </c>
      <c r="L85" t="str">
        <f t="shared" si="12"/>
        <v>Plat 2</v>
      </c>
      <c r="M85" s="8" t="str">
        <f t="shared" si="13"/>
        <v>2</v>
      </c>
      <c r="N85" t="s">
        <v>635</v>
      </c>
    </row>
    <row r="86" spans="2:22" x14ac:dyDescent="0.25">
      <c r="B86" s="3" t="s">
        <v>130</v>
      </c>
      <c r="C86" s="1" t="s">
        <v>131</v>
      </c>
      <c r="D86" s="2" t="s">
        <v>635</v>
      </c>
      <c r="E86" s="1" t="s">
        <v>489</v>
      </c>
      <c r="F86" s="2" t="s">
        <v>637</v>
      </c>
      <c r="G86" s="1" t="s">
        <v>132</v>
      </c>
      <c r="H86" s="1" t="s">
        <v>3</v>
      </c>
      <c r="I86" t="str">
        <f t="shared" si="11"/>
        <v>1J</v>
      </c>
      <c r="J86" t="str">
        <f t="shared" si="9"/>
        <v xml:space="preserve">0810 </v>
      </c>
      <c r="K86" t="str">
        <f t="shared" si="10"/>
        <v xml:space="preserve">0814 </v>
      </c>
      <c r="L86" t="str">
        <f t="shared" si="12"/>
        <v>Plat 3</v>
      </c>
      <c r="M86" s="8" t="str">
        <f t="shared" si="13"/>
        <v>3</v>
      </c>
      <c r="N86" t="s">
        <v>636</v>
      </c>
      <c r="O86" t="s">
        <v>637</v>
      </c>
    </row>
    <row r="87" spans="2:22" ht="15" customHeight="1" x14ac:dyDescent="0.25">
      <c r="B87" s="3" t="s">
        <v>133</v>
      </c>
      <c r="C87" s="1" t="s">
        <v>134</v>
      </c>
      <c r="D87" s="2" t="s">
        <v>636</v>
      </c>
      <c r="E87" s="1" t="s">
        <v>492</v>
      </c>
      <c r="F87" s="2" t="s">
        <v>635</v>
      </c>
      <c r="G87" s="1" t="s">
        <v>135</v>
      </c>
      <c r="H87" s="1" t="s">
        <v>3</v>
      </c>
      <c r="I87" t="str">
        <f t="shared" si="11"/>
        <v>1H</v>
      </c>
      <c r="J87" t="str">
        <f t="shared" si="9"/>
        <v xml:space="preserve">0812 </v>
      </c>
      <c r="K87" t="str">
        <f t="shared" si="10"/>
        <v xml:space="preserve">0816 </v>
      </c>
      <c r="L87" t="str">
        <f t="shared" si="12"/>
        <v>Plat 1</v>
      </c>
      <c r="M87" s="8" t="str">
        <f t="shared" si="13"/>
        <v>1</v>
      </c>
      <c r="N87" t="s">
        <v>635</v>
      </c>
    </row>
    <row r="88" spans="2:22" x14ac:dyDescent="0.25">
      <c r="B88" s="3" t="s">
        <v>136</v>
      </c>
      <c r="C88" s="1" t="s">
        <v>137</v>
      </c>
      <c r="D88" s="2" t="s">
        <v>635</v>
      </c>
      <c r="E88" s="1" t="s">
        <v>490</v>
      </c>
      <c r="F88" s="2" t="s">
        <v>636</v>
      </c>
      <c r="G88" s="1" t="s">
        <v>138</v>
      </c>
      <c r="H88" s="1" t="s">
        <v>3</v>
      </c>
      <c r="I88" t="str">
        <f t="shared" si="11"/>
        <v>1H</v>
      </c>
      <c r="J88" t="str">
        <f t="shared" si="9"/>
        <v xml:space="preserve">0817 </v>
      </c>
      <c r="K88" t="str">
        <f t="shared" si="10"/>
        <v xml:space="preserve">0821 </v>
      </c>
      <c r="L88" t="str">
        <f t="shared" si="12"/>
        <v>Plat 4</v>
      </c>
      <c r="M88" s="8" t="str">
        <f t="shared" si="13"/>
        <v>4</v>
      </c>
      <c r="N88" t="s">
        <v>636</v>
      </c>
    </row>
    <row r="89" spans="2:22" x14ac:dyDescent="0.25">
      <c r="B89" s="3" t="s">
        <v>139</v>
      </c>
      <c r="C89" s="1" t="s">
        <v>140</v>
      </c>
      <c r="D89" s="2" t="s">
        <v>637</v>
      </c>
      <c r="E89" s="1" t="s">
        <v>491</v>
      </c>
      <c r="F89" s="2" t="s">
        <v>635</v>
      </c>
      <c r="G89" s="1" t="s">
        <v>141</v>
      </c>
      <c r="H89" s="1" t="s">
        <v>3</v>
      </c>
      <c r="I89" t="str">
        <f t="shared" si="11"/>
        <v>1J</v>
      </c>
      <c r="J89" t="str">
        <f t="shared" si="9"/>
        <v xml:space="preserve">0819 </v>
      </c>
      <c r="K89" t="str">
        <f t="shared" si="10"/>
        <v xml:space="preserve">0823 </v>
      </c>
      <c r="L89" t="str">
        <f t="shared" si="12"/>
        <v>Plat 2</v>
      </c>
      <c r="M89" s="8" t="str">
        <f t="shared" si="13"/>
        <v>2</v>
      </c>
      <c r="N89" t="s">
        <v>635</v>
      </c>
    </row>
    <row r="90" spans="2:22" x14ac:dyDescent="0.25">
      <c r="B90" s="3" t="s">
        <v>142</v>
      </c>
      <c r="C90" s="1" t="s">
        <v>143</v>
      </c>
      <c r="D90" s="2" t="s">
        <v>635</v>
      </c>
      <c r="E90" s="1" t="s">
        <v>489</v>
      </c>
      <c r="F90" s="2" t="s">
        <v>19</v>
      </c>
      <c r="G90" s="1" t="s">
        <v>144</v>
      </c>
      <c r="H90" s="1" t="s">
        <v>3</v>
      </c>
      <c r="I90" t="str">
        <f t="shared" si="11"/>
        <v>1F</v>
      </c>
      <c r="J90" t="str">
        <f t="shared" si="9"/>
        <v xml:space="preserve">0824 </v>
      </c>
      <c r="K90" t="str">
        <f t="shared" si="10"/>
        <v xml:space="preserve">0828 </v>
      </c>
      <c r="L90" t="str">
        <f t="shared" si="12"/>
        <v>Plat 3</v>
      </c>
      <c r="M90" s="8" t="str">
        <f t="shared" si="13"/>
        <v>3</v>
      </c>
      <c r="N90" t="s">
        <v>636</v>
      </c>
      <c r="O90" t="s">
        <v>1028</v>
      </c>
      <c r="P90" t="s">
        <v>1029</v>
      </c>
      <c r="Q90" t="s">
        <v>1030</v>
      </c>
      <c r="R90" t="s">
        <v>1031</v>
      </c>
      <c r="S90" t="s">
        <v>1032</v>
      </c>
      <c r="T90" t="s">
        <v>1033</v>
      </c>
      <c r="U90" t="s">
        <v>1034</v>
      </c>
      <c r="V90" t="s">
        <v>19</v>
      </c>
    </row>
    <row r="91" spans="2:22" ht="15" customHeight="1" x14ac:dyDescent="0.25">
      <c r="B91" s="3" t="s">
        <v>145</v>
      </c>
      <c r="C91" s="1" t="s">
        <v>146</v>
      </c>
      <c r="D91" s="2" t="s">
        <v>636</v>
      </c>
      <c r="E91" s="1" t="s">
        <v>492</v>
      </c>
      <c r="F91" s="2" t="s">
        <v>635</v>
      </c>
      <c r="G91" s="1" t="s">
        <v>147</v>
      </c>
      <c r="H91" s="1" t="s">
        <v>3</v>
      </c>
      <c r="I91" t="str">
        <f t="shared" si="11"/>
        <v>1L</v>
      </c>
      <c r="J91" t="str">
        <f t="shared" si="9"/>
        <v xml:space="preserve">0826 </v>
      </c>
      <c r="K91" t="str">
        <f t="shared" si="10"/>
        <v xml:space="preserve">0830 </v>
      </c>
      <c r="L91" t="str">
        <f t="shared" si="12"/>
        <v>Plat 1</v>
      </c>
      <c r="M91" s="8" t="str">
        <f t="shared" si="13"/>
        <v>1</v>
      </c>
      <c r="N91" t="s">
        <v>635</v>
      </c>
    </row>
    <row r="92" spans="2:22" x14ac:dyDescent="0.25">
      <c r="B92" s="3" t="s">
        <v>148</v>
      </c>
      <c r="C92" s="1" t="s">
        <v>149</v>
      </c>
      <c r="D92" s="2" t="s">
        <v>635</v>
      </c>
      <c r="E92" s="1" t="s">
        <v>490</v>
      </c>
      <c r="F92" s="2" t="s">
        <v>636</v>
      </c>
      <c r="G92" s="1" t="s">
        <v>150</v>
      </c>
      <c r="H92" s="1" t="s">
        <v>3</v>
      </c>
      <c r="I92" t="str">
        <f t="shared" si="11"/>
        <v>1L</v>
      </c>
      <c r="J92" t="str">
        <f t="shared" si="9"/>
        <v xml:space="preserve">0831 </v>
      </c>
      <c r="K92" t="str">
        <f t="shared" si="10"/>
        <v xml:space="preserve">0835 </v>
      </c>
      <c r="L92" t="str">
        <f t="shared" si="12"/>
        <v>Plat 4</v>
      </c>
      <c r="M92" s="8" t="str">
        <f t="shared" si="13"/>
        <v>4</v>
      </c>
      <c r="N92" t="s">
        <v>636</v>
      </c>
    </row>
    <row r="93" spans="2:22" ht="15" customHeight="1" x14ac:dyDescent="0.25">
      <c r="B93" s="3" t="s">
        <v>151</v>
      </c>
      <c r="C93" s="1" t="s">
        <v>152</v>
      </c>
      <c r="D93" s="2" t="s">
        <v>636</v>
      </c>
      <c r="E93" s="1" t="s">
        <v>491</v>
      </c>
      <c r="F93" s="2" t="s">
        <v>635</v>
      </c>
      <c r="G93" s="1" t="s">
        <v>153</v>
      </c>
      <c r="H93" s="1" t="s">
        <v>3</v>
      </c>
      <c r="I93" t="str">
        <f t="shared" si="11"/>
        <v>1F</v>
      </c>
      <c r="J93" t="str">
        <f t="shared" si="9"/>
        <v xml:space="preserve">0833 </v>
      </c>
      <c r="K93" t="str">
        <f t="shared" si="10"/>
        <v xml:space="preserve">0837 </v>
      </c>
      <c r="L93" t="str">
        <f t="shared" si="12"/>
        <v>Plat 2</v>
      </c>
      <c r="M93" s="8" t="str">
        <f t="shared" si="13"/>
        <v>2</v>
      </c>
      <c r="N93" t="s">
        <v>635</v>
      </c>
    </row>
    <row r="94" spans="2:22" x14ac:dyDescent="0.25">
      <c r="B94" s="3" t="s">
        <v>154</v>
      </c>
      <c r="C94" s="1" t="s">
        <v>155</v>
      </c>
      <c r="D94" s="2" t="s">
        <v>635</v>
      </c>
      <c r="E94" s="1" t="s">
        <v>489</v>
      </c>
      <c r="F94" s="2" t="s">
        <v>636</v>
      </c>
      <c r="G94" s="1" t="s">
        <v>156</v>
      </c>
      <c r="H94" s="1" t="s">
        <v>3</v>
      </c>
      <c r="I94" t="str">
        <f t="shared" si="11"/>
        <v>1F</v>
      </c>
      <c r="J94" t="str">
        <f t="shared" si="9"/>
        <v xml:space="preserve">0838 </v>
      </c>
      <c r="K94" t="str">
        <f t="shared" si="10"/>
        <v xml:space="preserve">0842 </v>
      </c>
      <c r="L94" t="str">
        <f t="shared" si="12"/>
        <v>Plat 3</v>
      </c>
      <c r="M94" s="8" t="str">
        <f t="shared" si="13"/>
        <v>3</v>
      </c>
      <c r="N94" t="s">
        <v>636</v>
      </c>
    </row>
    <row r="95" spans="2:22" x14ac:dyDescent="0.25">
      <c r="B95" s="3" t="s">
        <v>157</v>
      </c>
      <c r="C95" s="1" t="s">
        <v>158</v>
      </c>
      <c r="D95" s="2" t="s">
        <v>637</v>
      </c>
      <c r="E95" s="1" t="s">
        <v>492</v>
      </c>
      <c r="F95" s="2" t="s">
        <v>635</v>
      </c>
      <c r="G95" s="1" t="s">
        <v>159</v>
      </c>
      <c r="H95" s="1" t="s">
        <v>3</v>
      </c>
      <c r="I95" t="str">
        <f t="shared" si="11"/>
        <v>1J</v>
      </c>
      <c r="J95" t="str">
        <f t="shared" si="9"/>
        <v>0844½</v>
      </c>
      <c r="K95" t="str">
        <f t="shared" si="10"/>
        <v>0848½</v>
      </c>
      <c r="L95" t="str">
        <f t="shared" si="12"/>
        <v>Plat 1</v>
      </c>
      <c r="M95" s="8" t="str">
        <f t="shared" si="13"/>
        <v>1</v>
      </c>
      <c r="N95" t="s">
        <v>635</v>
      </c>
    </row>
    <row r="96" spans="2:22" x14ac:dyDescent="0.25">
      <c r="B96" s="3" t="s">
        <v>160</v>
      </c>
      <c r="C96" s="1" t="s">
        <v>161</v>
      </c>
      <c r="D96" s="2" t="s">
        <v>635</v>
      </c>
      <c r="E96" s="1" t="s">
        <v>490</v>
      </c>
      <c r="F96" s="2" t="s">
        <v>637</v>
      </c>
      <c r="G96" s="1" t="s">
        <v>162</v>
      </c>
      <c r="H96" s="1" t="s">
        <v>3</v>
      </c>
      <c r="I96" t="str">
        <f t="shared" si="11"/>
        <v>1J</v>
      </c>
      <c r="J96" t="str">
        <f t="shared" si="9"/>
        <v xml:space="preserve">0845 </v>
      </c>
      <c r="K96" t="str">
        <f t="shared" si="10"/>
        <v xml:space="preserve">0849 </v>
      </c>
      <c r="L96" t="str">
        <f t="shared" si="12"/>
        <v>Plat 4</v>
      </c>
      <c r="M96" s="8" t="str">
        <f t="shared" si="13"/>
        <v>4</v>
      </c>
      <c r="N96" t="s">
        <v>636</v>
      </c>
      <c r="O96" t="s">
        <v>637</v>
      </c>
    </row>
    <row r="97" spans="2:22" ht="15" customHeight="1" x14ac:dyDescent="0.25">
      <c r="B97" s="3" t="s">
        <v>163</v>
      </c>
      <c r="C97" s="1" t="s">
        <v>164</v>
      </c>
      <c r="D97" s="2" t="s">
        <v>636</v>
      </c>
      <c r="E97" s="1" t="s">
        <v>491</v>
      </c>
      <c r="F97" s="2" t="s">
        <v>635</v>
      </c>
      <c r="G97" s="1" t="s">
        <v>165</v>
      </c>
      <c r="H97" s="1" t="s">
        <v>3</v>
      </c>
      <c r="I97" t="str">
        <f t="shared" si="11"/>
        <v>1H</v>
      </c>
      <c r="J97" t="str">
        <f t="shared" si="9"/>
        <v xml:space="preserve">0851 </v>
      </c>
      <c r="K97" t="str">
        <f t="shared" si="10"/>
        <v xml:space="preserve">0855 </v>
      </c>
      <c r="L97" t="str">
        <f t="shared" si="12"/>
        <v>Plat 2</v>
      </c>
      <c r="M97" s="8" t="str">
        <f t="shared" si="13"/>
        <v>2</v>
      </c>
      <c r="N97" t="s">
        <v>635</v>
      </c>
    </row>
    <row r="98" spans="2:22" x14ac:dyDescent="0.25">
      <c r="B98" s="3" t="s">
        <v>166</v>
      </c>
      <c r="C98" s="1" t="s">
        <v>167</v>
      </c>
      <c r="D98" s="2" t="s">
        <v>635</v>
      </c>
      <c r="E98" s="1" t="s">
        <v>489</v>
      </c>
      <c r="F98" s="2" t="s">
        <v>636</v>
      </c>
      <c r="G98" s="1" t="s">
        <v>168</v>
      </c>
      <c r="H98" s="1" t="s">
        <v>3</v>
      </c>
      <c r="I98" t="str">
        <f t="shared" si="11"/>
        <v>1L</v>
      </c>
      <c r="J98" t="str">
        <f t="shared" si="9"/>
        <v xml:space="preserve">0852 </v>
      </c>
      <c r="K98" t="str">
        <f t="shared" si="10"/>
        <v xml:space="preserve">0856 </v>
      </c>
      <c r="L98" t="str">
        <f t="shared" si="12"/>
        <v>Plat 3</v>
      </c>
      <c r="M98" s="8" t="str">
        <f t="shared" si="13"/>
        <v>3</v>
      </c>
      <c r="N98" t="s">
        <v>636</v>
      </c>
    </row>
    <row r="99" spans="2:22" x14ac:dyDescent="0.25">
      <c r="B99" s="3" t="s">
        <v>169</v>
      </c>
      <c r="C99" s="1" t="s">
        <v>170</v>
      </c>
      <c r="D99" s="2" t="s">
        <v>19</v>
      </c>
      <c r="E99" s="1" t="s">
        <v>492</v>
      </c>
      <c r="F99" s="2" t="s">
        <v>635</v>
      </c>
      <c r="G99" s="1" t="s">
        <v>171</v>
      </c>
      <c r="H99" s="1" t="s">
        <v>3</v>
      </c>
      <c r="I99" t="str">
        <f t="shared" si="11"/>
        <v>1F</v>
      </c>
      <c r="J99" t="str">
        <f t="shared" si="9"/>
        <v xml:space="preserve">0858 </v>
      </c>
      <c r="K99" t="str">
        <f t="shared" si="10"/>
        <v xml:space="preserve">0902 </v>
      </c>
      <c r="L99" t="str">
        <f t="shared" si="12"/>
        <v>Plat 1</v>
      </c>
      <c r="M99" s="8" t="str">
        <f t="shared" si="13"/>
        <v>1</v>
      </c>
      <c r="N99" t="s">
        <v>635</v>
      </c>
    </row>
    <row r="100" spans="2:22" x14ac:dyDescent="0.25">
      <c r="B100" s="3" t="s">
        <v>172</v>
      </c>
      <c r="C100" s="1" t="s">
        <v>173</v>
      </c>
      <c r="D100" s="2" t="s">
        <v>635</v>
      </c>
      <c r="E100" s="1" t="s">
        <v>490</v>
      </c>
      <c r="F100" s="2" t="s">
        <v>636</v>
      </c>
      <c r="G100" s="1" t="s">
        <v>174</v>
      </c>
      <c r="H100" s="1" t="s">
        <v>3</v>
      </c>
      <c r="I100" t="str">
        <f t="shared" si="11"/>
        <v>1H</v>
      </c>
      <c r="J100" t="str">
        <f t="shared" si="9"/>
        <v xml:space="preserve">0859 </v>
      </c>
      <c r="K100" t="str">
        <f t="shared" si="10"/>
        <v xml:space="preserve">0903 </v>
      </c>
      <c r="L100" t="str">
        <f t="shared" si="12"/>
        <v>Plat 4</v>
      </c>
      <c r="M100" s="8" t="str">
        <f t="shared" si="13"/>
        <v>4</v>
      </c>
      <c r="N100" t="s">
        <v>636</v>
      </c>
    </row>
    <row r="101" spans="2:22" ht="15" customHeight="1" x14ac:dyDescent="0.25">
      <c r="B101" s="3" t="s">
        <v>275</v>
      </c>
      <c r="C101" s="1" t="s">
        <v>276</v>
      </c>
      <c r="D101" s="2" t="s">
        <v>636</v>
      </c>
      <c r="E101" s="1" t="s">
        <v>491</v>
      </c>
      <c r="F101" s="2" t="s">
        <v>635</v>
      </c>
      <c r="G101" s="1" t="s">
        <v>277</v>
      </c>
      <c r="H101" s="1" t="s">
        <v>3</v>
      </c>
      <c r="I101" t="str">
        <f t="shared" ref="I101:I123" si="14">LEFT(B101,2)</f>
        <v>1L</v>
      </c>
      <c r="J101" t="str">
        <f t="shared" ref="J101:J123" si="15">LEFT(C101,5)</f>
        <v xml:space="preserve">0905 </v>
      </c>
      <c r="K101" t="str">
        <f t="shared" ref="K101:K123" si="16">LEFT(G101,5)</f>
        <v xml:space="preserve">0909 </v>
      </c>
      <c r="L101" t="str">
        <f t="shared" si="12"/>
        <v>Plat 2</v>
      </c>
      <c r="M101" s="8" t="str">
        <f t="shared" si="13"/>
        <v>2</v>
      </c>
      <c r="N101" t="s">
        <v>635</v>
      </c>
    </row>
    <row r="102" spans="2:22" x14ac:dyDescent="0.25">
      <c r="B102" s="3" t="s">
        <v>278</v>
      </c>
      <c r="C102" s="1" t="s">
        <v>279</v>
      </c>
      <c r="D102" s="2" t="s">
        <v>635</v>
      </c>
      <c r="E102" s="1" t="s">
        <v>489</v>
      </c>
      <c r="F102" s="2" t="s">
        <v>637</v>
      </c>
      <c r="G102" s="1" t="s">
        <v>280</v>
      </c>
      <c r="H102" s="1" t="s">
        <v>3</v>
      </c>
      <c r="I102" t="str">
        <f t="shared" si="14"/>
        <v>1J</v>
      </c>
      <c r="J102" t="str">
        <f t="shared" si="15"/>
        <v xml:space="preserve">0910 </v>
      </c>
      <c r="K102" t="str">
        <f t="shared" si="16"/>
        <v xml:space="preserve">0914 </v>
      </c>
      <c r="L102" t="str">
        <f t="shared" si="12"/>
        <v>Plat 3</v>
      </c>
      <c r="M102" s="8" t="str">
        <f t="shared" si="13"/>
        <v>3</v>
      </c>
      <c r="N102" t="s">
        <v>636</v>
      </c>
      <c r="O102" t="s">
        <v>637</v>
      </c>
    </row>
    <row r="103" spans="2:22" ht="15" customHeight="1" x14ac:dyDescent="0.25">
      <c r="B103" s="3" t="s">
        <v>281</v>
      </c>
      <c r="C103" s="1" t="s">
        <v>282</v>
      </c>
      <c r="D103" s="2" t="s">
        <v>636</v>
      </c>
      <c r="E103" s="1" t="s">
        <v>492</v>
      </c>
      <c r="F103" s="2" t="s">
        <v>635</v>
      </c>
      <c r="G103" s="1" t="s">
        <v>283</v>
      </c>
      <c r="H103" s="1" t="s">
        <v>3</v>
      </c>
      <c r="I103" t="str">
        <f t="shared" si="14"/>
        <v>1H</v>
      </c>
      <c r="J103" t="str">
        <f t="shared" si="15"/>
        <v xml:space="preserve">0912 </v>
      </c>
      <c r="K103" t="str">
        <f t="shared" si="16"/>
        <v xml:space="preserve">0916 </v>
      </c>
      <c r="L103" t="str">
        <f t="shared" si="12"/>
        <v>Plat 1</v>
      </c>
      <c r="M103" s="8" t="str">
        <f t="shared" si="13"/>
        <v>1</v>
      </c>
      <c r="N103" t="s">
        <v>635</v>
      </c>
    </row>
    <row r="104" spans="2:22" ht="15" customHeight="1" x14ac:dyDescent="0.25">
      <c r="B104" s="3" t="s">
        <v>284</v>
      </c>
      <c r="C104" s="1" t="s">
        <v>285</v>
      </c>
      <c r="D104" s="2" t="s">
        <v>635</v>
      </c>
      <c r="E104" s="1" t="s">
        <v>490</v>
      </c>
      <c r="F104" s="2" t="s">
        <v>636</v>
      </c>
      <c r="G104" s="1" t="s">
        <v>286</v>
      </c>
      <c r="H104" s="1" t="s">
        <v>3</v>
      </c>
      <c r="I104" t="str">
        <f t="shared" si="14"/>
        <v>1H</v>
      </c>
      <c r="J104" t="str">
        <f t="shared" si="15"/>
        <v xml:space="preserve">0917 </v>
      </c>
      <c r="K104" t="str">
        <f t="shared" si="16"/>
        <v xml:space="preserve">0921 </v>
      </c>
      <c r="L104" t="str">
        <f t="shared" si="12"/>
        <v>Plat 4</v>
      </c>
      <c r="M104" s="8" t="str">
        <f t="shared" si="13"/>
        <v>4</v>
      </c>
      <c r="N104" t="s">
        <v>636</v>
      </c>
    </row>
    <row r="105" spans="2:22" ht="15" customHeight="1" x14ac:dyDescent="0.25">
      <c r="B105" s="3" t="s">
        <v>287</v>
      </c>
      <c r="C105" s="1" t="s">
        <v>288</v>
      </c>
      <c r="D105" s="2" t="s">
        <v>637</v>
      </c>
      <c r="E105" s="1" t="s">
        <v>491</v>
      </c>
      <c r="F105" s="2" t="s">
        <v>635</v>
      </c>
      <c r="G105" s="1" t="s">
        <v>289</v>
      </c>
      <c r="H105" s="1" t="s">
        <v>3</v>
      </c>
      <c r="I105" t="str">
        <f t="shared" si="14"/>
        <v>1J</v>
      </c>
      <c r="J105" t="str">
        <f t="shared" si="15"/>
        <v xml:space="preserve">0919 </v>
      </c>
      <c r="K105" t="str">
        <f t="shared" si="16"/>
        <v xml:space="preserve">0923 </v>
      </c>
      <c r="L105" t="str">
        <f t="shared" si="12"/>
        <v>Plat 2</v>
      </c>
      <c r="M105" s="8" t="str">
        <f t="shared" si="13"/>
        <v>2</v>
      </c>
      <c r="N105" t="s">
        <v>635</v>
      </c>
    </row>
    <row r="106" spans="2:22" ht="15" customHeight="1" x14ac:dyDescent="0.25">
      <c r="B106" s="3" t="s">
        <v>290</v>
      </c>
      <c r="C106" s="1" t="s">
        <v>291</v>
      </c>
      <c r="D106" s="2" t="s">
        <v>635</v>
      </c>
      <c r="E106" s="1" t="s">
        <v>489</v>
      </c>
      <c r="F106" s="2" t="s">
        <v>19</v>
      </c>
      <c r="G106" s="1" t="s">
        <v>292</v>
      </c>
      <c r="H106" s="1" t="s">
        <v>3</v>
      </c>
      <c r="I106" t="str">
        <f t="shared" si="14"/>
        <v>1F</v>
      </c>
      <c r="J106" t="str">
        <f t="shared" si="15"/>
        <v xml:space="preserve">0924 </v>
      </c>
      <c r="K106" t="str">
        <f t="shared" si="16"/>
        <v xml:space="preserve">0928 </v>
      </c>
      <c r="L106" t="str">
        <f t="shared" si="12"/>
        <v>Plat 3</v>
      </c>
      <c r="M106" s="8" t="str">
        <f t="shared" si="13"/>
        <v>3</v>
      </c>
      <c r="N106" t="s">
        <v>636</v>
      </c>
      <c r="O106" t="s">
        <v>1028</v>
      </c>
      <c r="P106" t="s">
        <v>1029</v>
      </c>
      <c r="Q106" t="s">
        <v>1030</v>
      </c>
      <c r="R106" t="s">
        <v>1031</v>
      </c>
      <c r="S106" t="s">
        <v>1032</v>
      </c>
      <c r="T106" t="s">
        <v>1033</v>
      </c>
      <c r="U106" t="s">
        <v>1034</v>
      </c>
      <c r="V106" t="s">
        <v>19</v>
      </c>
    </row>
    <row r="107" spans="2:22" ht="15" customHeight="1" x14ac:dyDescent="0.25">
      <c r="B107" s="3" t="s">
        <v>293</v>
      </c>
      <c r="C107" s="1" t="s">
        <v>294</v>
      </c>
      <c r="D107" s="2" t="s">
        <v>636</v>
      </c>
      <c r="E107" s="1" t="s">
        <v>492</v>
      </c>
      <c r="F107" s="2" t="s">
        <v>635</v>
      </c>
      <c r="G107" s="1" t="s">
        <v>295</v>
      </c>
      <c r="H107" s="1" t="s">
        <v>3</v>
      </c>
      <c r="I107" t="str">
        <f t="shared" si="14"/>
        <v>1L</v>
      </c>
      <c r="J107" t="str">
        <f t="shared" si="15"/>
        <v xml:space="preserve">0926 </v>
      </c>
      <c r="K107" t="str">
        <f t="shared" si="16"/>
        <v xml:space="preserve">0930 </v>
      </c>
      <c r="L107" t="str">
        <f t="shared" si="12"/>
        <v>Plat 1</v>
      </c>
      <c r="M107" s="8" t="str">
        <f t="shared" si="13"/>
        <v>1</v>
      </c>
      <c r="N107" t="s">
        <v>635</v>
      </c>
    </row>
    <row r="108" spans="2:22" ht="15" customHeight="1" x14ac:dyDescent="0.25">
      <c r="B108" s="3" t="s">
        <v>296</v>
      </c>
      <c r="C108" s="1" t="s">
        <v>297</v>
      </c>
      <c r="D108" s="2" t="s">
        <v>635</v>
      </c>
      <c r="E108" s="1" t="s">
        <v>490</v>
      </c>
      <c r="F108" s="2" t="s">
        <v>636</v>
      </c>
      <c r="G108" s="1" t="s">
        <v>298</v>
      </c>
      <c r="H108" s="1" t="s">
        <v>3</v>
      </c>
      <c r="I108" t="str">
        <f t="shared" si="14"/>
        <v>1L</v>
      </c>
      <c r="J108" t="str">
        <f t="shared" si="15"/>
        <v xml:space="preserve">0931 </v>
      </c>
      <c r="K108" t="str">
        <f t="shared" si="16"/>
        <v xml:space="preserve">0935 </v>
      </c>
      <c r="L108" t="str">
        <f t="shared" si="12"/>
        <v>Plat 4</v>
      </c>
      <c r="M108" s="8" t="str">
        <f t="shared" si="13"/>
        <v>4</v>
      </c>
      <c r="N108" t="s">
        <v>636</v>
      </c>
    </row>
    <row r="109" spans="2:22" ht="15" customHeight="1" x14ac:dyDescent="0.25">
      <c r="B109" s="3" t="s">
        <v>299</v>
      </c>
      <c r="C109" s="1" t="s">
        <v>300</v>
      </c>
      <c r="D109" s="2" t="s">
        <v>636</v>
      </c>
      <c r="E109" s="1" t="s">
        <v>491</v>
      </c>
      <c r="F109" s="2" t="s">
        <v>635</v>
      </c>
      <c r="G109" s="1" t="s">
        <v>301</v>
      </c>
      <c r="H109" s="1" t="s">
        <v>3</v>
      </c>
      <c r="I109" t="str">
        <f t="shared" si="14"/>
        <v>1F</v>
      </c>
      <c r="J109" t="str">
        <f t="shared" si="15"/>
        <v xml:space="preserve">0933 </v>
      </c>
      <c r="K109" t="str">
        <f t="shared" si="16"/>
        <v xml:space="preserve">0937 </v>
      </c>
      <c r="L109" t="str">
        <f t="shared" si="12"/>
        <v>Plat 2</v>
      </c>
      <c r="M109" s="8" t="str">
        <f t="shared" si="13"/>
        <v>2</v>
      </c>
      <c r="N109" t="s">
        <v>635</v>
      </c>
    </row>
    <row r="110" spans="2:22" ht="15" customHeight="1" x14ac:dyDescent="0.25">
      <c r="B110" s="3" t="s">
        <v>302</v>
      </c>
      <c r="C110" s="1" t="s">
        <v>303</v>
      </c>
      <c r="D110" s="2" t="s">
        <v>635</v>
      </c>
      <c r="E110" s="1" t="s">
        <v>489</v>
      </c>
      <c r="F110" s="2" t="s">
        <v>636</v>
      </c>
      <c r="G110" s="1" t="s">
        <v>304</v>
      </c>
      <c r="H110" s="1" t="s">
        <v>3</v>
      </c>
      <c r="I110" t="str">
        <f t="shared" si="14"/>
        <v>1F</v>
      </c>
      <c r="J110" t="str">
        <f t="shared" si="15"/>
        <v xml:space="preserve">0938 </v>
      </c>
      <c r="K110" t="str">
        <f t="shared" si="16"/>
        <v xml:space="preserve">0942 </v>
      </c>
      <c r="L110" t="str">
        <f t="shared" si="12"/>
        <v>Plat 3</v>
      </c>
      <c r="M110" s="8" t="str">
        <f t="shared" si="13"/>
        <v>3</v>
      </c>
      <c r="N110" t="s">
        <v>636</v>
      </c>
    </row>
    <row r="111" spans="2:22" ht="15" customHeight="1" x14ac:dyDescent="0.25">
      <c r="B111" s="3" t="s">
        <v>305</v>
      </c>
      <c r="C111" s="1" t="s">
        <v>306</v>
      </c>
      <c r="D111" s="2" t="s">
        <v>637</v>
      </c>
      <c r="E111" s="1" t="s">
        <v>492</v>
      </c>
      <c r="F111" s="2" t="s">
        <v>635</v>
      </c>
      <c r="G111" s="1" t="s">
        <v>307</v>
      </c>
      <c r="H111" s="1" t="s">
        <v>3</v>
      </c>
      <c r="I111" t="str">
        <f t="shared" si="14"/>
        <v>1J</v>
      </c>
      <c r="J111" t="str">
        <f t="shared" si="15"/>
        <v>0944½</v>
      </c>
      <c r="K111" t="str">
        <f t="shared" si="16"/>
        <v>0948½</v>
      </c>
      <c r="L111" t="str">
        <f t="shared" si="12"/>
        <v>Plat 1</v>
      </c>
      <c r="M111" s="8" t="str">
        <f t="shared" si="13"/>
        <v>1</v>
      </c>
      <c r="N111" t="s">
        <v>635</v>
      </c>
    </row>
    <row r="112" spans="2:22" ht="15" customHeight="1" x14ac:dyDescent="0.25">
      <c r="B112" s="3" t="s">
        <v>308</v>
      </c>
      <c r="C112" s="1" t="s">
        <v>309</v>
      </c>
      <c r="D112" s="2" t="s">
        <v>635</v>
      </c>
      <c r="E112" s="1" t="s">
        <v>490</v>
      </c>
      <c r="F112" s="2" t="s">
        <v>637</v>
      </c>
      <c r="G112" s="1" t="s">
        <v>310</v>
      </c>
      <c r="H112" s="1" t="s">
        <v>3</v>
      </c>
      <c r="I112" t="str">
        <f t="shared" si="14"/>
        <v>1J</v>
      </c>
      <c r="J112" t="str">
        <f t="shared" si="15"/>
        <v xml:space="preserve">0945 </v>
      </c>
      <c r="K112" t="str">
        <f t="shared" si="16"/>
        <v xml:space="preserve">0949 </v>
      </c>
      <c r="L112" t="str">
        <f t="shared" si="12"/>
        <v>Plat 4</v>
      </c>
      <c r="M112" s="8" t="str">
        <f t="shared" si="13"/>
        <v>4</v>
      </c>
      <c r="N112" t="s">
        <v>636</v>
      </c>
      <c r="O112" t="s">
        <v>637</v>
      </c>
    </row>
    <row r="113" spans="2:22" ht="15" customHeight="1" x14ac:dyDescent="0.25">
      <c r="B113" s="3" t="s">
        <v>311</v>
      </c>
      <c r="C113" s="1" t="s">
        <v>312</v>
      </c>
      <c r="D113" s="2" t="s">
        <v>636</v>
      </c>
      <c r="E113" s="1" t="s">
        <v>491</v>
      </c>
      <c r="F113" s="2" t="s">
        <v>635</v>
      </c>
      <c r="G113" s="1" t="s">
        <v>313</v>
      </c>
      <c r="H113" s="1" t="s">
        <v>3</v>
      </c>
      <c r="I113" t="str">
        <f t="shared" si="14"/>
        <v>1H</v>
      </c>
      <c r="J113" t="str">
        <f t="shared" si="15"/>
        <v xml:space="preserve">0951 </v>
      </c>
      <c r="K113" t="str">
        <f t="shared" si="16"/>
        <v xml:space="preserve">0955 </v>
      </c>
      <c r="L113" t="str">
        <f t="shared" si="12"/>
        <v>Plat 2</v>
      </c>
      <c r="M113" s="8" t="str">
        <f t="shared" si="13"/>
        <v>2</v>
      </c>
      <c r="N113" t="s">
        <v>635</v>
      </c>
    </row>
    <row r="114" spans="2:22" ht="15" customHeight="1" x14ac:dyDescent="0.25">
      <c r="B114" s="3" t="s">
        <v>314</v>
      </c>
      <c r="C114" s="1" t="s">
        <v>315</v>
      </c>
      <c r="D114" s="2" t="s">
        <v>635</v>
      </c>
      <c r="E114" s="1" t="s">
        <v>489</v>
      </c>
      <c r="F114" s="2" t="s">
        <v>636</v>
      </c>
      <c r="G114" s="1" t="s">
        <v>316</v>
      </c>
      <c r="H114" s="1" t="s">
        <v>3</v>
      </c>
      <c r="I114" t="str">
        <f t="shared" si="14"/>
        <v>1L</v>
      </c>
      <c r="J114" t="str">
        <f t="shared" si="15"/>
        <v xml:space="preserve">0952 </v>
      </c>
      <c r="K114" t="str">
        <f t="shared" si="16"/>
        <v xml:space="preserve">0956 </v>
      </c>
      <c r="L114" t="str">
        <f t="shared" si="12"/>
        <v>Plat 3</v>
      </c>
      <c r="M114" s="8" t="str">
        <f t="shared" si="13"/>
        <v>3</v>
      </c>
      <c r="N114" t="s">
        <v>636</v>
      </c>
    </row>
    <row r="115" spans="2:22" ht="15" customHeight="1" x14ac:dyDescent="0.25">
      <c r="B115" s="3" t="s">
        <v>317</v>
      </c>
      <c r="C115" s="1" t="s">
        <v>318</v>
      </c>
      <c r="D115" s="2" t="s">
        <v>19</v>
      </c>
      <c r="E115" s="1" t="s">
        <v>492</v>
      </c>
      <c r="F115" s="2" t="s">
        <v>635</v>
      </c>
      <c r="G115" s="1" t="s">
        <v>319</v>
      </c>
      <c r="H115" s="1" t="s">
        <v>3</v>
      </c>
      <c r="I115" t="str">
        <f t="shared" si="14"/>
        <v>1F</v>
      </c>
      <c r="J115" t="str">
        <f t="shared" si="15"/>
        <v xml:space="preserve">0958 </v>
      </c>
      <c r="K115" t="str">
        <f t="shared" si="16"/>
        <v xml:space="preserve">1002 </v>
      </c>
      <c r="L115" t="str">
        <f t="shared" si="12"/>
        <v>Plat 1</v>
      </c>
      <c r="M115" s="8" t="str">
        <f t="shared" si="13"/>
        <v>1</v>
      </c>
      <c r="N115" t="s">
        <v>635</v>
      </c>
    </row>
    <row r="116" spans="2:22" ht="15" customHeight="1" x14ac:dyDescent="0.25">
      <c r="B116" s="3" t="s">
        <v>320</v>
      </c>
      <c r="C116" s="1" t="s">
        <v>321</v>
      </c>
      <c r="D116" s="2" t="s">
        <v>635</v>
      </c>
      <c r="E116" s="1" t="s">
        <v>490</v>
      </c>
      <c r="F116" s="2" t="s">
        <v>636</v>
      </c>
      <c r="G116" s="1" t="s">
        <v>322</v>
      </c>
      <c r="H116" s="1" t="s">
        <v>3</v>
      </c>
      <c r="I116" t="str">
        <f t="shared" si="14"/>
        <v>1H</v>
      </c>
      <c r="J116" t="str">
        <f t="shared" si="15"/>
        <v xml:space="preserve">0959 </v>
      </c>
      <c r="K116" t="str">
        <f t="shared" si="16"/>
        <v xml:space="preserve">1003 </v>
      </c>
      <c r="L116" t="str">
        <f t="shared" si="12"/>
        <v>Plat 4</v>
      </c>
      <c r="M116" s="8" t="str">
        <f t="shared" si="13"/>
        <v>4</v>
      </c>
      <c r="N116" t="s">
        <v>636</v>
      </c>
    </row>
    <row r="117" spans="2:22" ht="15" customHeight="1" x14ac:dyDescent="0.25">
      <c r="B117" s="3" t="s">
        <v>323</v>
      </c>
      <c r="C117" s="1" t="s">
        <v>324</v>
      </c>
      <c r="D117" s="2" t="s">
        <v>636</v>
      </c>
      <c r="E117" s="1" t="s">
        <v>491</v>
      </c>
      <c r="F117" s="2" t="s">
        <v>635</v>
      </c>
      <c r="G117" s="1" t="s">
        <v>325</v>
      </c>
      <c r="H117" s="1" t="s">
        <v>3</v>
      </c>
      <c r="I117" t="str">
        <f t="shared" si="14"/>
        <v>1L</v>
      </c>
      <c r="J117" t="str">
        <f t="shared" si="15"/>
        <v xml:space="preserve">1005 </v>
      </c>
      <c r="K117" t="str">
        <f t="shared" si="16"/>
        <v xml:space="preserve">1009 </v>
      </c>
      <c r="L117" t="str">
        <f t="shared" si="12"/>
        <v>Plat 2</v>
      </c>
      <c r="M117" s="8" t="str">
        <f t="shared" si="13"/>
        <v>2</v>
      </c>
      <c r="N117" t="s">
        <v>635</v>
      </c>
    </row>
    <row r="118" spans="2:22" ht="15" customHeight="1" x14ac:dyDescent="0.25">
      <c r="B118" s="3" t="s">
        <v>326</v>
      </c>
      <c r="C118" s="1" t="s">
        <v>327</v>
      </c>
      <c r="D118" s="2" t="s">
        <v>635</v>
      </c>
      <c r="E118" s="1" t="s">
        <v>489</v>
      </c>
      <c r="F118" s="2" t="s">
        <v>637</v>
      </c>
      <c r="G118" s="1" t="s">
        <v>328</v>
      </c>
      <c r="H118" s="1" t="s">
        <v>3</v>
      </c>
      <c r="I118" t="str">
        <f t="shared" si="14"/>
        <v>1J</v>
      </c>
      <c r="J118" t="str">
        <f t="shared" si="15"/>
        <v xml:space="preserve">1010 </v>
      </c>
      <c r="K118" t="str">
        <f t="shared" si="16"/>
        <v xml:space="preserve">1014 </v>
      </c>
      <c r="L118" t="str">
        <f t="shared" si="12"/>
        <v>Plat 3</v>
      </c>
      <c r="M118" s="8" t="str">
        <f t="shared" si="13"/>
        <v>3</v>
      </c>
      <c r="N118" t="s">
        <v>636</v>
      </c>
      <c r="O118" t="s">
        <v>637</v>
      </c>
    </row>
    <row r="119" spans="2:22" ht="15" customHeight="1" x14ac:dyDescent="0.25">
      <c r="B119" s="3" t="s">
        <v>329</v>
      </c>
      <c r="C119" s="1" t="s">
        <v>330</v>
      </c>
      <c r="D119" s="2" t="s">
        <v>636</v>
      </c>
      <c r="E119" s="1" t="s">
        <v>492</v>
      </c>
      <c r="F119" s="2" t="s">
        <v>635</v>
      </c>
      <c r="G119" s="1" t="s">
        <v>331</v>
      </c>
      <c r="H119" s="1" t="s">
        <v>3</v>
      </c>
      <c r="I119" t="str">
        <f t="shared" si="14"/>
        <v>1H</v>
      </c>
      <c r="J119" t="str">
        <f t="shared" si="15"/>
        <v xml:space="preserve">1012 </v>
      </c>
      <c r="K119" t="str">
        <f t="shared" si="16"/>
        <v xml:space="preserve">1016 </v>
      </c>
      <c r="L119" t="str">
        <f t="shared" si="12"/>
        <v>Plat 1</v>
      </c>
      <c r="M119" s="8" t="str">
        <f t="shared" si="13"/>
        <v>1</v>
      </c>
      <c r="N119" t="s">
        <v>635</v>
      </c>
    </row>
    <row r="120" spans="2:22" ht="15" customHeight="1" x14ac:dyDescent="0.25">
      <c r="B120" s="3" t="s">
        <v>332</v>
      </c>
      <c r="C120" s="1" t="s">
        <v>333</v>
      </c>
      <c r="D120" s="2" t="s">
        <v>635</v>
      </c>
      <c r="E120" s="1" t="s">
        <v>490</v>
      </c>
      <c r="F120" s="2" t="s">
        <v>636</v>
      </c>
      <c r="G120" s="1" t="s">
        <v>334</v>
      </c>
      <c r="H120" s="1" t="s">
        <v>3</v>
      </c>
      <c r="I120" t="str">
        <f t="shared" si="14"/>
        <v>1H</v>
      </c>
      <c r="J120" t="str">
        <f t="shared" si="15"/>
        <v xml:space="preserve">1017 </v>
      </c>
      <c r="K120" t="str">
        <f t="shared" si="16"/>
        <v xml:space="preserve">1021 </v>
      </c>
      <c r="L120" t="str">
        <f t="shared" si="12"/>
        <v>Plat 4</v>
      </c>
      <c r="M120" s="8" t="str">
        <f t="shared" si="13"/>
        <v>4</v>
      </c>
      <c r="N120" t="s">
        <v>636</v>
      </c>
    </row>
    <row r="121" spans="2:22" ht="15" customHeight="1" x14ac:dyDescent="0.25">
      <c r="B121" s="3" t="s">
        <v>335</v>
      </c>
      <c r="C121" s="1" t="s">
        <v>336</v>
      </c>
      <c r="D121" s="2" t="s">
        <v>637</v>
      </c>
      <c r="E121" s="1" t="s">
        <v>491</v>
      </c>
      <c r="F121" s="2" t="s">
        <v>635</v>
      </c>
      <c r="G121" s="1" t="s">
        <v>337</v>
      </c>
      <c r="H121" s="1" t="s">
        <v>3</v>
      </c>
      <c r="I121" t="str">
        <f t="shared" si="14"/>
        <v>1J</v>
      </c>
      <c r="J121" t="str">
        <f t="shared" si="15"/>
        <v xml:space="preserve">1019 </v>
      </c>
      <c r="K121" t="str">
        <f t="shared" si="16"/>
        <v xml:space="preserve">1023 </v>
      </c>
      <c r="L121" t="str">
        <f t="shared" si="12"/>
        <v>Plat 2</v>
      </c>
      <c r="M121" s="8" t="str">
        <f t="shared" si="13"/>
        <v>2</v>
      </c>
      <c r="N121" t="s">
        <v>635</v>
      </c>
    </row>
    <row r="122" spans="2:22" ht="15" customHeight="1" x14ac:dyDescent="0.25">
      <c r="B122" s="3" t="s">
        <v>338</v>
      </c>
      <c r="C122" s="1" t="s">
        <v>339</v>
      </c>
      <c r="D122" s="2" t="s">
        <v>635</v>
      </c>
      <c r="E122" s="1" t="s">
        <v>489</v>
      </c>
      <c r="F122" s="2" t="s">
        <v>19</v>
      </c>
      <c r="G122" s="1" t="s">
        <v>340</v>
      </c>
      <c r="H122" s="1" t="s">
        <v>3</v>
      </c>
      <c r="I122" t="str">
        <f t="shared" si="14"/>
        <v>1F</v>
      </c>
      <c r="J122" t="str">
        <f t="shared" si="15"/>
        <v xml:space="preserve">1024 </v>
      </c>
      <c r="K122" t="str">
        <f t="shared" si="16"/>
        <v xml:space="preserve">1028 </v>
      </c>
      <c r="L122" t="str">
        <f t="shared" si="12"/>
        <v>Plat 3</v>
      </c>
      <c r="M122" s="8" t="str">
        <f t="shared" si="13"/>
        <v>3</v>
      </c>
      <c r="N122" t="s">
        <v>636</v>
      </c>
      <c r="O122" t="s">
        <v>1028</v>
      </c>
      <c r="P122" t="s">
        <v>1029</v>
      </c>
      <c r="Q122" t="s">
        <v>1030</v>
      </c>
      <c r="R122" t="s">
        <v>1031</v>
      </c>
      <c r="S122" t="s">
        <v>1032</v>
      </c>
      <c r="T122" t="s">
        <v>1033</v>
      </c>
      <c r="U122" t="s">
        <v>1034</v>
      </c>
      <c r="V122" t="s">
        <v>19</v>
      </c>
    </row>
    <row r="123" spans="2:22" ht="15" customHeight="1" x14ac:dyDescent="0.25">
      <c r="B123" s="3" t="s">
        <v>341</v>
      </c>
      <c r="C123" s="1" t="s">
        <v>342</v>
      </c>
      <c r="D123" s="2" t="s">
        <v>636</v>
      </c>
      <c r="E123" s="1" t="s">
        <v>492</v>
      </c>
      <c r="F123" s="2" t="s">
        <v>635</v>
      </c>
      <c r="G123" s="1" t="s">
        <v>343</v>
      </c>
      <c r="H123" s="1" t="s">
        <v>3</v>
      </c>
      <c r="I123" t="str">
        <f t="shared" si="14"/>
        <v>1L</v>
      </c>
      <c r="J123" t="str">
        <f t="shared" si="15"/>
        <v xml:space="preserve">1026 </v>
      </c>
      <c r="K123" t="str">
        <f t="shared" si="16"/>
        <v xml:space="preserve">1030 </v>
      </c>
      <c r="L123" t="str">
        <f t="shared" si="12"/>
        <v>Plat 1</v>
      </c>
      <c r="M123" s="8" t="str">
        <f t="shared" si="13"/>
        <v>1</v>
      </c>
      <c r="N123" t="s">
        <v>635</v>
      </c>
    </row>
    <row r="124" spans="2:22" ht="15" customHeight="1" x14ac:dyDescent="0.25">
      <c r="B124" s="3" t="s">
        <v>344</v>
      </c>
      <c r="C124" s="1" t="s">
        <v>345</v>
      </c>
      <c r="D124" s="2" t="s">
        <v>635</v>
      </c>
      <c r="E124" s="1" t="s">
        <v>490</v>
      </c>
      <c r="F124" s="2" t="s">
        <v>636</v>
      </c>
      <c r="G124" s="1" t="s">
        <v>346</v>
      </c>
      <c r="H124" s="1" t="s">
        <v>3</v>
      </c>
      <c r="I124" t="str">
        <f t="shared" ref="I124:I171" si="17">LEFT(B124,2)</f>
        <v>1L</v>
      </c>
      <c r="J124" t="str">
        <f t="shared" ref="J124:J171" si="18">LEFT(C124,5)</f>
        <v xml:space="preserve">1031 </v>
      </c>
      <c r="K124" t="str">
        <f t="shared" ref="K124:K171" si="19">LEFT(G124,5)</f>
        <v xml:space="preserve">1035 </v>
      </c>
      <c r="L124" t="str">
        <f t="shared" si="12"/>
        <v>Plat 4</v>
      </c>
      <c r="M124" s="8" t="str">
        <f t="shared" si="13"/>
        <v>4</v>
      </c>
      <c r="N124" t="s">
        <v>636</v>
      </c>
    </row>
    <row r="125" spans="2:22" ht="15" customHeight="1" x14ac:dyDescent="0.25">
      <c r="B125" s="3" t="s">
        <v>347</v>
      </c>
      <c r="C125" s="1" t="s">
        <v>348</v>
      </c>
      <c r="D125" s="2" t="s">
        <v>636</v>
      </c>
      <c r="E125" s="1" t="s">
        <v>491</v>
      </c>
      <c r="F125" s="2" t="s">
        <v>635</v>
      </c>
      <c r="G125" s="1" t="s">
        <v>349</v>
      </c>
      <c r="H125" s="1" t="s">
        <v>3</v>
      </c>
      <c r="I125" t="str">
        <f t="shared" si="17"/>
        <v>1F</v>
      </c>
      <c r="J125" t="str">
        <f t="shared" si="18"/>
        <v xml:space="preserve">1033 </v>
      </c>
      <c r="K125" t="str">
        <f t="shared" si="19"/>
        <v xml:space="preserve">1037 </v>
      </c>
      <c r="L125" t="str">
        <f t="shared" si="12"/>
        <v>Plat 2</v>
      </c>
      <c r="M125" s="8" t="str">
        <f t="shared" si="13"/>
        <v>2</v>
      </c>
      <c r="N125" t="s">
        <v>635</v>
      </c>
    </row>
    <row r="126" spans="2:22" ht="15" customHeight="1" x14ac:dyDescent="0.25">
      <c r="B126" s="3" t="s">
        <v>350</v>
      </c>
      <c r="C126" s="1" t="s">
        <v>351</v>
      </c>
      <c r="D126" s="2" t="s">
        <v>635</v>
      </c>
      <c r="E126" s="1" t="s">
        <v>489</v>
      </c>
      <c r="F126" s="2" t="s">
        <v>636</v>
      </c>
      <c r="G126" s="1" t="s">
        <v>352</v>
      </c>
      <c r="H126" s="1" t="s">
        <v>3</v>
      </c>
      <c r="I126" t="str">
        <f t="shared" si="17"/>
        <v>1F</v>
      </c>
      <c r="J126" t="str">
        <f t="shared" si="18"/>
        <v xml:space="preserve">1038 </v>
      </c>
      <c r="K126" t="str">
        <f t="shared" si="19"/>
        <v xml:space="preserve">1042 </v>
      </c>
      <c r="L126" t="str">
        <f t="shared" si="12"/>
        <v>Plat 3</v>
      </c>
      <c r="M126" s="8" t="str">
        <f t="shared" si="13"/>
        <v>3</v>
      </c>
      <c r="N126" t="s">
        <v>636</v>
      </c>
    </row>
    <row r="127" spans="2:22" x14ac:dyDescent="0.25">
      <c r="B127" s="3" t="s">
        <v>353</v>
      </c>
      <c r="C127" s="1" t="s">
        <v>354</v>
      </c>
      <c r="D127" s="2" t="s">
        <v>637</v>
      </c>
      <c r="E127" s="1" t="s">
        <v>492</v>
      </c>
      <c r="F127" s="2" t="s">
        <v>635</v>
      </c>
      <c r="G127" s="1" t="s">
        <v>355</v>
      </c>
      <c r="H127" s="1" t="s">
        <v>3</v>
      </c>
      <c r="I127" t="str">
        <f t="shared" si="17"/>
        <v>1J</v>
      </c>
      <c r="J127" t="str">
        <f t="shared" si="18"/>
        <v>1044½</v>
      </c>
      <c r="K127" t="str">
        <f t="shared" si="19"/>
        <v>1048½</v>
      </c>
      <c r="L127" t="str">
        <f t="shared" si="12"/>
        <v>Plat 1</v>
      </c>
      <c r="M127" s="8" t="str">
        <f t="shared" si="13"/>
        <v>1</v>
      </c>
      <c r="N127" t="s">
        <v>635</v>
      </c>
    </row>
    <row r="128" spans="2:22" ht="15" customHeight="1" x14ac:dyDescent="0.25">
      <c r="B128" s="3" t="s">
        <v>356</v>
      </c>
      <c r="C128" s="1" t="s">
        <v>357</v>
      </c>
      <c r="D128" s="2" t="s">
        <v>635</v>
      </c>
      <c r="E128" s="1" t="s">
        <v>490</v>
      </c>
      <c r="F128" s="2" t="s">
        <v>637</v>
      </c>
      <c r="G128" s="1" t="s">
        <v>358</v>
      </c>
      <c r="H128" s="1" t="s">
        <v>3</v>
      </c>
      <c r="I128" t="str">
        <f t="shared" si="17"/>
        <v>1J</v>
      </c>
      <c r="J128" t="str">
        <f t="shared" si="18"/>
        <v xml:space="preserve">1045 </v>
      </c>
      <c r="K128" t="str">
        <f t="shared" si="19"/>
        <v xml:space="preserve">1049 </v>
      </c>
      <c r="L128" t="str">
        <f t="shared" si="12"/>
        <v>Plat 4</v>
      </c>
      <c r="M128" s="8" t="str">
        <f t="shared" si="13"/>
        <v>4</v>
      </c>
      <c r="N128" t="s">
        <v>636</v>
      </c>
      <c r="O128" t="s">
        <v>637</v>
      </c>
    </row>
    <row r="129" spans="2:22" ht="15" customHeight="1" x14ac:dyDescent="0.25">
      <c r="B129" s="3" t="s">
        <v>359</v>
      </c>
      <c r="C129" s="1" t="s">
        <v>360</v>
      </c>
      <c r="D129" s="2" t="s">
        <v>636</v>
      </c>
      <c r="E129" s="1" t="s">
        <v>491</v>
      </c>
      <c r="F129" s="2" t="s">
        <v>635</v>
      </c>
      <c r="G129" s="1" t="s">
        <v>361</v>
      </c>
      <c r="H129" s="1" t="s">
        <v>3</v>
      </c>
      <c r="I129" t="str">
        <f t="shared" si="17"/>
        <v>1H</v>
      </c>
      <c r="J129" t="str">
        <f t="shared" si="18"/>
        <v xml:space="preserve">1051 </v>
      </c>
      <c r="K129" t="str">
        <f t="shared" si="19"/>
        <v xml:space="preserve">1055 </v>
      </c>
      <c r="L129" t="str">
        <f t="shared" si="12"/>
        <v>Plat 2</v>
      </c>
      <c r="M129" s="8" t="str">
        <f t="shared" si="13"/>
        <v>2</v>
      </c>
      <c r="N129" t="s">
        <v>635</v>
      </c>
    </row>
    <row r="130" spans="2:22" ht="15" customHeight="1" x14ac:dyDescent="0.25">
      <c r="B130" s="3" t="s">
        <v>362</v>
      </c>
      <c r="C130" s="1" t="s">
        <v>363</v>
      </c>
      <c r="D130" s="2" t="s">
        <v>635</v>
      </c>
      <c r="E130" s="1" t="s">
        <v>489</v>
      </c>
      <c r="F130" s="2" t="s">
        <v>636</v>
      </c>
      <c r="G130" s="1" t="s">
        <v>364</v>
      </c>
      <c r="H130" s="1" t="s">
        <v>3</v>
      </c>
      <c r="I130" t="str">
        <f t="shared" si="17"/>
        <v>1L</v>
      </c>
      <c r="J130" t="str">
        <f t="shared" si="18"/>
        <v xml:space="preserve">1052 </v>
      </c>
      <c r="K130" t="str">
        <f t="shared" si="19"/>
        <v xml:space="preserve">1056 </v>
      </c>
      <c r="L130" t="str">
        <f t="shared" si="12"/>
        <v>Plat 3</v>
      </c>
      <c r="M130" s="8" t="str">
        <f t="shared" si="13"/>
        <v>3</v>
      </c>
      <c r="N130" t="s">
        <v>636</v>
      </c>
    </row>
    <row r="131" spans="2:22" ht="15" customHeight="1" x14ac:dyDescent="0.25">
      <c r="B131" s="3" t="s">
        <v>365</v>
      </c>
      <c r="C131" s="1" t="s">
        <v>366</v>
      </c>
      <c r="D131" s="2" t="s">
        <v>19</v>
      </c>
      <c r="E131" s="1" t="s">
        <v>492</v>
      </c>
      <c r="F131" s="2" t="s">
        <v>635</v>
      </c>
      <c r="G131" s="1" t="s">
        <v>367</v>
      </c>
      <c r="H131" s="1" t="s">
        <v>3</v>
      </c>
      <c r="I131" t="str">
        <f t="shared" si="17"/>
        <v>1F</v>
      </c>
      <c r="J131" t="str">
        <f t="shared" si="18"/>
        <v xml:space="preserve">1058 </v>
      </c>
      <c r="K131" t="str">
        <f t="shared" si="19"/>
        <v xml:space="preserve">1102 </v>
      </c>
      <c r="L131" t="str">
        <f t="shared" ref="L131:L171" si="20">LEFT(E131,6)</f>
        <v>Plat 1</v>
      </c>
      <c r="M131" s="8" t="str">
        <f t="shared" ref="M131:M194" si="21">RIGHT(L131,1)</f>
        <v>1</v>
      </c>
      <c r="N131" t="s">
        <v>635</v>
      </c>
    </row>
    <row r="132" spans="2:22" ht="15" customHeight="1" x14ac:dyDescent="0.25">
      <c r="B132" s="3" t="s">
        <v>368</v>
      </c>
      <c r="C132" s="1" t="s">
        <v>369</v>
      </c>
      <c r="D132" s="2" t="s">
        <v>635</v>
      </c>
      <c r="E132" s="1" t="s">
        <v>490</v>
      </c>
      <c r="F132" s="2" t="s">
        <v>636</v>
      </c>
      <c r="G132" s="1" t="s">
        <v>370</v>
      </c>
      <c r="H132" s="1" t="s">
        <v>3</v>
      </c>
      <c r="I132" t="str">
        <f t="shared" si="17"/>
        <v>1H</v>
      </c>
      <c r="J132" t="str">
        <f t="shared" si="18"/>
        <v xml:space="preserve">1059 </v>
      </c>
      <c r="K132" t="str">
        <f t="shared" si="19"/>
        <v xml:space="preserve">1103 </v>
      </c>
      <c r="L132" t="str">
        <f t="shared" si="20"/>
        <v>Plat 4</v>
      </c>
      <c r="M132" s="8" t="str">
        <f t="shared" si="21"/>
        <v>4</v>
      </c>
      <c r="N132" t="s">
        <v>636</v>
      </c>
    </row>
    <row r="133" spans="2:22" ht="15" customHeight="1" x14ac:dyDescent="0.25">
      <c r="B133" s="3" t="s">
        <v>371</v>
      </c>
      <c r="C133" s="1" t="s">
        <v>372</v>
      </c>
      <c r="D133" s="2" t="s">
        <v>636</v>
      </c>
      <c r="E133" s="1" t="s">
        <v>491</v>
      </c>
      <c r="F133" s="2" t="s">
        <v>635</v>
      </c>
      <c r="G133" s="1" t="s">
        <v>373</v>
      </c>
      <c r="H133" s="1" t="s">
        <v>3</v>
      </c>
      <c r="I133" t="str">
        <f t="shared" si="17"/>
        <v>1L</v>
      </c>
      <c r="J133" t="str">
        <f t="shared" si="18"/>
        <v xml:space="preserve">1105 </v>
      </c>
      <c r="K133" t="str">
        <f t="shared" si="19"/>
        <v xml:space="preserve">1109 </v>
      </c>
      <c r="L133" t="str">
        <f t="shared" si="20"/>
        <v>Plat 2</v>
      </c>
      <c r="M133" s="8" t="str">
        <f t="shared" si="21"/>
        <v>2</v>
      </c>
      <c r="N133" t="s">
        <v>635</v>
      </c>
    </row>
    <row r="134" spans="2:22" ht="15" customHeight="1" x14ac:dyDescent="0.25">
      <c r="B134" s="3" t="s">
        <v>374</v>
      </c>
      <c r="C134" s="1" t="s">
        <v>375</v>
      </c>
      <c r="D134" s="2" t="s">
        <v>635</v>
      </c>
      <c r="E134" s="1" t="s">
        <v>489</v>
      </c>
      <c r="F134" s="2" t="s">
        <v>637</v>
      </c>
      <c r="G134" s="1" t="s">
        <v>376</v>
      </c>
      <c r="H134" s="1" t="s">
        <v>3</v>
      </c>
      <c r="I134" t="str">
        <f t="shared" si="17"/>
        <v>1J</v>
      </c>
      <c r="J134" t="str">
        <f t="shared" si="18"/>
        <v xml:space="preserve">1110 </v>
      </c>
      <c r="K134" t="str">
        <f t="shared" si="19"/>
        <v xml:space="preserve">1114 </v>
      </c>
      <c r="L134" t="str">
        <f t="shared" si="20"/>
        <v>Plat 3</v>
      </c>
      <c r="M134" s="8" t="str">
        <f t="shared" si="21"/>
        <v>3</v>
      </c>
      <c r="N134" t="s">
        <v>636</v>
      </c>
      <c r="O134" t="s">
        <v>637</v>
      </c>
    </row>
    <row r="135" spans="2:22" ht="15" customHeight="1" x14ac:dyDescent="0.25">
      <c r="B135" s="3" t="s">
        <v>377</v>
      </c>
      <c r="C135" s="1" t="s">
        <v>378</v>
      </c>
      <c r="D135" s="2" t="s">
        <v>636</v>
      </c>
      <c r="E135" s="1" t="s">
        <v>492</v>
      </c>
      <c r="F135" s="2" t="s">
        <v>635</v>
      </c>
      <c r="G135" s="1" t="s">
        <v>379</v>
      </c>
      <c r="H135" s="1" t="s">
        <v>3</v>
      </c>
      <c r="I135" t="str">
        <f t="shared" si="17"/>
        <v>1H</v>
      </c>
      <c r="J135" t="str">
        <f t="shared" si="18"/>
        <v xml:space="preserve">1112 </v>
      </c>
      <c r="K135" t="str">
        <f t="shared" si="19"/>
        <v xml:space="preserve">1116 </v>
      </c>
      <c r="L135" t="str">
        <f t="shared" si="20"/>
        <v>Plat 1</v>
      </c>
      <c r="M135" s="8" t="str">
        <f t="shared" si="21"/>
        <v>1</v>
      </c>
      <c r="N135" t="s">
        <v>635</v>
      </c>
    </row>
    <row r="136" spans="2:22" ht="15" customHeight="1" x14ac:dyDescent="0.25">
      <c r="B136" s="3" t="s">
        <v>380</v>
      </c>
      <c r="C136" s="1" t="s">
        <v>381</v>
      </c>
      <c r="D136" s="2" t="s">
        <v>635</v>
      </c>
      <c r="E136" s="1" t="s">
        <v>490</v>
      </c>
      <c r="F136" s="2" t="s">
        <v>636</v>
      </c>
      <c r="G136" s="1" t="s">
        <v>382</v>
      </c>
      <c r="H136" s="1" t="s">
        <v>3</v>
      </c>
      <c r="I136" t="str">
        <f t="shared" si="17"/>
        <v>1H</v>
      </c>
      <c r="J136" t="str">
        <f t="shared" si="18"/>
        <v xml:space="preserve">1117 </v>
      </c>
      <c r="K136" t="str">
        <f t="shared" si="19"/>
        <v xml:space="preserve">1121 </v>
      </c>
      <c r="L136" t="str">
        <f t="shared" si="20"/>
        <v>Plat 4</v>
      </c>
      <c r="M136" s="8" t="str">
        <f t="shared" si="21"/>
        <v>4</v>
      </c>
      <c r="N136" t="s">
        <v>636</v>
      </c>
    </row>
    <row r="137" spans="2:22" ht="15" customHeight="1" x14ac:dyDescent="0.25">
      <c r="B137" s="3" t="s">
        <v>383</v>
      </c>
      <c r="C137" s="1" t="s">
        <v>384</v>
      </c>
      <c r="D137" s="2" t="s">
        <v>637</v>
      </c>
      <c r="E137" s="1" t="s">
        <v>491</v>
      </c>
      <c r="F137" s="2" t="s">
        <v>635</v>
      </c>
      <c r="G137" s="1" t="s">
        <v>385</v>
      </c>
      <c r="H137" s="1" t="s">
        <v>3</v>
      </c>
      <c r="I137" t="str">
        <f t="shared" si="17"/>
        <v>1J</v>
      </c>
      <c r="J137" t="str">
        <f t="shared" si="18"/>
        <v xml:space="preserve">1119 </v>
      </c>
      <c r="K137" t="str">
        <f t="shared" si="19"/>
        <v xml:space="preserve">1123 </v>
      </c>
      <c r="L137" t="str">
        <f t="shared" si="20"/>
        <v>Plat 2</v>
      </c>
      <c r="M137" s="8" t="str">
        <f t="shared" si="21"/>
        <v>2</v>
      </c>
      <c r="N137" t="s">
        <v>635</v>
      </c>
    </row>
    <row r="138" spans="2:22" ht="15" customHeight="1" x14ac:dyDescent="0.25">
      <c r="B138" s="3" t="s">
        <v>386</v>
      </c>
      <c r="C138" s="1" t="s">
        <v>387</v>
      </c>
      <c r="D138" s="2" t="s">
        <v>635</v>
      </c>
      <c r="E138" s="1" t="s">
        <v>489</v>
      </c>
      <c r="F138" s="2" t="s">
        <v>19</v>
      </c>
      <c r="G138" s="1" t="s">
        <v>388</v>
      </c>
      <c r="H138" s="1" t="s">
        <v>3</v>
      </c>
      <c r="I138" t="str">
        <f t="shared" si="17"/>
        <v>1F</v>
      </c>
      <c r="J138" t="str">
        <f t="shared" si="18"/>
        <v xml:space="preserve">1124 </v>
      </c>
      <c r="K138" t="str">
        <f t="shared" si="19"/>
        <v xml:space="preserve">1128 </v>
      </c>
      <c r="L138" t="str">
        <f t="shared" si="20"/>
        <v>Plat 3</v>
      </c>
      <c r="M138" s="8" t="str">
        <f t="shared" si="21"/>
        <v>3</v>
      </c>
      <c r="N138" t="s">
        <v>636</v>
      </c>
      <c r="O138" t="s">
        <v>1028</v>
      </c>
      <c r="P138" t="s">
        <v>1029</v>
      </c>
      <c r="Q138" t="s">
        <v>1030</v>
      </c>
      <c r="R138" t="s">
        <v>1031</v>
      </c>
      <c r="S138" t="s">
        <v>1032</v>
      </c>
      <c r="T138" t="s">
        <v>1033</v>
      </c>
      <c r="U138" t="s">
        <v>1034</v>
      </c>
      <c r="V138" t="s">
        <v>19</v>
      </c>
    </row>
    <row r="139" spans="2:22" ht="15" customHeight="1" x14ac:dyDescent="0.25">
      <c r="B139" s="3" t="s">
        <v>389</v>
      </c>
      <c r="C139" s="1" t="s">
        <v>390</v>
      </c>
      <c r="D139" s="2" t="s">
        <v>636</v>
      </c>
      <c r="E139" s="1" t="s">
        <v>492</v>
      </c>
      <c r="F139" s="2" t="s">
        <v>635</v>
      </c>
      <c r="G139" s="1" t="s">
        <v>391</v>
      </c>
      <c r="H139" s="1" t="s">
        <v>3</v>
      </c>
      <c r="I139" t="str">
        <f t="shared" si="17"/>
        <v>1L</v>
      </c>
      <c r="J139" t="str">
        <f t="shared" si="18"/>
        <v xml:space="preserve">1126 </v>
      </c>
      <c r="K139" t="str">
        <f t="shared" si="19"/>
        <v xml:space="preserve">1130 </v>
      </c>
      <c r="L139" t="str">
        <f t="shared" si="20"/>
        <v>Plat 1</v>
      </c>
      <c r="M139" s="8" t="str">
        <f t="shared" si="21"/>
        <v>1</v>
      </c>
      <c r="N139" t="s">
        <v>635</v>
      </c>
    </row>
    <row r="140" spans="2:22" ht="15" customHeight="1" x14ac:dyDescent="0.25">
      <c r="B140" s="3" t="s">
        <v>392</v>
      </c>
      <c r="C140" s="1" t="s">
        <v>393</v>
      </c>
      <c r="D140" s="2" t="s">
        <v>635</v>
      </c>
      <c r="E140" s="1" t="s">
        <v>490</v>
      </c>
      <c r="F140" s="2" t="s">
        <v>636</v>
      </c>
      <c r="G140" s="1" t="s">
        <v>394</v>
      </c>
      <c r="H140" s="1" t="s">
        <v>3</v>
      </c>
      <c r="I140" t="str">
        <f t="shared" si="17"/>
        <v>1L</v>
      </c>
      <c r="J140" t="str">
        <f t="shared" si="18"/>
        <v xml:space="preserve">1131 </v>
      </c>
      <c r="K140" t="str">
        <f t="shared" si="19"/>
        <v xml:space="preserve">1135 </v>
      </c>
      <c r="L140" t="str">
        <f t="shared" si="20"/>
        <v>Plat 4</v>
      </c>
      <c r="M140" s="8" t="str">
        <f t="shared" si="21"/>
        <v>4</v>
      </c>
      <c r="N140" t="s">
        <v>636</v>
      </c>
    </row>
    <row r="141" spans="2:22" ht="15" customHeight="1" x14ac:dyDescent="0.25">
      <c r="B141" s="3" t="s">
        <v>395</v>
      </c>
      <c r="C141" s="1" t="s">
        <v>396</v>
      </c>
      <c r="D141" s="2" t="s">
        <v>636</v>
      </c>
      <c r="E141" s="1" t="s">
        <v>491</v>
      </c>
      <c r="F141" s="2" t="s">
        <v>635</v>
      </c>
      <c r="G141" s="1" t="s">
        <v>397</v>
      </c>
      <c r="H141" s="1" t="s">
        <v>3</v>
      </c>
      <c r="I141" t="str">
        <f t="shared" si="17"/>
        <v>1F</v>
      </c>
      <c r="J141" t="str">
        <f t="shared" si="18"/>
        <v xml:space="preserve">1133 </v>
      </c>
      <c r="K141" t="str">
        <f t="shared" si="19"/>
        <v xml:space="preserve">1137 </v>
      </c>
      <c r="L141" t="str">
        <f t="shared" si="20"/>
        <v>Plat 2</v>
      </c>
      <c r="M141" s="8" t="str">
        <f t="shared" si="21"/>
        <v>2</v>
      </c>
      <c r="N141" t="s">
        <v>635</v>
      </c>
    </row>
    <row r="142" spans="2:22" ht="15" customHeight="1" x14ac:dyDescent="0.25">
      <c r="B142" s="3" t="s">
        <v>398</v>
      </c>
      <c r="C142" s="1" t="s">
        <v>399</v>
      </c>
      <c r="D142" s="2" t="s">
        <v>635</v>
      </c>
      <c r="E142" s="1" t="s">
        <v>489</v>
      </c>
      <c r="F142" s="2" t="s">
        <v>636</v>
      </c>
      <c r="G142" s="1" t="s">
        <v>400</v>
      </c>
      <c r="H142" s="1" t="s">
        <v>3</v>
      </c>
      <c r="I142" t="str">
        <f t="shared" si="17"/>
        <v>1F</v>
      </c>
      <c r="J142" t="str">
        <f t="shared" si="18"/>
        <v xml:space="preserve">1138 </v>
      </c>
      <c r="K142" t="str">
        <f t="shared" si="19"/>
        <v xml:space="preserve">1142 </v>
      </c>
      <c r="L142" t="str">
        <f t="shared" si="20"/>
        <v>Plat 3</v>
      </c>
      <c r="M142" s="8" t="str">
        <f t="shared" si="21"/>
        <v>3</v>
      </c>
      <c r="N142" t="s">
        <v>636</v>
      </c>
    </row>
    <row r="143" spans="2:22" ht="15" customHeight="1" x14ac:dyDescent="0.25">
      <c r="B143" s="3" t="s">
        <v>401</v>
      </c>
      <c r="C143" s="1" t="s">
        <v>402</v>
      </c>
      <c r="D143" s="2" t="s">
        <v>637</v>
      </c>
      <c r="E143" s="1" t="s">
        <v>492</v>
      </c>
      <c r="F143" s="2" t="s">
        <v>635</v>
      </c>
      <c r="G143" s="1" t="s">
        <v>403</v>
      </c>
      <c r="H143" s="1" t="s">
        <v>3</v>
      </c>
      <c r="I143" t="str">
        <f t="shared" si="17"/>
        <v>1J</v>
      </c>
      <c r="J143" t="str">
        <f t="shared" si="18"/>
        <v>1144½</v>
      </c>
      <c r="K143" t="str">
        <f t="shared" si="19"/>
        <v>1148½</v>
      </c>
      <c r="L143" t="str">
        <f t="shared" si="20"/>
        <v>Plat 1</v>
      </c>
      <c r="M143" s="8" t="str">
        <f t="shared" si="21"/>
        <v>1</v>
      </c>
      <c r="N143" t="s">
        <v>635</v>
      </c>
    </row>
    <row r="144" spans="2:22" ht="15" customHeight="1" x14ac:dyDescent="0.25">
      <c r="B144" s="3" t="s">
        <v>404</v>
      </c>
      <c r="C144" s="1" t="s">
        <v>405</v>
      </c>
      <c r="D144" s="2" t="s">
        <v>635</v>
      </c>
      <c r="E144" s="1" t="s">
        <v>490</v>
      </c>
      <c r="F144" s="2" t="s">
        <v>637</v>
      </c>
      <c r="G144" s="1" t="s">
        <v>406</v>
      </c>
      <c r="H144" s="1" t="s">
        <v>3</v>
      </c>
      <c r="I144" t="str">
        <f t="shared" si="17"/>
        <v>1J</v>
      </c>
      <c r="J144" t="str">
        <f t="shared" si="18"/>
        <v xml:space="preserve">1145 </v>
      </c>
      <c r="K144" t="str">
        <f t="shared" si="19"/>
        <v xml:space="preserve">1149 </v>
      </c>
      <c r="L144" t="str">
        <f t="shared" si="20"/>
        <v>Plat 4</v>
      </c>
      <c r="M144" s="8" t="str">
        <f t="shared" si="21"/>
        <v>4</v>
      </c>
      <c r="N144" t="s">
        <v>636</v>
      </c>
      <c r="O144" t="s">
        <v>637</v>
      </c>
    </row>
    <row r="145" spans="2:22" ht="15" customHeight="1" x14ac:dyDescent="0.25">
      <c r="B145" s="3" t="s">
        <v>407</v>
      </c>
      <c r="C145" s="1" t="s">
        <v>408</v>
      </c>
      <c r="D145" s="2" t="s">
        <v>636</v>
      </c>
      <c r="E145" s="1" t="s">
        <v>491</v>
      </c>
      <c r="F145" s="2" t="s">
        <v>635</v>
      </c>
      <c r="G145" s="1" t="s">
        <v>409</v>
      </c>
      <c r="H145" s="1" t="s">
        <v>3</v>
      </c>
      <c r="I145" t="str">
        <f t="shared" si="17"/>
        <v>1H</v>
      </c>
      <c r="J145" t="str">
        <f t="shared" si="18"/>
        <v xml:space="preserve">1151 </v>
      </c>
      <c r="K145" t="str">
        <f t="shared" si="19"/>
        <v xml:space="preserve">1155 </v>
      </c>
      <c r="L145" t="str">
        <f t="shared" si="20"/>
        <v>Plat 2</v>
      </c>
      <c r="M145" s="8" t="str">
        <f t="shared" si="21"/>
        <v>2</v>
      </c>
      <c r="N145" t="s">
        <v>635</v>
      </c>
    </row>
    <row r="146" spans="2:22" ht="15" customHeight="1" x14ac:dyDescent="0.25">
      <c r="B146" s="3" t="s">
        <v>410</v>
      </c>
      <c r="C146" s="1" t="s">
        <v>411</v>
      </c>
      <c r="D146" s="2" t="s">
        <v>635</v>
      </c>
      <c r="E146" s="1" t="s">
        <v>489</v>
      </c>
      <c r="F146" s="2" t="s">
        <v>636</v>
      </c>
      <c r="G146" s="1" t="s">
        <v>412</v>
      </c>
      <c r="H146" s="1" t="s">
        <v>3</v>
      </c>
      <c r="I146" t="str">
        <f t="shared" si="17"/>
        <v>1L</v>
      </c>
      <c r="J146" t="str">
        <f t="shared" si="18"/>
        <v xml:space="preserve">1152 </v>
      </c>
      <c r="K146" t="str">
        <f t="shared" si="19"/>
        <v xml:space="preserve">1156 </v>
      </c>
      <c r="L146" t="str">
        <f t="shared" si="20"/>
        <v>Plat 3</v>
      </c>
      <c r="M146" s="8" t="str">
        <f t="shared" si="21"/>
        <v>3</v>
      </c>
      <c r="N146" t="s">
        <v>636</v>
      </c>
    </row>
    <row r="147" spans="2:22" ht="15" customHeight="1" x14ac:dyDescent="0.25">
      <c r="B147" s="3" t="s">
        <v>413</v>
      </c>
      <c r="C147" s="1" t="s">
        <v>414</v>
      </c>
      <c r="D147" s="2" t="s">
        <v>19</v>
      </c>
      <c r="E147" s="1" t="s">
        <v>492</v>
      </c>
      <c r="F147" s="2" t="s">
        <v>635</v>
      </c>
      <c r="G147" s="1" t="s">
        <v>415</v>
      </c>
      <c r="H147" s="1" t="s">
        <v>3</v>
      </c>
      <c r="I147" t="str">
        <f t="shared" si="17"/>
        <v>1F</v>
      </c>
      <c r="J147" t="str">
        <f t="shared" si="18"/>
        <v xml:space="preserve">1158 </v>
      </c>
      <c r="K147" t="str">
        <f t="shared" si="19"/>
        <v xml:space="preserve">1202 </v>
      </c>
      <c r="L147" t="str">
        <f t="shared" si="20"/>
        <v>Plat 1</v>
      </c>
      <c r="M147" s="8" t="str">
        <f t="shared" si="21"/>
        <v>1</v>
      </c>
      <c r="N147" t="s">
        <v>635</v>
      </c>
    </row>
    <row r="148" spans="2:22" ht="15" customHeight="1" x14ac:dyDescent="0.25">
      <c r="B148" s="3" t="s">
        <v>416</v>
      </c>
      <c r="C148" s="1" t="s">
        <v>417</v>
      </c>
      <c r="D148" s="2" t="s">
        <v>635</v>
      </c>
      <c r="E148" s="1" t="s">
        <v>490</v>
      </c>
      <c r="F148" s="2" t="s">
        <v>636</v>
      </c>
      <c r="G148" s="1" t="s">
        <v>418</v>
      </c>
      <c r="H148" s="1" t="s">
        <v>3</v>
      </c>
      <c r="I148" t="str">
        <f t="shared" si="17"/>
        <v>1H</v>
      </c>
      <c r="J148" t="str">
        <f t="shared" si="18"/>
        <v xml:space="preserve">1159 </v>
      </c>
      <c r="K148" t="str">
        <f t="shared" si="19"/>
        <v xml:space="preserve">1203 </v>
      </c>
      <c r="L148" t="str">
        <f t="shared" si="20"/>
        <v>Plat 4</v>
      </c>
      <c r="M148" s="8" t="str">
        <f t="shared" si="21"/>
        <v>4</v>
      </c>
      <c r="N148" t="s">
        <v>636</v>
      </c>
    </row>
    <row r="149" spans="2:22" ht="15" customHeight="1" x14ac:dyDescent="0.25">
      <c r="B149" s="3" t="s">
        <v>419</v>
      </c>
      <c r="C149" s="1" t="s">
        <v>420</v>
      </c>
      <c r="D149" s="2" t="s">
        <v>636</v>
      </c>
      <c r="E149" s="1" t="s">
        <v>491</v>
      </c>
      <c r="F149" s="2" t="s">
        <v>635</v>
      </c>
      <c r="G149" s="1" t="s">
        <v>421</v>
      </c>
      <c r="H149" s="1" t="s">
        <v>3</v>
      </c>
      <c r="I149" t="str">
        <f t="shared" si="17"/>
        <v>1L</v>
      </c>
      <c r="J149" t="str">
        <f t="shared" si="18"/>
        <v xml:space="preserve">1205 </v>
      </c>
      <c r="K149" t="str">
        <f t="shared" si="19"/>
        <v xml:space="preserve">1209 </v>
      </c>
      <c r="L149" t="str">
        <f t="shared" si="20"/>
        <v>Plat 2</v>
      </c>
      <c r="M149" s="8" t="str">
        <f t="shared" si="21"/>
        <v>2</v>
      </c>
      <c r="N149" t="s">
        <v>635</v>
      </c>
    </row>
    <row r="150" spans="2:22" ht="15" customHeight="1" x14ac:dyDescent="0.25">
      <c r="B150" s="3" t="s">
        <v>422</v>
      </c>
      <c r="C150" s="1" t="s">
        <v>423</v>
      </c>
      <c r="D150" s="2" t="s">
        <v>635</v>
      </c>
      <c r="E150" s="1" t="s">
        <v>489</v>
      </c>
      <c r="F150" s="2" t="s">
        <v>637</v>
      </c>
      <c r="G150" s="1" t="s">
        <v>424</v>
      </c>
      <c r="H150" s="1" t="s">
        <v>3</v>
      </c>
      <c r="I150" t="str">
        <f t="shared" si="17"/>
        <v>1J</v>
      </c>
      <c r="J150" t="str">
        <f t="shared" si="18"/>
        <v xml:space="preserve">1210 </v>
      </c>
      <c r="K150" t="str">
        <f t="shared" si="19"/>
        <v xml:space="preserve">1214 </v>
      </c>
      <c r="L150" t="str">
        <f t="shared" si="20"/>
        <v>Plat 3</v>
      </c>
      <c r="M150" s="8" t="str">
        <f t="shared" si="21"/>
        <v>3</v>
      </c>
      <c r="N150" t="s">
        <v>636</v>
      </c>
      <c r="O150" t="s">
        <v>637</v>
      </c>
    </row>
    <row r="151" spans="2:22" ht="15" customHeight="1" x14ac:dyDescent="0.25">
      <c r="B151" s="3" t="s">
        <v>425</v>
      </c>
      <c r="C151" s="1" t="s">
        <v>426</v>
      </c>
      <c r="D151" s="2" t="s">
        <v>636</v>
      </c>
      <c r="E151" s="1" t="s">
        <v>492</v>
      </c>
      <c r="F151" s="2" t="s">
        <v>635</v>
      </c>
      <c r="G151" s="1" t="s">
        <v>427</v>
      </c>
      <c r="H151" s="1" t="s">
        <v>3</v>
      </c>
      <c r="I151" t="str">
        <f t="shared" si="17"/>
        <v>1H</v>
      </c>
      <c r="J151" t="str">
        <f t="shared" si="18"/>
        <v xml:space="preserve">1212 </v>
      </c>
      <c r="K151" t="str">
        <f t="shared" si="19"/>
        <v xml:space="preserve">1216 </v>
      </c>
      <c r="L151" t="str">
        <f t="shared" si="20"/>
        <v>Plat 1</v>
      </c>
      <c r="M151" s="8" t="str">
        <f t="shared" si="21"/>
        <v>1</v>
      </c>
      <c r="N151" t="s">
        <v>635</v>
      </c>
    </row>
    <row r="152" spans="2:22" ht="15" customHeight="1" x14ac:dyDescent="0.25">
      <c r="B152" s="3" t="s">
        <v>428</v>
      </c>
      <c r="C152" s="1" t="s">
        <v>429</v>
      </c>
      <c r="D152" s="2" t="s">
        <v>635</v>
      </c>
      <c r="E152" s="1" t="s">
        <v>490</v>
      </c>
      <c r="F152" s="2" t="s">
        <v>636</v>
      </c>
      <c r="G152" s="1" t="s">
        <v>430</v>
      </c>
      <c r="H152" s="1" t="s">
        <v>3</v>
      </c>
      <c r="I152" t="str">
        <f t="shared" si="17"/>
        <v>1H</v>
      </c>
      <c r="J152" t="str">
        <f t="shared" si="18"/>
        <v xml:space="preserve">1217 </v>
      </c>
      <c r="K152" t="str">
        <f t="shared" si="19"/>
        <v xml:space="preserve">1221 </v>
      </c>
      <c r="L152" t="str">
        <f t="shared" si="20"/>
        <v>Plat 4</v>
      </c>
      <c r="M152" s="8" t="str">
        <f t="shared" si="21"/>
        <v>4</v>
      </c>
      <c r="N152" t="s">
        <v>636</v>
      </c>
    </row>
    <row r="153" spans="2:22" ht="15" customHeight="1" x14ac:dyDescent="0.25">
      <c r="B153" s="3" t="s">
        <v>431</v>
      </c>
      <c r="C153" s="1" t="s">
        <v>432</v>
      </c>
      <c r="D153" s="2" t="s">
        <v>637</v>
      </c>
      <c r="E153" s="1" t="s">
        <v>491</v>
      </c>
      <c r="F153" s="2" t="s">
        <v>635</v>
      </c>
      <c r="G153" s="1" t="s">
        <v>433</v>
      </c>
      <c r="H153" s="1" t="s">
        <v>3</v>
      </c>
      <c r="I153" t="str">
        <f t="shared" si="17"/>
        <v>1J</v>
      </c>
      <c r="J153" t="str">
        <f t="shared" si="18"/>
        <v xml:space="preserve">1219 </v>
      </c>
      <c r="K153" t="str">
        <f t="shared" si="19"/>
        <v xml:space="preserve">1223 </v>
      </c>
      <c r="L153" t="str">
        <f t="shared" si="20"/>
        <v>Plat 2</v>
      </c>
      <c r="M153" s="8" t="str">
        <f t="shared" si="21"/>
        <v>2</v>
      </c>
      <c r="N153" t="s">
        <v>635</v>
      </c>
    </row>
    <row r="154" spans="2:22" ht="15" customHeight="1" x14ac:dyDescent="0.25">
      <c r="B154" s="3" t="s">
        <v>434</v>
      </c>
      <c r="C154" s="1" t="s">
        <v>435</v>
      </c>
      <c r="D154" s="2" t="s">
        <v>635</v>
      </c>
      <c r="E154" s="1" t="s">
        <v>489</v>
      </c>
      <c r="F154" s="2" t="s">
        <v>19</v>
      </c>
      <c r="G154" s="1" t="s">
        <v>436</v>
      </c>
      <c r="H154" s="1" t="s">
        <v>3</v>
      </c>
      <c r="I154" t="str">
        <f t="shared" si="17"/>
        <v>1F</v>
      </c>
      <c r="J154" t="str">
        <f t="shared" si="18"/>
        <v xml:space="preserve">1224 </v>
      </c>
      <c r="K154" t="str">
        <f t="shared" si="19"/>
        <v xml:space="preserve">1228 </v>
      </c>
      <c r="L154" t="str">
        <f t="shared" si="20"/>
        <v>Plat 3</v>
      </c>
      <c r="M154" s="8" t="str">
        <f t="shared" si="21"/>
        <v>3</v>
      </c>
      <c r="N154" t="s">
        <v>636</v>
      </c>
      <c r="O154" t="s">
        <v>1028</v>
      </c>
      <c r="P154" t="s">
        <v>1029</v>
      </c>
      <c r="Q154" t="s">
        <v>1030</v>
      </c>
      <c r="R154" t="s">
        <v>1031</v>
      </c>
      <c r="S154" t="s">
        <v>1032</v>
      </c>
      <c r="T154" t="s">
        <v>1033</v>
      </c>
      <c r="U154" t="s">
        <v>1034</v>
      </c>
      <c r="V154" t="s">
        <v>19</v>
      </c>
    </row>
    <row r="155" spans="2:22" ht="15" customHeight="1" x14ac:dyDescent="0.25">
      <c r="B155" s="3" t="s">
        <v>437</v>
      </c>
      <c r="C155" s="1" t="s">
        <v>438</v>
      </c>
      <c r="D155" s="2" t="s">
        <v>636</v>
      </c>
      <c r="E155" s="1" t="s">
        <v>492</v>
      </c>
      <c r="F155" s="2" t="s">
        <v>635</v>
      </c>
      <c r="G155" s="1" t="s">
        <v>439</v>
      </c>
      <c r="H155" s="1" t="s">
        <v>3</v>
      </c>
      <c r="I155" t="str">
        <f t="shared" si="17"/>
        <v>1L</v>
      </c>
      <c r="J155" t="str">
        <f t="shared" si="18"/>
        <v xml:space="preserve">1226 </v>
      </c>
      <c r="K155" t="str">
        <f t="shared" si="19"/>
        <v xml:space="preserve">1230 </v>
      </c>
      <c r="L155" t="str">
        <f t="shared" si="20"/>
        <v>Plat 1</v>
      </c>
      <c r="M155" s="8" t="str">
        <f t="shared" si="21"/>
        <v>1</v>
      </c>
      <c r="N155" t="s">
        <v>635</v>
      </c>
    </row>
    <row r="156" spans="2:22" ht="15" customHeight="1" x14ac:dyDescent="0.25">
      <c r="B156" s="3" t="s">
        <v>440</v>
      </c>
      <c r="C156" s="1" t="s">
        <v>441</v>
      </c>
      <c r="D156" s="2" t="s">
        <v>635</v>
      </c>
      <c r="E156" s="1" t="s">
        <v>490</v>
      </c>
      <c r="F156" s="2" t="s">
        <v>636</v>
      </c>
      <c r="G156" s="1" t="s">
        <v>442</v>
      </c>
      <c r="H156" s="1" t="s">
        <v>3</v>
      </c>
      <c r="I156" t="str">
        <f t="shared" si="17"/>
        <v>1L</v>
      </c>
      <c r="J156" t="str">
        <f t="shared" si="18"/>
        <v xml:space="preserve">1231 </v>
      </c>
      <c r="K156" t="str">
        <f t="shared" si="19"/>
        <v xml:space="preserve">1235 </v>
      </c>
      <c r="L156" t="str">
        <f t="shared" si="20"/>
        <v>Plat 4</v>
      </c>
      <c r="M156" s="8" t="str">
        <f t="shared" si="21"/>
        <v>4</v>
      </c>
      <c r="N156" t="s">
        <v>636</v>
      </c>
    </row>
    <row r="157" spans="2:22" ht="15" customHeight="1" x14ac:dyDescent="0.25">
      <c r="B157" s="3" t="s">
        <v>443</v>
      </c>
      <c r="C157" s="1" t="s">
        <v>444</v>
      </c>
      <c r="D157" s="2" t="s">
        <v>636</v>
      </c>
      <c r="E157" s="1" t="s">
        <v>491</v>
      </c>
      <c r="F157" s="2" t="s">
        <v>635</v>
      </c>
      <c r="G157" s="1" t="s">
        <v>445</v>
      </c>
      <c r="H157" s="1" t="s">
        <v>3</v>
      </c>
      <c r="I157" t="str">
        <f t="shared" si="17"/>
        <v>1F</v>
      </c>
      <c r="J157" t="str">
        <f t="shared" si="18"/>
        <v xml:space="preserve">1233 </v>
      </c>
      <c r="K157" t="str">
        <f t="shared" si="19"/>
        <v xml:space="preserve">1237 </v>
      </c>
      <c r="L157" t="str">
        <f t="shared" si="20"/>
        <v>Plat 2</v>
      </c>
      <c r="M157" s="8" t="str">
        <f t="shared" si="21"/>
        <v>2</v>
      </c>
      <c r="N157" t="s">
        <v>635</v>
      </c>
    </row>
    <row r="158" spans="2:22" ht="15" customHeight="1" x14ac:dyDescent="0.25">
      <c r="B158" s="3" t="s">
        <v>446</v>
      </c>
      <c r="C158" s="1" t="s">
        <v>447</v>
      </c>
      <c r="D158" s="2" t="s">
        <v>635</v>
      </c>
      <c r="E158" s="1" t="s">
        <v>489</v>
      </c>
      <c r="F158" s="2" t="s">
        <v>636</v>
      </c>
      <c r="G158" s="1" t="s">
        <v>448</v>
      </c>
      <c r="H158" s="1" t="s">
        <v>3</v>
      </c>
      <c r="I158" t="str">
        <f t="shared" si="17"/>
        <v>1F</v>
      </c>
      <c r="J158" t="str">
        <f t="shared" si="18"/>
        <v xml:space="preserve">1238 </v>
      </c>
      <c r="K158" t="str">
        <f t="shared" si="19"/>
        <v xml:space="preserve">1242 </v>
      </c>
      <c r="L158" t="str">
        <f t="shared" si="20"/>
        <v>Plat 3</v>
      </c>
      <c r="M158" s="8" t="str">
        <f t="shared" si="21"/>
        <v>3</v>
      </c>
      <c r="N158" t="s">
        <v>636</v>
      </c>
    </row>
    <row r="159" spans="2:22" ht="15" customHeight="1" x14ac:dyDescent="0.25">
      <c r="B159" s="3" t="s">
        <v>449</v>
      </c>
      <c r="C159" s="1" t="s">
        <v>450</v>
      </c>
      <c r="D159" s="2" t="s">
        <v>637</v>
      </c>
      <c r="E159" s="1" t="s">
        <v>492</v>
      </c>
      <c r="F159" s="2" t="s">
        <v>635</v>
      </c>
      <c r="G159" s="1" t="s">
        <v>451</v>
      </c>
      <c r="H159" s="1" t="s">
        <v>3</v>
      </c>
      <c r="I159" t="str">
        <f t="shared" si="17"/>
        <v>1J</v>
      </c>
      <c r="J159" t="str">
        <f t="shared" si="18"/>
        <v>1244½</v>
      </c>
      <c r="K159" t="str">
        <f t="shared" si="19"/>
        <v>1248½</v>
      </c>
      <c r="L159" t="str">
        <f t="shared" si="20"/>
        <v>Plat 1</v>
      </c>
      <c r="M159" s="8" t="str">
        <f t="shared" si="21"/>
        <v>1</v>
      </c>
      <c r="N159" t="s">
        <v>635</v>
      </c>
    </row>
    <row r="160" spans="2:22" ht="15" customHeight="1" x14ac:dyDescent="0.25">
      <c r="B160" s="3" t="s">
        <v>452</v>
      </c>
      <c r="C160" s="1" t="s">
        <v>453</v>
      </c>
      <c r="D160" s="2" t="s">
        <v>635</v>
      </c>
      <c r="E160" s="1" t="s">
        <v>490</v>
      </c>
      <c r="F160" s="2" t="s">
        <v>637</v>
      </c>
      <c r="G160" s="1" t="s">
        <v>454</v>
      </c>
      <c r="H160" s="1" t="s">
        <v>3</v>
      </c>
      <c r="I160" t="str">
        <f t="shared" si="17"/>
        <v>1J</v>
      </c>
      <c r="J160" t="str">
        <f t="shared" si="18"/>
        <v xml:space="preserve">1245 </v>
      </c>
      <c r="K160" t="str">
        <f t="shared" si="19"/>
        <v xml:space="preserve">1249 </v>
      </c>
      <c r="L160" t="str">
        <f t="shared" si="20"/>
        <v>Plat 4</v>
      </c>
      <c r="M160" s="8" t="str">
        <f t="shared" si="21"/>
        <v>4</v>
      </c>
      <c r="N160" t="s">
        <v>636</v>
      </c>
      <c r="O160" t="s">
        <v>637</v>
      </c>
    </row>
    <row r="161" spans="2:22" ht="15" customHeight="1" x14ac:dyDescent="0.25">
      <c r="B161" s="3" t="s">
        <v>455</v>
      </c>
      <c r="C161" s="1" t="s">
        <v>456</v>
      </c>
      <c r="D161" s="2" t="s">
        <v>636</v>
      </c>
      <c r="E161" s="1" t="s">
        <v>491</v>
      </c>
      <c r="F161" s="2" t="s">
        <v>635</v>
      </c>
      <c r="G161" s="1" t="s">
        <v>457</v>
      </c>
      <c r="H161" s="1" t="s">
        <v>3</v>
      </c>
      <c r="I161" t="str">
        <f t="shared" si="17"/>
        <v>1H</v>
      </c>
      <c r="J161" t="str">
        <f t="shared" si="18"/>
        <v xml:space="preserve">1251 </v>
      </c>
      <c r="K161" t="str">
        <f t="shared" si="19"/>
        <v xml:space="preserve">1255 </v>
      </c>
      <c r="L161" t="str">
        <f t="shared" si="20"/>
        <v>Plat 2</v>
      </c>
      <c r="M161" s="8" t="str">
        <f t="shared" si="21"/>
        <v>2</v>
      </c>
      <c r="N161" t="s">
        <v>635</v>
      </c>
    </row>
    <row r="162" spans="2:22" ht="15" customHeight="1" x14ac:dyDescent="0.25">
      <c r="B162" s="3" t="s">
        <v>458</v>
      </c>
      <c r="C162" s="1" t="s">
        <v>459</v>
      </c>
      <c r="D162" s="2" t="s">
        <v>635</v>
      </c>
      <c r="E162" s="1" t="s">
        <v>489</v>
      </c>
      <c r="F162" s="2" t="s">
        <v>636</v>
      </c>
      <c r="G162" s="1" t="s">
        <v>460</v>
      </c>
      <c r="H162" s="1" t="s">
        <v>3</v>
      </c>
      <c r="I162" t="str">
        <f t="shared" si="17"/>
        <v>1L</v>
      </c>
      <c r="J162" t="str">
        <f t="shared" si="18"/>
        <v xml:space="preserve">1252 </v>
      </c>
      <c r="K162" t="str">
        <f t="shared" si="19"/>
        <v xml:space="preserve">1256 </v>
      </c>
      <c r="L162" t="str">
        <f t="shared" si="20"/>
        <v>Plat 3</v>
      </c>
      <c r="M162" s="8" t="str">
        <f t="shared" si="21"/>
        <v>3</v>
      </c>
      <c r="N162" t="s">
        <v>636</v>
      </c>
    </row>
    <row r="163" spans="2:22" ht="15" customHeight="1" x14ac:dyDescent="0.25">
      <c r="B163" s="3" t="s">
        <v>461</v>
      </c>
      <c r="C163" s="1" t="s">
        <v>462</v>
      </c>
      <c r="D163" s="2" t="s">
        <v>19</v>
      </c>
      <c r="E163" s="1" t="s">
        <v>492</v>
      </c>
      <c r="F163" s="2" t="s">
        <v>635</v>
      </c>
      <c r="G163" s="1" t="s">
        <v>463</v>
      </c>
      <c r="H163" s="1" t="s">
        <v>3</v>
      </c>
      <c r="I163" t="str">
        <f t="shared" si="17"/>
        <v>1F</v>
      </c>
      <c r="J163" t="str">
        <f t="shared" si="18"/>
        <v xml:space="preserve">1258 </v>
      </c>
      <c r="K163" t="str">
        <f t="shared" si="19"/>
        <v xml:space="preserve">1302 </v>
      </c>
      <c r="L163" t="str">
        <f t="shared" si="20"/>
        <v>Plat 1</v>
      </c>
      <c r="M163" s="8" t="str">
        <f t="shared" si="21"/>
        <v>1</v>
      </c>
      <c r="N163" t="s">
        <v>635</v>
      </c>
    </row>
    <row r="164" spans="2:22" ht="15" customHeight="1" x14ac:dyDescent="0.25">
      <c r="B164" s="3" t="s">
        <v>464</v>
      </c>
      <c r="C164" s="1" t="s">
        <v>465</v>
      </c>
      <c r="D164" s="2" t="s">
        <v>635</v>
      </c>
      <c r="E164" s="1" t="s">
        <v>490</v>
      </c>
      <c r="F164" s="2" t="s">
        <v>636</v>
      </c>
      <c r="G164" s="1" t="s">
        <v>466</v>
      </c>
      <c r="H164" s="1" t="s">
        <v>3</v>
      </c>
      <c r="I164" t="str">
        <f t="shared" si="17"/>
        <v>1H</v>
      </c>
      <c r="J164" t="str">
        <f t="shared" si="18"/>
        <v xml:space="preserve">1259 </v>
      </c>
      <c r="K164" t="str">
        <f t="shared" si="19"/>
        <v xml:space="preserve">1303 </v>
      </c>
      <c r="L164" t="str">
        <f t="shared" si="20"/>
        <v>Plat 4</v>
      </c>
      <c r="M164" s="8" t="str">
        <f t="shared" si="21"/>
        <v>4</v>
      </c>
      <c r="N164" t="s">
        <v>636</v>
      </c>
    </row>
    <row r="165" spans="2:22" ht="15" customHeight="1" x14ac:dyDescent="0.25">
      <c r="B165" s="3" t="s">
        <v>467</v>
      </c>
      <c r="C165" s="1" t="s">
        <v>468</v>
      </c>
      <c r="D165" s="2" t="s">
        <v>636</v>
      </c>
      <c r="E165" s="1" t="s">
        <v>491</v>
      </c>
      <c r="F165" s="2" t="s">
        <v>635</v>
      </c>
      <c r="G165" s="1" t="s">
        <v>469</v>
      </c>
      <c r="H165" s="1" t="s">
        <v>3</v>
      </c>
      <c r="I165" t="str">
        <f t="shared" si="17"/>
        <v>1L</v>
      </c>
      <c r="J165" t="str">
        <f t="shared" si="18"/>
        <v xml:space="preserve">1305 </v>
      </c>
      <c r="K165" t="str">
        <f t="shared" si="19"/>
        <v xml:space="preserve">1309 </v>
      </c>
      <c r="L165" t="str">
        <f t="shared" si="20"/>
        <v>Plat 2</v>
      </c>
      <c r="M165" s="8" t="str">
        <f t="shared" si="21"/>
        <v>2</v>
      </c>
      <c r="N165" t="s">
        <v>635</v>
      </c>
    </row>
    <row r="166" spans="2:22" ht="15" customHeight="1" x14ac:dyDescent="0.25">
      <c r="B166" s="3" t="s">
        <v>10</v>
      </c>
      <c r="C166" s="1" t="s">
        <v>470</v>
      </c>
      <c r="D166" s="2" t="s">
        <v>635</v>
      </c>
      <c r="E166" s="1" t="s">
        <v>489</v>
      </c>
      <c r="F166" s="2" t="s">
        <v>637</v>
      </c>
      <c r="G166" s="1" t="s">
        <v>471</v>
      </c>
      <c r="H166" s="1" t="s">
        <v>3</v>
      </c>
      <c r="I166" t="str">
        <f t="shared" si="17"/>
        <v>1J</v>
      </c>
      <c r="J166" t="str">
        <f t="shared" si="18"/>
        <v xml:space="preserve">1310 </v>
      </c>
      <c r="K166" t="str">
        <f t="shared" si="19"/>
        <v xml:space="preserve">1314 </v>
      </c>
      <c r="L166" t="str">
        <f t="shared" si="20"/>
        <v>Plat 3</v>
      </c>
      <c r="M166" s="8" t="str">
        <f t="shared" si="21"/>
        <v>3</v>
      </c>
      <c r="N166" t="s">
        <v>636</v>
      </c>
      <c r="O166" t="s">
        <v>637</v>
      </c>
    </row>
    <row r="167" spans="2:22" ht="15" customHeight="1" x14ac:dyDescent="0.25">
      <c r="B167" s="3" t="s">
        <v>472</v>
      </c>
      <c r="C167" s="1" t="s">
        <v>473</v>
      </c>
      <c r="D167" s="2" t="s">
        <v>636</v>
      </c>
      <c r="E167" s="1" t="s">
        <v>492</v>
      </c>
      <c r="F167" s="2" t="s">
        <v>635</v>
      </c>
      <c r="G167" s="1" t="s">
        <v>474</v>
      </c>
      <c r="H167" s="1" t="s">
        <v>3</v>
      </c>
      <c r="I167" t="str">
        <f t="shared" si="17"/>
        <v>1H</v>
      </c>
      <c r="J167" t="str">
        <f t="shared" si="18"/>
        <v xml:space="preserve">1312 </v>
      </c>
      <c r="K167" t="str">
        <f t="shared" si="19"/>
        <v xml:space="preserve">1316 </v>
      </c>
      <c r="L167" t="str">
        <f t="shared" si="20"/>
        <v>Plat 1</v>
      </c>
      <c r="M167" s="8" t="str">
        <f t="shared" si="21"/>
        <v>1</v>
      </c>
      <c r="N167" t="s">
        <v>635</v>
      </c>
    </row>
    <row r="168" spans="2:22" ht="15" customHeight="1" x14ac:dyDescent="0.25">
      <c r="B168" s="3" t="s">
        <v>475</v>
      </c>
      <c r="C168" s="1" t="s">
        <v>476</v>
      </c>
      <c r="D168" s="2" t="s">
        <v>635</v>
      </c>
      <c r="E168" s="1" t="s">
        <v>490</v>
      </c>
      <c r="F168" s="2" t="s">
        <v>636</v>
      </c>
      <c r="G168" s="1" t="s">
        <v>477</v>
      </c>
      <c r="H168" s="1" t="s">
        <v>3</v>
      </c>
      <c r="I168" t="str">
        <f t="shared" si="17"/>
        <v>1H</v>
      </c>
      <c r="J168" t="str">
        <f t="shared" si="18"/>
        <v xml:space="preserve">1317 </v>
      </c>
      <c r="K168" t="str">
        <f t="shared" si="19"/>
        <v xml:space="preserve">1321 </v>
      </c>
      <c r="L168" t="str">
        <f t="shared" si="20"/>
        <v>Plat 4</v>
      </c>
      <c r="M168" s="8" t="str">
        <f t="shared" si="21"/>
        <v>4</v>
      </c>
      <c r="N168" t="s">
        <v>636</v>
      </c>
    </row>
    <row r="169" spans="2:22" ht="15" customHeight="1" x14ac:dyDescent="0.25">
      <c r="B169" s="3" t="s">
        <v>478</v>
      </c>
      <c r="C169" s="1" t="s">
        <v>479</v>
      </c>
      <c r="D169" s="2" t="s">
        <v>637</v>
      </c>
      <c r="E169" s="1" t="s">
        <v>491</v>
      </c>
      <c r="F169" s="2" t="s">
        <v>635</v>
      </c>
      <c r="G169" s="1" t="s">
        <v>480</v>
      </c>
      <c r="H169" s="1" t="s">
        <v>3</v>
      </c>
      <c r="I169" t="str">
        <f t="shared" si="17"/>
        <v>1J</v>
      </c>
      <c r="J169" t="str">
        <f t="shared" si="18"/>
        <v xml:space="preserve">1319 </v>
      </c>
      <c r="K169" t="str">
        <f t="shared" si="19"/>
        <v xml:space="preserve">1323 </v>
      </c>
      <c r="L169" t="str">
        <f t="shared" si="20"/>
        <v>Plat 2</v>
      </c>
      <c r="M169" s="8" t="str">
        <f t="shared" si="21"/>
        <v>2</v>
      </c>
      <c r="N169" t="s">
        <v>635</v>
      </c>
    </row>
    <row r="170" spans="2:22" ht="15" customHeight="1" x14ac:dyDescent="0.25">
      <c r="B170" s="3" t="s">
        <v>481</v>
      </c>
      <c r="C170" s="1" t="s">
        <v>482</v>
      </c>
      <c r="D170" s="2" t="s">
        <v>635</v>
      </c>
      <c r="E170" s="1" t="s">
        <v>489</v>
      </c>
      <c r="F170" s="2" t="s">
        <v>19</v>
      </c>
      <c r="G170" s="1" t="s">
        <v>483</v>
      </c>
      <c r="H170" s="1" t="s">
        <v>3</v>
      </c>
      <c r="I170" t="str">
        <f t="shared" si="17"/>
        <v>1F</v>
      </c>
      <c r="J170" t="str">
        <f t="shared" si="18"/>
        <v xml:space="preserve">1324 </v>
      </c>
      <c r="K170" t="str">
        <f t="shared" si="19"/>
        <v xml:space="preserve">1328 </v>
      </c>
      <c r="L170" t="str">
        <f t="shared" si="20"/>
        <v>Plat 3</v>
      </c>
      <c r="M170" s="8" t="str">
        <f t="shared" si="21"/>
        <v>3</v>
      </c>
      <c r="N170" t="s">
        <v>636</v>
      </c>
      <c r="O170" t="s">
        <v>1028</v>
      </c>
      <c r="P170" t="s">
        <v>1029</v>
      </c>
      <c r="Q170" t="s">
        <v>1030</v>
      </c>
      <c r="R170" t="s">
        <v>1031</v>
      </c>
      <c r="S170" t="s">
        <v>1032</v>
      </c>
      <c r="T170" t="s">
        <v>1033</v>
      </c>
      <c r="U170" t="s">
        <v>1034</v>
      </c>
      <c r="V170" t="s">
        <v>19</v>
      </c>
    </row>
    <row r="171" spans="2:22" ht="15" customHeight="1" x14ac:dyDescent="0.25">
      <c r="B171" s="3" t="s">
        <v>484</v>
      </c>
      <c r="C171" s="1" t="s">
        <v>485</v>
      </c>
      <c r="D171" s="2" t="s">
        <v>636</v>
      </c>
      <c r="E171" s="1" t="s">
        <v>492</v>
      </c>
      <c r="F171" s="2" t="s">
        <v>635</v>
      </c>
      <c r="G171" s="1" t="s">
        <v>486</v>
      </c>
      <c r="H171" s="1" t="s">
        <v>3</v>
      </c>
      <c r="I171" t="str">
        <f t="shared" si="17"/>
        <v>1L</v>
      </c>
      <c r="J171" t="str">
        <f t="shared" si="18"/>
        <v xml:space="preserve">1326 </v>
      </c>
      <c r="K171" t="str">
        <f t="shared" si="19"/>
        <v xml:space="preserve">1330 </v>
      </c>
      <c r="L171" t="str">
        <f t="shared" si="20"/>
        <v>Plat 1</v>
      </c>
      <c r="M171" s="8" t="str">
        <f t="shared" si="21"/>
        <v>1</v>
      </c>
      <c r="N171" t="s">
        <v>635</v>
      </c>
    </row>
    <row r="172" spans="2:22" x14ac:dyDescent="0.25">
      <c r="B172" s="3" t="s">
        <v>493</v>
      </c>
      <c r="C172" s="1" t="s">
        <v>494</v>
      </c>
      <c r="D172" s="2" t="s">
        <v>635</v>
      </c>
      <c r="E172" s="1" t="s">
        <v>490</v>
      </c>
      <c r="F172" s="2" t="s">
        <v>636</v>
      </c>
      <c r="G172" s="1" t="s">
        <v>495</v>
      </c>
      <c r="H172" s="1" t="s">
        <v>3</v>
      </c>
      <c r="I172" t="str">
        <f t="shared" ref="I172:I235" si="22">LEFT(B172,2)</f>
        <v>1L</v>
      </c>
      <c r="J172" t="str">
        <f t="shared" ref="J172:J235" si="23">LEFT(C172,5)</f>
        <v xml:space="preserve">1331 </v>
      </c>
      <c r="K172" t="str">
        <f t="shared" ref="K172:K235" si="24">LEFT(G172,5)</f>
        <v xml:space="preserve">1335 </v>
      </c>
      <c r="L172" t="str">
        <f t="shared" ref="L172:L235" si="25">LEFT(E172,6)</f>
        <v>Plat 4</v>
      </c>
      <c r="M172" s="8" t="str">
        <f t="shared" si="21"/>
        <v>4</v>
      </c>
      <c r="N172" t="s">
        <v>636</v>
      </c>
    </row>
    <row r="173" spans="2:22" ht="15" customHeight="1" x14ac:dyDescent="0.25">
      <c r="B173" s="3" t="s">
        <v>496</v>
      </c>
      <c r="C173" s="1" t="s">
        <v>497</v>
      </c>
      <c r="D173" s="2" t="s">
        <v>636</v>
      </c>
      <c r="E173" s="1" t="s">
        <v>491</v>
      </c>
      <c r="F173" s="2" t="s">
        <v>635</v>
      </c>
      <c r="G173" s="1" t="s">
        <v>498</v>
      </c>
      <c r="H173" s="1" t="s">
        <v>3</v>
      </c>
      <c r="I173" t="str">
        <f t="shared" si="22"/>
        <v>1F</v>
      </c>
      <c r="J173" t="str">
        <f t="shared" si="23"/>
        <v xml:space="preserve">1333 </v>
      </c>
      <c r="K173" t="str">
        <f t="shared" si="24"/>
        <v xml:space="preserve">1337 </v>
      </c>
      <c r="L173" t="str">
        <f t="shared" si="25"/>
        <v>Plat 2</v>
      </c>
      <c r="M173" s="8" t="str">
        <f t="shared" si="21"/>
        <v>2</v>
      </c>
      <c r="N173" t="s">
        <v>635</v>
      </c>
    </row>
    <row r="174" spans="2:22" ht="15" customHeight="1" x14ac:dyDescent="0.25">
      <c r="B174" s="3" t="s">
        <v>499</v>
      </c>
      <c r="C174" s="1" t="s">
        <v>500</v>
      </c>
      <c r="D174" s="2" t="s">
        <v>635</v>
      </c>
      <c r="E174" s="1" t="s">
        <v>489</v>
      </c>
      <c r="F174" s="2" t="s">
        <v>636</v>
      </c>
      <c r="G174" s="1" t="s">
        <v>501</v>
      </c>
      <c r="H174" s="1" t="s">
        <v>3</v>
      </c>
      <c r="I174" t="str">
        <f t="shared" si="22"/>
        <v>1F</v>
      </c>
      <c r="J174" t="str">
        <f t="shared" si="23"/>
        <v xml:space="preserve">1338 </v>
      </c>
      <c r="K174" t="str">
        <f t="shared" si="24"/>
        <v xml:space="preserve">1342 </v>
      </c>
      <c r="L174" t="str">
        <f t="shared" si="25"/>
        <v>Plat 3</v>
      </c>
      <c r="M174" s="8" t="str">
        <f t="shared" si="21"/>
        <v>3</v>
      </c>
      <c r="N174" t="s">
        <v>636</v>
      </c>
    </row>
    <row r="175" spans="2:22" ht="15" customHeight="1" x14ac:dyDescent="0.25">
      <c r="B175" s="3" t="s">
        <v>502</v>
      </c>
      <c r="C175" s="1" t="s">
        <v>503</v>
      </c>
      <c r="D175" s="2" t="s">
        <v>637</v>
      </c>
      <c r="E175" s="1" t="s">
        <v>492</v>
      </c>
      <c r="F175" s="2" t="s">
        <v>635</v>
      </c>
      <c r="G175" s="1" t="s">
        <v>504</v>
      </c>
      <c r="H175" s="1" t="s">
        <v>3</v>
      </c>
      <c r="I175" t="str">
        <f t="shared" si="22"/>
        <v>1J</v>
      </c>
      <c r="J175" t="str">
        <f t="shared" si="23"/>
        <v>1344½</v>
      </c>
      <c r="K175" t="str">
        <f t="shared" si="24"/>
        <v>1348½</v>
      </c>
      <c r="L175" t="str">
        <f t="shared" si="25"/>
        <v>Plat 1</v>
      </c>
      <c r="M175" s="8" t="str">
        <f t="shared" si="21"/>
        <v>1</v>
      </c>
      <c r="N175" t="s">
        <v>635</v>
      </c>
    </row>
    <row r="176" spans="2:22" ht="15" customHeight="1" x14ac:dyDescent="0.25">
      <c r="B176" s="3" t="s">
        <v>14</v>
      </c>
      <c r="C176" s="1" t="s">
        <v>505</v>
      </c>
      <c r="D176" s="2" t="s">
        <v>635</v>
      </c>
      <c r="E176" s="1" t="s">
        <v>490</v>
      </c>
      <c r="F176" s="2" t="s">
        <v>637</v>
      </c>
      <c r="G176" s="1" t="s">
        <v>506</v>
      </c>
      <c r="H176" s="1" t="s">
        <v>3</v>
      </c>
      <c r="I176" t="str">
        <f t="shared" si="22"/>
        <v>1J</v>
      </c>
      <c r="J176" t="str">
        <f t="shared" si="23"/>
        <v xml:space="preserve">1345 </v>
      </c>
      <c r="K176" t="str">
        <f t="shared" si="24"/>
        <v xml:space="preserve">1349 </v>
      </c>
      <c r="L176" t="str">
        <f t="shared" si="25"/>
        <v>Plat 4</v>
      </c>
      <c r="M176" s="8" t="str">
        <f t="shared" si="21"/>
        <v>4</v>
      </c>
      <c r="N176" t="s">
        <v>636</v>
      </c>
      <c r="O176" t="s">
        <v>637</v>
      </c>
    </row>
    <row r="177" spans="2:22" ht="15" customHeight="1" x14ac:dyDescent="0.25">
      <c r="B177" s="3" t="s">
        <v>507</v>
      </c>
      <c r="C177" s="1" t="s">
        <v>508</v>
      </c>
      <c r="D177" s="2" t="s">
        <v>636</v>
      </c>
      <c r="E177" s="1" t="s">
        <v>491</v>
      </c>
      <c r="F177" s="2" t="s">
        <v>635</v>
      </c>
      <c r="G177" s="1" t="s">
        <v>509</v>
      </c>
      <c r="H177" s="1" t="s">
        <v>3</v>
      </c>
      <c r="I177" t="str">
        <f t="shared" si="22"/>
        <v>1H</v>
      </c>
      <c r="J177" t="str">
        <f t="shared" si="23"/>
        <v xml:space="preserve">1351 </v>
      </c>
      <c r="K177" t="str">
        <f t="shared" si="24"/>
        <v xml:space="preserve">1355 </v>
      </c>
      <c r="L177" t="str">
        <f t="shared" si="25"/>
        <v>Plat 2</v>
      </c>
      <c r="M177" s="8" t="str">
        <f t="shared" si="21"/>
        <v>2</v>
      </c>
      <c r="N177" t="s">
        <v>635</v>
      </c>
    </row>
    <row r="178" spans="2:22" ht="15" customHeight="1" x14ac:dyDescent="0.25">
      <c r="B178" s="3" t="s">
        <v>510</v>
      </c>
      <c r="C178" s="1" t="s">
        <v>511</v>
      </c>
      <c r="D178" s="2" t="s">
        <v>635</v>
      </c>
      <c r="E178" s="1" t="s">
        <v>489</v>
      </c>
      <c r="F178" s="2" t="s">
        <v>636</v>
      </c>
      <c r="G178" s="1" t="s">
        <v>512</v>
      </c>
      <c r="H178" s="1" t="s">
        <v>3</v>
      </c>
      <c r="I178" t="str">
        <f t="shared" si="22"/>
        <v>1L</v>
      </c>
      <c r="J178" t="str">
        <f t="shared" si="23"/>
        <v xml:space="preserve">1352 </v>
      </c>
      <c r="K178" t="str">
        <f t="shared" si="24"/>
        <v xml:space="preserve">1356 </v>
      </c>
      <c r="L178" t="str">
        <f t="shared" si="25"/>
        <v>Plat 3</v>
      </c>
      <c r="M178" s="8" t="str">
        <f t="shared" si="21"/>
        <v>3</v>
      </c>
      <c r="N178" t="s">
        <v>636</v>
      </c>
    </row>
    <row r="179" spans="2:22" ht="15" customHeight="1" x14ac:dyDescent="0.25">
      <c r="B179" s="3" t="s">
        <v>513</v>
      </c>
      <c r="C179" s="1" t="s">
        <v>514</v>
      </c>
      <c r="D179" s="2" t="s">
        <v>19</v>
      </c>
      <c r="E179" s="1" t="s">
        <v>492</v>
      </c>
      <c r="F179" s="2" t="s">
        <v>635</v>
      </c>
      <c r="G179" s="1" t="s">
        <v>515</v>
      </c>
      <c r="H179" s="1" t="s">
        <v>3</v>
      </c>
      <c r="I179" t="str">
        <f t="shared" si="22"/>
        <v>1F</v>
      </c>
      <c r="J179" t="str">
        <f t="shared" si="23"/>
        <v xml:space="preserve">1358 </v>
      </c>
      <c r="K179" t="str">
        <f t="shared" si="24"/>
        <v xml:space="preserve">1402 </v>
      </c>
      <c r="L179" t="str">
        <f t="shared" si="25"/>
        <v>Plat 1</v>
      </c>
      <c r="M179" s="8" t="str">
        <f t="shared" si="21"/>
        <v>1</v>
      </c>
      <c r="N179" t="s">
        <v>635</v>
      </c>
    </row>
    <row r="180" spans="2:22" ht="15" customHeight="1" x14ac:dyDescent="0.25">
      <c r="B180" s="3" t="s">
        <v>516</v>
      </c>
      <c r="C180" s="1" t="s">
        <v>517</v>
      </c>
      <c r="D180" s="2" t="s">
        <v>635</v>
      </c>
      <c r="E180" s="1" t="s">
        <v>490</v>
      </c>
      <c r="F180" s="2" t="s">
        <v>636</v>
      </c>
      <c r="G180" s="1" t="s">
        <v>518</v>
      </c>
      <c r="H180" s="1" t="s">
        <v>3</v>
      </c>
      <c r="I180" t="str">
        <f t="shared" si="22"/>
        <v>1H</v>
      </c>
      <c r="J180" t="str">
        <f t="shared" si="23"/>
        <v xml:space="preserve">1359 </v>
      </c>
      <c r="K180" t="str">
        <f t="shared" si="24"/>
        <v xml:space="preserve">1403 </v>
      </c>
      <c r="L180" t="str">
        <f t="shared" si="25"/>
        <v>Plat 4</v>
      </c>
      <c r="M180" s="8" t="str">
        <f t="shared" si="21"/>
        <v>4</v>
      </c>
      <c r="N180" t="s">
        <v>636</v>
      </c>
    </row>
    <row r="181" spans="2:22" ht="15" customHeight="1" x14ac:dyDescent="0.25">
      <c r="B181" s="3" t="s">
        <v>519</v>
      </c>
      <c r="C181" s="1" t="s">
        <v>520</v>
      </c>
      <c r="D181" s="2" t="s">
        <v>636</v>
      </c>
      <c r="E181" s="1" t="s">
        <v>491</v>
      </c>
      <c r="F181" s="2" t="s">
        <v>635</v>
      </c>
      <c r="G181" s="1" t="s">
        <v>521</v>
      </c>
      <c r="H181" s="1" t="s">
        <v>3</v>
      </c>
      <c r="I181" t="str">
        <f t="shared" si="22"/>
        <v>1L</v>
      </c>
      <c r="J181" t="str">
        <f t="shared" si="23"/>
        <v xml:space="preserve">1405 </v>
      </c>
      <c r="K181" t="str">
        <f t="shared" si="24"/>
        <v xml:space="preserve">1409 </v>
      </c>
      <c r="L181" t="str">
        <f t="shared" si="25"/>
        <v>Plat 2</v>
      </c>
      <c r="M181" s="8" t="str">
        <f t="shared" si="21"/>
        <v>2</v>
      </c>
      <c r="N181" t="s">
        <v>635</v>
      </c>
    </row>
    <row r="182" spans="2:22" ht="15" customHeight="1" x14ac:dyDescent="0.25">
      <c r="B182" s="3" t="s">
        <v>522</v>
      </c>
      <c r="C182" s="1" t="s">
        <v>523</v>
      </c>
      <c r="D182" s="2" t="s">
        <v>635</v>
      </c>
      <c r="E182" s="1" t="s">
        <v>489</v>
      </c>
      <c r="F182" s="2" t="s">
        <v>637</v>
      </c>
      <c r="G182" s="1" t="s">
        <v>524</v>
      </c>
      <c r="H182" s="1" t="s">
        <v>3</v>
      </c>
      <c r="I182" t="str">
        <f t="shared" si="22"/>
        <v>1J</v>
      </c>
      <c r="J182" t="str">
        <f t="shared" si="23"/>
        <v xml:space="preserve">1410 </v>
      </c>
      <c r="K182" t="str">
        <f t="shared" si="24"/>
        <v xml:space="preserve">1414 </v>
      </c>
      <c r="L182" t="str">
        <f t="shared" si="25"/>
        <v>Plat 3</v>
      </c>
      <c r="M182" s="8" t="str">
        <f t="shared" si="21"/>
        <v>3</v>
      </c>
      <c r="N182" t="s">
        <v>636</v>
      </c>
      <c r="O182" t="s">
        <v>637</v>
      </c>
    </row>
    <row r="183" spans="2:22" ht="15" customHeight="1" x14ac:dyDescent="0.25">
      <c r="B183" s="3" t="s">
        <v>525</v>
      </c>
      <c r="C183" s="1" t="s">
        <v>526</v>
      </c>
      <c r="D183" s="2" t="s">
        <v>636</v>
      </c>
      <c r="E183" s="1" t="s">
        <v>492</v>
      </c>
      <c r="F183" s="2" t="s">
        <v>635</v>
      </c>
      <c r="G183" s="1" t="s">
        <v>527</v>
      </c>
      <c r="H183" s="1" t="s">
        <v>3</v>
      </c>
      <c r="I183" t="str">
        <f t="shared" si="22"/>
        <v>1H</v>
      </c>
      <c r="J183" t="str">
        <f t="shared" si="23"/>
        <v xml:space="preserve">1412 </v>
      </c>
      <c r="K183" t="str">
        <f t="shared" si="24"/>
        <v xml:space="preserve">1416 </v>
      </c>
      <c r="L183" t="str">
        <f t="shared" si="25"/>
        <v>Plat 1</v>
      </c>
      <c r="M183" s="8" t="str">
        <f t="shared" si="21"/>
        <v>1</v>
      </c>
      <c r="N183" t="s">
        <v>635</v>
      </c>
    </row>
    <row r="184" spans="2:22" ht="15" customHeight="1" x14ac:dyDescent="0.25">
      <c r="B184" s="3" t="s">
        <v>528</v>
      </c>
      <c r="C184" s="1" t="s">
        <v>529</v>
      </c>
      <c r="D184" s="2" t="s">
        <v>635</v>
      </c>
      <c r="E184" s="1" t="s">
        <v>490</v>
      </c>
      <c r="F184" s="2" t="s">
        <v>636</v>
      </c>
      <c r="G184" s="1" t="s">
        <v>530</v>
      </c>
      <c r="H184" s="1" t="s">
        <v>3</v>
      </c>
      <c r="I184" t="str">
        <f t="shared" si="22"/>
        <v>1H</v>
      </c>
      <c r="J184" t="str">
        <f t="shared" si="23"/>
        <v xml:space="preserve">1417 </v>
      </c>
      <c r="K184" t="str">
        <f t="shared" si="24"/>
        <v xml:space="preserve">1421 </v>
      </c>
      <c r="L184" t="str">
        <f t="shared" si="25"/>
        <v>Plat 4</v>
      </c>
      <c r="M184" s="8" t="str">
        <f t="shared" si="21"/>
        <v>4</v>
      </c>
      <c r="N184" t="s">
        <v>636</v>
      </c>
    </row>
    <row r="185" spans="2:22" ht="15" customHeight="1" x14ac:dyDescent="0.25">
      <c r="B185" s="3" t="s">
        <v>531</v>
      </c>
      <c r="C185" s="1" t="s">
        <v>532</v>
      </c>
      <c r="D185" s="2" t="s">
        <v>637</v>
      </c>
      <c r="E185" s="1" t="s">
        <v>491</v>
      </c>
      <c r="F185" s="2" t="s">
        <v>635</v>
      </c>
      <c r="G185" s="1" t="s">
        <v>533</v>
      </c>
      <c r="H185" s="1" t="s">
        <v>3</v>
      </c>
      <c r="I185" t="str">
        <f t="shared" si="22"/>
        <v>1J</v>
      </c>
      <c r="J185" t="str">
        <f t="shared" si="23"/>
        <v xml:space="preserve">1419 </v>
      </c>
      <c r="K185" t="str">
        <f t="shared" si="24"/>
        <v xml:space="preserve">1423 </v>
      </c>
      <c r="L185" t="str">
        <f t="shared" si="25"/>
        <v>Plat 2</v>
      </c>
      <c r="M185" s="8" t="str">
        <f t="shared" si="21"/>
        <v>2</v>
      </c>
      <c r="N185" t="s">
        <v>635</v>
      </c>
    </row>
    <row r="186" spans="2:22" ht="15" customHeight="1" x14ac:dyDescent="0.25">
      <c r="B186" s="3" t="s">
        <v>534</v>
      </c>
      <c r="C186" s="1" t="s">
        <v>535</v>
      </c>
      <c r="D186" s="2" t="s">
        <v>635</v>
      </c>
      <c r="E186" s="1" t="s">
        <v>489</v>
      </c>
      <c r="F186" s="2" t="s">
        <v>19</v>
      </c>
      <c r="G186" s="1" t="s">
        <v>536</v>
      </c>
      <c r="H186" s="1" t="s">
        <v>3</v>
      </c>
      <c r="I186" t="str">
        <f t="shared" si="22"/>
        <v>1F</v>
      </c>
      <c r="J186" t="str">
        <f t="shared" si="23"/>
        <v xml:space="preserve">1424 </v>
      </c>
      <c r="K186" t="str">
        <f t="shared" si="24"/>
        <v xml:space="preserve">1428 </v>
      </c>
      <c r="L186" t="str">
        <f t="shared" si="25"/>
        <v>Plat 3</v>
      </c>
      <c r="M186" s="8" t="str">
        <f t="shared" si="21"/>
        <v>3</v>
      </c>
      <c r="N186" t="s">
        <v>636</v>
      </c>
      <c r="O186" t="s">
        <v>1028</v>
      </c>
      <c r="P186" t="s">
        <v>1029</v>
      </c>
      <c r="Q186" t="s">
        <v>1030</v>
      </c>
      <c r="R186" t="s">
        <v>1031</v>
      </c>
      <c r="S186" t="s">
        <v>1032</v>
      </c>
      <c r="T186" t="s">
        <v>1033</v>
      </c>
      <c r="U186" t="s">
        <v>1034</v>
      </c>
      <c r="V186" t="s">
        <v>19</v>
      </c>
    </row>
    <row r="187" spans="2:22" ht="15" customHeight="1" x14ac:dyDescent="0.25">
      <c r="B187" s="3" t="s">
        <v>537</v>
      </c>
      <c r="C187" s="1" t="s">
        <v>538</v>
      </c>
      <c r="D187" s="2" t="s">
        <v>636</v>
      </c>
      <c r="E187" s="1" t="s">
        <v>492</v>
      </c>
      <c r="F187" s="2" t="s">
        <v>635</v>
      </c>
      <c r="G187" s="1" t="s">
        <v>539</v>
      </c>
      <c r="H187" s="1" t="s">
        <v>3</v>
      </c>
      <c r="I187" t="str">
        <f t="shared" si="22"/>
        <v>1L</v>
      </c>
      <c r="J187" t="str">
        <f t="shared" si="23"/>
        <v xml:space="preserve">1426 </v>
      </c>
      <c r="K187" t="str">
        <f t="shared" si="24"/>
        <v xml:space="preserve">1430 </v>
      </c>
      <c r="L187" t="str">
        <f t="shared" si="25"/>
        <v>Plat 1</v>
      </c>
      <c r="M187" s="8" t="str">
        <f t="shared" si="21"/>
        <v>1</v>
      </c>
      <c r="N187" t="s">
        <v>635</v>
      </c>
    </row>
    <row r="188" spans="2:22" ht="15" customHeight="1" x14ac:dyDescent="0.25">
      <c r="B188" s="3" t="s">
        <v>540</v>
      </c>
      <c r="C188" s="1" t="s">
        <v>541</v>
      </c>
      <c r="D188" s="2" t="s">
        <v>635</v>
      </c>
      <c r="E188" s="1" t="s">
        <v>490</v>
      </c>
      <c r="F188" s="2" t="s">
        <v>636</v>
      </c>
      <c r="G188" s="1" t="s">
        <v>542</v>
      </c>
      <c r="H188" s="1" t="s">
        <v>3</v>
      </c>
      <c r="I188" t="str">
        <f t="shared" si="22"/>
        <v>1L</v>
      </c>
      <c r="J188" t="str">
        <f t="shared" si="23"/>
        <v xml:space="preserve">1431 </v>
      </c>
      <c r="K188" t="str">
        <f t="shared" si="24"/>
        <v xml:space="preserve">1435 </v>
      </c>
      <c r="L188" t="str">
        <f t="shared" si="25"/>
        <v>Plat 4</v>
      </c>
      <c r="M188" s="8" t="str">
        <f t="shared" si="21"/>
        <v>4</v>
      </c>
      <c r="N188" t="s">
        <v>636</v>
      </c>
    </row>
    <row r="189" spans="2:22" ht="15" customHeight="1" x14ac:dyDescent="0.25">
      <c r="B189" s="3" t="s">
        <v>543</v>
      </c>
      <c r="C189" s="1" t="s">
        <v>544</v>
      </c>
      <c r="D189" s="2" t="s">
        <v>636</v>
      </c>
      <c r="E189" s="1" t="s">
        <v>491</v>
      </c>
      <c r="F189" s="2" t="s">
        <v>635</v>
      </c>
      <c r="G189" s="1" t="s">
        <v>545</v>
      </c>
      <c r="H189" s="1" t="s">
        <v>3</v>
      </c>
      <c r="I189" t="str">
        <f t="shared" si="22"/>
        <v>1F</v>
      </c>
      <c r="J189" t="str">
        <f t="shared" si="23"/>
        <v xml:space="preserve">1433 </v>
      </c>
      <c r="K189" t="str">
        <f t="shared" si="24"/>
        <v xml:space="preserve">1437 </v>
      </c>
      <c r="L189" t="str">
        <f t="shared" si="25"/>
        <v>Plat 2</v>
      </c>
      <c r="M189" s="8" t="str">
        <f t="shared" si="21"/>
        <v>2</v>
      </c>
      <c r="N189" t="s">
        <v>635</v>
      </c>
    </row>
    <row r="190" spans="2:22" ht="15" customHeight="1" x14ac:dyDescent="0.25">
      <c r="B190" s="3" t="s">
        <v>546</v>
      </c>
      <c r="C190" s="1" t="s">
        <v>547</v>
      </c>
      <c r="D190" s="2" t="s">
        <v>635</v>
      </c>
      <c r="E190" s="1" t="s">
        <v>489</v>
      </c>
      <c r="F190" s="2" t="s">
        <v>636</v>
      </c>
      <c r="G190" s="1" t="s">
        <v>548</v>
      </c>
      <c r="H190" s="1" t="s">
        <v>3</v>
      </c>
      <c r="I190" t="str">
        <f t="shared" si="22"/>
        <v>1F</v>
      </c>
      <c r="J190" t="str">
        <f t="shared" si="23"/>
        <v xml:space="preserve">1438 </v>
      </c>
      <c r="K190" t="str">
        <f t="shared" si="24"/>
        <v xml:space="preserve">1442 </v>
      </c>
      <c r="L190" t="str">
        <f t="shared" si="25"/>
        <v>Plat 3</v>
      </c>
      <c r="M190" s="8" t="str">
        <f t="shared" si="21"/>
        <v>3</v>
      </c>
      <c r="N190" t="s">
        <v>636</v>
      </c>
    </row>
    <row r="191" spans="2:22" ht="15" customHeight="1" x14ac:dyDescent="0.25">
      <c r="B191" s="3" t="s">
        <v>549</v>
      </c>
      <c r="C191" s="1" t="s">
        <v>550</v>
      </c>
      <c r="D191" s="2" t="s">
        <v>637</v>
      </c>
      <c r="E191" s="1" t="s">
        <v>492</v>
      </c>
      <c r="F191" s="2" t="s">
        <v>635</v>
      </c>
      <c r="G191" s="1" t="s">
        <v>551</v>
      </c>
      <c r="H191" s="1" t="s">
        <v>3</v>
      </c>
      <c r="I191" t="str">
        <f t="shared" si="22"/>
        <v>1J</v>
      </c>
      <c r="J191" t="str">
        <f t="shared" si="23"/>
        <v>1444½</v>
      </c>
      <c r="K191" t="str">
        <f t="shared" si="24"/>
        <v>1448½</v>
      </c>
      <c r="L191" t="str">
        <f t="shared" si="25"/>
        <v>Plat 1</v>
      </c>
      <c r="M191" s="8" t="str">
        <f t="shared" si="21"/>
        <v>1</v>
      </c>
      <c r="N191" t="s">
        <v>635</v>
      </c>
    </row>
    <row r="192" spans="2:22" ht="15" customHeight="1" x14ac:dyDescent="0.25">
      <c r="B192" s="3" t="s">
        <v>552</v>
      </c>
      <c r="C192" s="1" t="s">
        <v>553</v>
      </c>
      <c r="D192" s="2" t="s">
        <v>635</v>
      </c>
      <c r="E192" s="1" t="s">
        <v>490</v>
      </c>
      <c r="F192" s="2" t="s">
        <v>637</v>
      </c>
      <c r="G192" s="1" t="s">
        <v>554</v>
      </c>
      <c r="H192" s="1" t="s">
        <v>3</v>
      </c>
      <c r="I192" t="str">
        <f t="shared" si="22"/>
        <v>1J</v>
      </c>
      <c r="J192" t="str">
        <f t="shared" si="23"/>
        <v xml:space="preserve">1445 </v>
      </c>
      <c r="K192" t="str">
        <f t="shared" si="24"/>
        <v xml:space="preserve">1449 </v>
      </c>
      <c r="L192" t="str">
        <f t="shared" si="25"/>
        <v>Plat 4</v>
      </c>
      <c r="M192" s="8" t="str">
        <f t="shared" si="21"/>
        <v>4</v>
      </c>
      <c r="N192" t="s">
        <v>636</v>
      </c>
      <c r="O192" t="s">
        <v>637</v>
      </c>
    </row>
    <row r="193" spans="2:22" ht="15" customHeight="1" x14ac:dyDescent="0.25">
      <c r="B193" s="3" t="s">
        <v>555</v>
      </c>
      <c r="C193" s="1" t="s">
        <v>556</v>
      </c>
      <c r="D193" s="2" t="s">
        <v>636</v>
      </c>
      <c r="E193" s="1" t="s">
        <v>491</v>
      </c>
      <c r="F193" s="2" t="s">
        <v>635</v>
      </c>
      <c r="G193" s="1" t="s">
        <v>557</v>
      </c>
      <c r="H193" s="1" t="s">
        <v>3</v>
      </c>
      <c r="I193" t="str">
        <f t="shared" si="22"/>
        <v>1H</v>
      </c>
      <c r="J193" t="str">
        <f t="shared" si="23"/>
        <v xml:space="preserve">1451 </v>
      </c>
      <c r="K193" t="str">
        <f t="shared" si="24"/>
        <v xml:space="preserve">1455 </v>
      </c>
      <c r="L193" t="str">
        <f t="shared" si="25"/>
        <v>Plat 2</v>
      </c>
      <c r="M193" s="8" t="str">
        <f t="shared" si="21"/>
        <v>2</v>
      </c>
      <c r="N193" t="s">
        <v>635</v>
      </c>
    </row>
    <row r="194" spans="2:22" ht="15" customHeight="1" x14ac:dyDescent="0.25">
      <c r="B194" s="3" t="s">
        <v>558</v>
      </c>
      <c r="C194" s="1" t="s">
        <v>559</v>
      </c>
      <c r="D194" s="2" t="s">
        <v>635</v>
      </c>
      <c r="E194" s="1" t="s">
        <v>489</v>
      </c>
      <c r="F194" s="2" t="s">
        <v>636</v>
      </c>
      <c r="G194" s="1" t="s">
        <v>560</v>
      </c>
      <c r="H194" s="1" t="s">
        <v>3</v>
      </c>
      <c r="I194" t="str">
        <f t="shared" si="22"/>
        <v>1L</v>
      </c>
      <c r="J194" t="str">
        <f t="shared" si="23"/>
        <v xml:space="preserve">1452 </v>
      </c>
      <c r="K194" t="str">
        <f t="shared" si="24"/>
        <v xml:space="preserve">1456 </v>
      </c>
      <c r="L194" t="str">
        <f t="shared" si="25"/>
        <v>Plat 3</v>
      </c>
      <c r="M194" s="8" t="str">
        <f t="shared" si="21"/>
        <v>3</v>
      </c>
      <c r="N194" t="s">
        <v>636</v>
      </c>
    </row>
    <row r="195" spans="2:22" ht="15" customHeight="1" x14ac:dyDescent="0.25">
      <c r="B195" s="3" t="s">
        <v>561</v>
      </c>
      <c r="C195" s="1" t="s">
        <v>562</v>
      </c>
      <c r="D195" s="2" t="s">
        <v>19</v>
      </c>
      <c r="E195" s="1" t="s">
        <v>492</v>
      </c>
      <c r="F195" s="2" t="s">
        <v>635</v>
      </c>
      <c r="G195" s="1" t="s">
        <v>563</v>
      </c>
      <c r="H195" s="1" t="s">
        <v>3</v>
      </c>
      <c r="I195" t="str">
        <f t="shared" si="22"/>
        <v>1F</v>
      </c>
      <c r="J195" t="str">
        <f t="shared" si="23"/>
        <v xml:space="preserve">1458 </v>
      </c>
      <c r="K195" t="str">
        <f t="shared" si="24"/>
        <v xml:space="preserve">1502 </v>
      </c>
      <c r="L195" t="str">
        <f t="shared" si="25"/>
        <v>Plat 1</v>
      </c>
      <c r="M195" s="8" t="str">
        <f t="shared" ref="M195:M258" si="26">RIGHT(L195,1)</f>
        <v>1</v>
      </c>
      <c r="N195" t="s">
        <v>635</v>
      </c>
    </row>
    <row r="196" spans="2:22" ht="15" customHeight="1" x14ac:dyDescent="0.25">
      <c r="B196" s="3" t="s">
        <v>564</v>
      </c>
      <c r="C196" s="1" t="s">
        <v>565</v>
      </c>
      <c r="D196" s="2" t="s">
        <v>635</v>
      </c>
      <c r="E196" s="1" t="s">
        <v>490</v>
      </c>
      <c r="F196" s="2" t="s">
        <v>636</v>
      </c>
      <c r="G196" s="1" t="s">
        <v>566</v>
      </c>
      <c r="H196" s="1" t="s">
        <v>3</v>
      </c>
      <c r="I196" t="str">
        <f t="shared" si="22"/>
        <v>1H</v>
      </c>
      <c r="J196" t="str">
        <f t="shared" si="23"/>
        <v xml:space="preserve">1459 </v>
      </c>
      <c r="K196" t="str">
        <f t="shared" si="24"/>
        <v xml:space="preserve">1503 </v>
      </c>
      <c r="L196" t="str">
        <f t="shared" si="25"/>
        <v>Plat 4</v>
      </c>
      <c r="M196" s="8" t="str">
        <f t="shared" si="26"/>
        <v>4</v>
      </c>
      <c r="N196" t="s">
        <v>636</v>
      </c>
    </row>
    <row r="197" spans="2:22" ht="15" customHeight="1" x14ac:dyDescent="0.25">
      <c r="B197" s="3" t="s">
        <v>567</v>
      </c>
      <c r="C197" s="1" t="s">
        <v>568</v>
      </c>
      <c r="D197" s="2" t="s">
        <v>636</v>
      </c>
      <c r="E197" s="1" t="s">
        <v>491</v>
      </c>
      <c r="F197" s="2" t="s">
        <v>635</v>
      </c>
      <c r="G197" s="1" t="s">
        <v>569</v>
      </c>
      <c r="H197" s="1" t="s">
        <v>3</v>
      </c>
      <c r="I197" t="str">
        <f t="shared" si="22"/>
        <v>1L</v>
      </c>
      <c r="J197" t="str">
        <f t="shared" si="23"/>
        <v xml:space="preserve">1505 </v>
      </c>
      <c r="K197" t="str">
        <f t="shared" si="24"/>
        <v xml:space="preserve">1509 </v>
      </c>
      <c r="L197" t="str">
        <f t="shared" si="25"/>
        <v>Plat 2</v>
      </c>
      <c r="M197" s="8" t="str">
        <f t="shared" si="26"/>
        <v>2</v>
      </c>
      <c r="N197" t="s">
        <v>635</v>
      </c>
    </row>
    <row r="198" spans="2:22" ht="15" customHeight="1" x14ac:dyDescent="0.25">
      <c r="B198" s="3" t="s">
        <v>570</v>
      </c>
      <c r="C198" s="1" t="s">
        <v>571</v>
      </c>
      <c r="D198" s="2" t="s">
        <v>635</v>
      </c>
      <c r="E198" s="1" t="s">
        <v>489</v>
      </c>
      <c r="F198" s="2" t="s">
        <v>637</v>
      </c>
      <c r="G198" s="1" t="s">
        <v>572</v>
      </c>
      <c r="H198" s="1" t="s">
        <v>3</v>
      </c>
      <c r="I198" t="str">
        <f t="shared" si="22"/>
        <v>1J</v>
      </c>
      <c r="J198" t="str">
        <f t="shared" si="23"/>
        <v xml:space="preserve">1510 </v>
      </c>
      <c r="K198" t="str">
        <f t="shared" si="24"/>
        <v xml:space="preserve">1514 </v>
      </c>
      <c r="L198" t="str">
        <f t="shared" si="25"/>
        <v>Plat 3</v>
      </c>
      <c r="M198" s="8" t="str">
        <f t="shared" si="26"/>
        <v>3</v>
      </c>
      <c r="N198" t="s">
        <v>636</v>
      </c>
      <c r="O198" t="s">
        <v>637</v>
      </c>
    </row>
    <row r="199" spans="2:22" ht="15" customHeight="1" x14ac:dyDescent="0.25">
      <c r="B199" s="3" t="s">
        <v>573</v>
      </c>
      <c r="C199" s="1" t="s">
        <v>574</v>
      </c>
      <c r="D199" s="2" t="s">
        <v>636</v>
      </c>
      <c r="E199" s="1" t="s">
        <v>492</v>
      </c>
      <c r="F199" s="2" t="s">
        <v>635</v>
      </c>
      <c r="G199" s="1" t="s">
        <v>575</v>
      </c>
      <c r="H199" s="1" t="s">
        <v>3</v>
      </c>
      <c r="I199" t="str">
        <f t="shared" si="22"/>
        <v>1H</v>
      </c>
      <c r="J199" t="str">
        <f t="shared" si="23"/>
        <v xml:space="preserve">1512 </v>
      </c>
      <c r="K199" t="str">
        <f t="shared" si="24"/>
        <v xml:space="preserve">1516 </v>
      </c>
      <c r="L199" t="str">
        <f t="shared" si="25"/>
        <v>Plat 1</v>
      </c>
      <c r="M199" s="8" t="str">
        <f t="shared" si="26"/>
        <v>1</v>
      </c>
      <c r="N199" t="s">
        <v>635</v>
      </c>
    </row>
    <row r="200" spans="2:22" ht="15" customHeight="1" x14ac:dyDescent="0.25">
      <c r="B200" s="3" t="s">
        <v>576</v>
      </c>
      <c r="C200" s="1" t="s">
        <v>577</v>
      </c>
      <c r="D200" s="2" t="s">
        <v>635</v>
      </c>
      <c r="E200" s="1" t="s">
        <v>490</v>
      </c>
      <c r="F200" s="2" t="s">
        <v>636</v>
      </c>
      <c r="G200" s="1" t="s">
        <v>578</v>
      </c>
      <c r="H200" s="1" t="s">
        <v>3</v>
      </c>
      <c r="I200" t="str">
        <f t="shared" si="22"/>
        <v>1H</v>
      </c>
      <c r="J200" t="str">
        <f t="shared" si="23"/>
        <v xml:space="preserve">1517 </v>
      </c>
      <c r="K200" t="str">
        <f t="shared" si="24"/>
        <v xml:space="preserve">1521 </v>
      </c>
      <c r="L200" t="str">
        <f t="shared" si="25"/>
        <v>Plat 4</v>
      </c>
      <c r="M200" s="8" t="str">
        <f t="shared" si="26"/>
        <v>4</v>
      </c>
      <c r="N200" t="s">
        <v>636</v>
      </c>
    </row>
    <row r="201" spans="2:22" ht="15" customHeight="1" x14ac:dyDescent="0.25">
      <c r="B201" s="3" t="s">
        <v>579</v>
      </c>
      <c r="C201" s="1" t="s">
        <v>580</v>
      </c>
      <c r="D201" s="2" t="s">
        <v>637</v>
      </c>
      <c r="E201" s="1" t="s">
        <v>491</v>
      </c>
      <c r="F201" s="2" t="s">
        <v>635</v>
      </c>
      <c r="G201" s="1" t="s">
        <v>581</v>
      </c>
      <c r="H201" s="1" t="s">
        <v>3</v>
      </c>
      <c r="I201" t="str">
        <f t="shared" si="22"/>
        <v>1J</v>
      </c>
      <c r="J201" t="str">
        <f t="shared" si="23"/>
        <v xml:space="preserve">1519 </v>
      </c>
      <c r="K201" t="str">
        <f t="shared" si="24"/>
        <v xml:space="preserve">1523 </v>
      </c>
      <c r="L201" t="str">
        <f t="shared" si="25"/>
        <v>Plat 2</v>
      </c>
      <c r="M201" s="8" t="str">
        <f t="shared" si="26"/>
        <v>2</v>
      </c>
      <c r="N201" t="s">
        <v>635</v>
      </c>
    </row>
    <row r="202" spans="2:22" ht="15" customHeight="1" x14ac:dyDescent="0.25">
      <c r="B202" s="3" t="s">
        <v>582</v>
      </c>
      <c r="C202" s="1" t="s">
        <v>583</v>
      </c>
      <c r="D202" s="2" t="s">
        <v>635</v>
      </c>
      <c r="E202" s="1" t="s">
        <v>489</v>
      </c>
      <c r="F202" s="2" t="s">
        <v>19</v>
      </c>
      <c r="G202" s="1" t="s">
        <v>584</v>
      </c>
      <c r="H202" s="1" t="s">
        <v>3</v>
      </c>
      <c r="I202" t="str">
        <f t="shared" si="22"/>
        <v>1F</v>
      </c>
      <c r="J202" t="str">
        <f t="shared" si="23"/>
        <v xml:space="preserve">1524 </v>
      </c>
      <c r="K202" t="str">
        <f t="shared" si="24"/>
        <v xml:space="preserve">1528 </v>
      </c>
      <c r="L202" t="str">
        <f t="shared" si="25"/>
        <v>Plat 3</v>
      </c>
      <c r="M202" s="8" t="str">
        <f t="shared" si="26"/>
        <v>3</v>
      </c>
      <c r="N202" t="s">
        <v>636</v>
      </c>
      <c r="O202" t="s">
        <v>1028</v>
      </c>
      <c r="P202" t="s">
        <v>1029</v>
      </c>
      <c r="Q202" t="s">
        <v>1030</v>
      </c>
      <c r="R202" t="s">
        <v>1031</v>
      </c>
      <c r="S202" t="s">
        <v>1032</v>
      </c>
      <c r="T202" t="s">
        <v>1033</v>
      </c>
      <c r="U202" t="s">
        <v>1034</v>
      </c>
      <c r="V202" t="s">
        <v>19</v>
      </c>
    </row>
    <row r="203" spans="2:22" ht="15" customHeight="1" x14ac:dyDescent="0.25">
      <c r="B203" s="3" t="s">
        <v>585</v>
      </c>
      <c r="C203" s="1" t="s">
        <v>586</v>
      </c>
      <c r="D203" s="2" t="s">
        <v>636</v>
      </c>
      <c r="E203" s="1" t="s">
        <v>492</v>
      </c>
      <c r="F203" s="2" t="s">
        <v>635</v>
      </c>
      <c r="G203" s="1" t="s">
        <v>587</v>
      </c>
      <c r="H203" s="1" t="s">
        <v>3</v>
      </c>
      <c r="I203" t="str">
        <f t="shared" si="22"/>
        <v>1L</v>
      </c>
      <c r="J203" t="str">
        <f t="shared" si="23"/>
        <v xml:space="preserve">1526 </v>
      </c>
      <c r="K203" t="str">
        <f t="shared" si="24"/>
        <v xml:space="preserve">1530 </v>
      </c>
      <c r="L203" t="str">
        <f t="shared" si="25"/>
        <v>Plat 1</v>
      </c>
      <c r="M203" s="8" t="str">
        <f t="shared" si="26"/>
        <v>1</v>
      </c>
      <c r="N203" t="s">
        <v>635</v>
      </c>
    </row>
    <row r="204" spans="2:22" ht="15" customHeight="1" x14ac:dyDescent="0.25">
      <c r="B204" s="3" t="s">
        <v>588</v>
      </c>
      <c r="C204" s="1" t="s">
        <v>589</v>
      </c>
      <c r="D204" s="2" t="s">
        <v>635</v>
      </c>
      <c r="E204" s="1" t="s">
        <v>490</v>
      </c>
      <c r="F204" s="2" t="s">
        <v>636</v>
      </c>
      <c r="G204" s="1" t="s">
        <v>590</v>
      </c>
      <c r="H204" s="1" t="s">
        <v>3</v>
      </c>
      <c r="I204" t="str">
        <f t="shared" si="22"/>
        <v>1L</v>
      </c>
      <c r="J204" t="str">
        <f t="shared" si="23"/>
        <v xml:space="preserve">1531 </v>
      </c>
      <c r="K204" t="str">
        <f t="shared" si="24"/>
        <v xml:space="preserve">1535 </v>
      </c>
      <c r="L204" t="str">
        <f t="shared" si="25"/>
        <v>Plat 4</v>
      </c>
      <c r="M204" s="8" t="str">
        <f t="shared" si="26"/>
        <v>4</v>
      </c>
      <c r="N204" t="s">
        <v>636</v>
      </c>
    </row>
    <row r="205" spans="2:22" ht="15" customHeight="1" x14ac:dyDescent="0.25">
      <c r="B205" s="3" t="s">
        <v>591</v>
      </c>
      <c r="C205" s="1" t="s">
        <v>592</v>
      </c>
      <c r="D205" s="2" t="s">
        <v>636</v>
      </c>
      <c r="E205" s="1" t="s">
        <v>491</v>
      </c>
      <c r="F205" s="2" t="s">
        <v>635</v>
      </c>
      <c r="G205" s="1" t="s">
        <v>593</v>
      </c>
      <c r="H205" s="1" t="s">
        <v>3</v>
      </c>
      <c r="I205" t="str">
        <f t="shared" si="22"/>
        <v>1F</v>
      </c>
      <c r="J205" t="str">
        <f t="shared" si="23"/>
        <v xml:space="preserve">1533 </v>
      </c>
      <c r="K205" t="str">
        <f t="shared" si="24"/>
        <v xml:space="preserve">1537 </v>
      </c>
      <c r="L205" t="str">
        <f t="shared" si="25"/>
        <v>Plat 2</v>
      </c>
      <c r="M205" s="8" t="str">
        <f t="shared" si="26"/>
        <v>2</v>
      </c>
      <c r="N205" t="s">
        <v>635</v>
      </c>
    </row>
    <row r="206" spans="2:22" ht="15" customHeight="1" x14ac:dyDescent="0.25">
      <c r="B206" s="3" t="s">
        <v>594</v>
      </c>
      <c r="C206" s="1" t="s">
        <v>595</v>
      </c>
      <c r="D206" s="2" t="s">
        <v>635</v>
      </c>
      <c r="E206" s="1" t="s">
        <v>489</v>
      </c>
      <c r="F206" s="2" t="s">
        <v>636</v>
      </c>
      <c r="G206" s="1" t="s">
        <v>596</v>
      </c>
      <c r="H206" s="1" t="s">
        <v>3</v>
      </c>
      <c r="I206" t="str">
        <f t="shared" si="22"/>
        <v>1F</v>
      </c>
      <c r="J206" t="str">
        <f t="shared" si="23"/>
        <v xml:space="preserve">1538 </v>
      </c>
      <c r="K206" t="str">
        <f t="shared" si="24"/>
        <v xml:space="preserve">1542 </v>
      </c>
      <c r="L206" t="str">
        <f t="shared" si="25"/>
        <v>Plat 3</v>
      </c>
      <c r="M206" s="8" t="str">
        <f t="shared" si="26"/>
        <v>3</v>
      </c>
      <c r="N206" t="s">
        <v>636</v>
      </c>
    </row>
    <row r="207" spans="2:22" ht="15" customHeight="1" x14ac:dyDescent="0.25">
      <c r="B207" s="3" t="s">
        <v>597</v>
      </c>
      <c r="C207" s="1" t="s">
        <v>598</v>
      </c>
      <c r="D207" s="2" t="s">
        <v>637</v>
      </c>
      <c r="E207" s="1" t="s">
        <v>492</v>
      </c>
      <c r="F207" s="2" t="s">
        <v>635</v>
      </c>
      <c r="G207" s="1" t="s">
        <v>599</v>
      </c>
      <c r="H207" s="1" t="s">
        <v>3</v>
      </c>
      <c r="I207" t="str">
        <f t="shared" si="22"/>
        <v>1J</v>
      </c>
      <c r="J207" t="str">
        <f t="shared" si="23"/>
        <v>1544½</v>
      </c>
      <c r="K207" t="str">
        <f t="shared" si="24"/>
        <v>1548½</v>
      </c>
      <c r="L207" t="str">
        <f t="shared" si="25"/>
        <v>Plat 1</v>
      </c>
      <c r="M207" s="8" t="str">
        <f t="shared" si="26"/>
        <v>1</v>
      </c>
      <c r="N207" t="s">
        <v>635</v>
      </c>
    </row>
    <row r="208" spans="2:22" ht="15" customHeight="1" x14ac:dyDescent="0.25">
      <c r="B208" s="3" t="s">
        <v>600</v>
      </c>
      <c r="C208" s="1" t="s">
        <v>601</v>
      </c>
      <c r="D208" s="2" t="s">
        <v>635</v>
      </c>
      <c r="E208" s="1" t="s">
        <v>490</v>
      </c>
      <c r="F208" s="2" t="s">
        <v>637</v>
      </c>
      <c r="G208" s="1" t="s">
        <v>602</v>
      </c>
      <c r="H208" s="1" t="s">
        <v>3</v>
      </c>
      <c r="I208" t="str">
        <f t="shared" si="22"/>
        <v>1J</v>
      </c>
      <c r="J208" t="str">
        <f t="shared" si="23"/>
        <v xml:space="preserve">1545 </v>
      </c>
      <c r="K208" t="str">
        <f t="shared" si="24"/>
        <v xml:space="preserve">1549 </v>
      </c>
      <c r="L208" t="str">
        <f t="shared" si="25"/>
        <v>Plat 4</v>
      </c>
      <c r="M208" s="8" t="str">
        <f t="shared" si="26"/>
        <v>4</v>
      </c>
      <c r="N208" t="s">
        <v>636</v>
      </c>
      <c r="O208" t="s">
        <v>637</v>
      </c>
    </row>
    <row r="209" spans="2:22" ht="15" customHeight="1" x14ac:dyDescent="0.25">
      <c r="B209" s="3" t="s">
        <v>603</v>
      </c>
      <c r="C209" s="1" t="s">
        <v>604</v>
      </c>
      <c r="D209" s="2" t="s">
        <v>636</v>
      </c>
      <c r="E209" s="1" t="s">
        <v>491</v>
      </c>
      <c r="F209" s="2" t="s">
        <v>635</v>
      </c>
      <c r="G209" s="1" t="s">
        <v>605</v>
      </c>
      <c r="H209" s="1" t="s">
        <v>3</v>
      </c>
      <c r="I209" t="str">
        <f t="shared" si="22"/>
        <v>1H</v>
      </c>
      <c r="J209" t="str">
        <f t="shared" si="23"/>
        <v xml:space="preserve">1550 </v>
      </c>
      <c r="K209" t="str">
        <f t="shared" si="24"/>
        <v xml:space="preserve">1555 </v>
      </c>
      <c r="L209" t="str">
        <f t="shared" si="25"/>
        <v>Plat 2</v>
      </c>
      <c r="M209" s="8" t="str">
        <f t="shared" si="26"/>
        <v>2</v>
      </c>
      <c r="N209" t="s">
        <v>635</v>
      </c>
    </row>
    <row r="210" spans="2:22" ht="15" customHeight="1" x14ac:dyDescent="0.25">
      <c r="B210" s="3" t="s">
        <v>606</v>
      </c>
      <c r="C210" s="1" t="s">
        <v>607</v>
      </c>
      <c r="D210" s="2" t="s">
        <v>635</v>
      </c>
      <c r="E210" s="1" t="s">
        <v>489</v>
      </c>
      <c r="F210" s="2" t="s">
        <v>636</v>
      </c>
      <c r="G210" s="1" t="s">
        <v>608</v>
      </c>
      <c r="H210" s="1" t="s">
        <v>3</v>
      </c>
      <c r="I210" t="str">
        <f t="shared" si="22"/>
        <v>1L</v>
      </c>
      <c r="J210" t="str">
        <f t="shared" si="23"/>
        <v xml:space="preserve">1552 </v>
      </c>
      <c r="K210" t="str">
        <f t="shared" si="24"/>
        <v xml:space="preserve">1556 </v>
      </c>
      <c r="L210" t="str">
        <f t="shared" si="25"/>
        <v>Plat 3</v>
      </c>
      <c r="M210" s="8" t="str">
        <f t="shared" si="26"/>
        <v>3</v>
      </c>
      <c r="N210" t="s">
        <v>636</v>
      </c>
    </row>
    <row r="211" spans="2:22" ht="15" customHeight="1" x14ac:dyDescent="0.25">
      <c r="B211" s="3" t="s">
        <v>609</v>
      </c>
      <c r="C211" s="1" t="s">
        <v>610</v>
      </c>
      <c r="D211" s="2" t="s">
        <v>19</v>
      </c>
      <c r="E211" s="1" t="s">
        <v>492</v>
      </c>
      <c r="F211" s="2" t="s">
        <v>635</v>
      </c>
      <c r="G211" s="1" t="s">
        <v>611</v>
      </c>
      <c r="H211" s="1" t="s">
        <v>3</v>
      </c>
      <c r="I211" t="str">
        <f t="shared" si="22"/>
        <v>1F</v>
      </c>
      <c r="J211" t="str">
        <f t="shared" si="23"/>
        <v xml:space="preserve">1558 </v>
      </c>
      <c r="K211" t="str">
        <f t="shared" si="24"/>
        <v xml:space="preserve">1602 </v>
      </c>
      <c r="L211" t="str">
        <f t="shared" si="25"/>
        <v>Plat 1</v>
      </c>
      <c r="M211" s="8" t="str">
        <f t="shared" si="26"/>
        <v>1</v>
      </c>
      <c r="N211" t="s">
        <v>635</v>
      </c>
    </row>
    <row r="212" spans="2:22" ht="15" customHeight="1" x14ac:dyDescent="0.25">
      <c r="B212" s="3" t="s">
        <v>612</v>
      </c>
      <c r="C212" s="1" t="s">
        <v>613</v>
      </c>
      <c r="D212" s="2" t="s">
        <v>635</v>
      </c>
      <c r="E212" s="1" t="s">
        <v>490</v>
      </c>
      <c r="F212" s="2" t="s">
        <v>636</v>
      </c>
      <c r="G212" s="1" t="s">
        <v>614</v>
      </c>
      <c r="H212" s="1" t="s">
        <v>3</v>
      </c>
      <c r="I212" t="str">
        <f t="shared" si="22"/>
        <v>1H</v>
      </c>
      <c r="J212" t="str">
        <f t="shared" si="23"/>
        <v xml:space="preserve">1559 </v>
      </c>
      <c r="K212" t="str">
        <f t="shared" si="24"/>
        <v xml:space="preserve">1603 </v>
      </c>
      <c r="L212" t="str">
        <f t="shared" si="25"/>
        <v>Plat 4</v>
      </c>
      <c r="M212" s="8" t="str">
        <f t="shared" si="26"/>
        <v>4</v>
      </c>
      <c r="N212" t="s">
        <v>636</v>
      </c>
    </row>
    <row r="213" spans="2:22" ht="15" customHeight="1" x14ac:dyDescent="0.25">
      <c r="B213" s="3" t="s">
        <v>615</v>
      </c>
      <c r="C213" s="1" t="s">
        <v>616</v>
      </c>
      <c r="D213" s="2" t="s">
        <v>636</v>
      </c>
      <c r="E213" s="1" t="s">
        <v>491</v>
      </c>
      <c r="F213" s="2" t="s">
        <v>635</v>
      </c>
      <c r="G213" s="1" t="s">
        <v>617</v>
      </c>
      <c r="H213" s="1" t="s">
        <v>3</v>
      </c>
      <c r="I213" t="str">
        <f t="shared" si="22"/>
        <v>1L</v>
      </c>
      <c r="J213" t="str">
        <f t="shared" si="23"/>
        <v xml:space="preserve">1605 </v>
      </c>
      <c r="K213" t="str">
        <f t="shared" si="24"/>
        <v xml:space="preserve">1610 </v>
      </c>
      <c r="L213" t="str">
        <f t="shared" si="25"/>
        <v>Plat 2</v>
      </c>
      <c r="M213" s="8" t="str">
        <f t="shared" si="26"/>
        <v>2</v>
      </c>
      <c r="N213" t="s">
        <v>635</v>
      </c>
    </row>
    <row r="214" spans="2:22" ht="15" customHeight="1" x14ac:dyDescent="0.25">
      <c r="B214" s="3" t="s">
        <v>618</v>
      </c>
      <c r="C214" s="1" t="s">
        <v>617</v>
      </c>
      <c r="D214" s="2" t="s">
        <v>635</v>
      </c>
      <c r="E214" s="1" t="s">
        <v>489</v>
      </c>
      <c r="F214" s="2" t="s">
        <v>637</v>
      </c>
      <c r="G214" s="1" t="s">
        <v>619</v>
      </c>
      <c r="H214" s="1" t="s">
        <v>3</v>
      </c>
      <c r="I214" t="str">
        <f t="shared" si="22"/>
        <v>1J</v>
      </c>
      <c r="J214" t="str">
        <f t="shared" si="23"/>
        <v xml:space="preserve">1610 </v>
      </c>
      <c r="K214" t="str">
        <f t="shared" si="24"/>
        <v xml:space="preserve">1614 </v>
      </c>
      <c r="L214" t="str">
        <f t="shared" si="25"/>
        <v>Plat 3</v>
      </c>
      <c r="M214" s="8" t="str">
        <f t="shared" si="26"/>
        <v>3</v>
      </c>
      <c r="N214" t="s">
        <v>636</v>
      </c>
      <c r="O214" t="s">
        <v>637</v>
      </c>
    </row>
    <row r="215" spans="2:22" ht="15" customHeight="1" x14ac:dyDescent="0.25">
      <c r="B215" s="3" t="s">
        <v>620</v>
      </c>
      <c r="C215" s="1" t="s">
        <v>621</v>
      </c>
      <c r="D215" s="2" t="s">
        <v>636</v>
      </c>
      <c r="E215" s="1" t="s">
        <v>492</v>
      </c>
      <c r="F215" s="2" t="s">
        <v>635</v>
      </c>
      <c r="G215" s="1" t="s">
        <v>622</v>
      </c>
      <c r="H215" s="1" t="s">
        <v>3</v>
      </c>
      <c r="I215" t="str">
        <f t="shared" si="22"/>
        <v>1H</v>
      </c>
      <c r="J215" t="str">
        <f t="shared" si="23"/>
        <v xml:space="preserve">1612 </v>
      </c>
      <c r="K215" t="str">
        <f t="shared" si="24"/>
        <v xml:space="preserve">1616 </v>
      </c>
      <c r="L215" t="str">
        <f t="shared" si="25"/>
        <v>Plat 1</v>
      </c>
      <c r="M215" s="8" t="str">
        <f t="shared" si="26"/>
        <v>1</v>
      </c>
      <c r="N215" t="s">
        <v>635</v>
      </c>
    </row>
    <row r="216" spans="2:22" ht="15" customHeight="1" x14ac:dyDescent="0.25">
      <c r="B216" s="3" t="s">
        <v>623</v>
      </c>
      <c r="C216" s="1" t="s">
        <v>624</v>
      </c>
      <c r="D216" s="2" t="s">
        <v>635</v>
      </c>
      <c r="E216" s="1" t="s">
        <v>490</v>
      </c>
      <c r="F216" s="2" t="s">
        <v>636</v>
      </c>
      <c r="G216" s="1" t="s">
        <v>625</v>
      </c>
      <c r="H216" s="1" t="s">
        <v>3</v>
      </c>
      <c r="I216" t="str">
        <f t="shared" si="22"/>
        <v>1H</v>
      </c>
      <c r="J216" t="str">
        <f t="shared" si="23"/>
        <v xml:space="preserve">1617 </v>
      </c>
      <c r="K216" t="str">
        <f t="shared" si="24"/>
        <v xml:space="preserve">1621 </v>
      </c>
      <c r="L216" t="str">
        <f t="shared" si="25"/>
        <v>Plat 4</v>
      </c>
      <c r="M216" s="8" t="str">
        <f t="shared" si="26"/>
        <v>4</v>
      </c>
      <c r="N216" t="s">
        <v>636</v>
      </c>
    </row>
    <row r="217" spans="2:22" ht="15" customHeight="1" x14ac:dyDescent="0.25">
      <c r="B217" s="3" t="s">
        <v>626</v>
      </c>
      <c r="C217" s="1" t="s">
        <v>627</v>
      </c>
      <c r="D217" s="2" t="s">
        <v>637</v>
      </c>
      <c r="E217" s="1" t="s">
        <v>491</v>
      </c>
      <c r="F217" s="2" t="s">
        <v>635</v>
      </c>
      <c r="G217" s="1" t="s">
        <v>628</v>
      </c>
      <c r="H217" s="1" t="s">
        <v>3</v>
      </c>
      <c r="I217" t="str">
        <f t="shared" si="22"/>
        <v>1J</v>
      </c>
      <c r="J217" t="str">
        <f t="shared" si="23"/>
        <v xml:space="preserve">1619 </v>
      </c>
      <c r="K217" t="str">
        <f t="shared" si="24"/>
        <v xml:space="preserve">1623 </v>
      </c>
      <c r="L217" t="str">
        <f t="shared" si="25"/>
        <v>Plat 2</v>
      </c>
      <c r="M217" s="8" t="str">
        <f t="shared" si="26"/>
        <v>2</v>
      </c>
      <c r="N217" t="s">
        <v>635</v>
      </c>
    </row>
    <row r="218" spans="2:22" ht="15" customHeight="1" x14ac:dyDescent="0.25">
      <c r="B218" s="3" t="s">
        <v>629</v>
      </c>
      <c r="C218" s="1" t="s">
        <v>630</v>
      </c>
      <c r="D218" s="2" t="s">
        <v>635</v>
      </c>
      <c r="E218" s="1" t="s">
        <v>489</v>
      </c>
      <c r="F218" s="2" t="s">
        <v>19</v>
      </c>
      <c r="G218" s="1" t="s">
        <v>631</v>
      </c>
      <c r="H218" s="1" t="s">
        <v>3</v>
      </c>
      <c r="I218" t="str">
        <f t="shared" si="22"/>
        <v>1F</v>
      </c>
      <c r="J218" t="str">
        <f t="shared" si="23"/>
        <v xml:space="preserve">1624 </v>
      </c>
      <c r="K218" t="str">
        <f t="shared" si="24"/>
        <v xml:space="preserve">1628 </v>
      </c>
      <c r="L218" t="str">
        <f t="shared" si="25"/>
        <v>Plat 3</v>
      </c>
      <c r="M218" s="8" t="str">
        <f t="shared" si="26"/>
        <v>3</v>
      </c>
      <c r="N218" t="s">
        <v>636</v>
      </c>
      <c r="O218" t="s">
        <v>1028</v>
      </c>
      <c r="P218" t="s">
        <v>1029</v>
      </c>
      <c r="Q218" t="s">
        <v>1030</v>
      </c>
      <c r="R218" t="s">
        <v>1031</v>
      </c>
      <c r="S218" t="s">
        <v>1032</v>
      </c>
      <c r="T218" t="s">
        <v>1033</v>
      </c>
      <c r="U218" t="s">
        <v>1034</v>
      </c>
      <c r="V218" t="s">
        <v>19</v>
      </c>
    </row>
    <row r="219" spans="2:22" ht="15" customHeight="1" x14ac:dyDescent="0.25">
      <c r="B219" s="3" t="s">
        <v>632</v>
      </c>
      <c r="C219" s="1" t="s">
        <v>633</v>
      </c>
      <c r="D219" s="2" t="s">
        <v>636</v>
      </c>
      <c r="E219" s="1" t="s">
        <v>492</v>
      </c>
      <c r="F219" s="2" t="s">
        <v>635</v>
      </c>
      <c r="G219" s="1" t="s">
        <v>634</v>
      </c>
      <c r="H219" s="1" t="s">
        <v>3</v>
      </c>
      <c r="I219" t="str">
        <f t="shared" si="22"/>
        <v>1L</v>
      </c>
      <c r="J219" t="str">
        <f t="shared" si="23"/>
        <v xml:space="preserve">1626 </v>
      </c>
      <c r="K219" t="str">
        <f t="shared" si="24"/>
        <v xml:space="preserve">1630 </v>
      </c>
      <c r="L219" t="str">
        <f t="shared" si="25"/>
        <v>Plat 1</v>
      </c>
      <c r="M219" s="8" t="str">
        <f t="shared" si="26"/>
        <v>1</v>
      </c>
      <c r="N219" t="s">
        <v>635</v>
      </c>
    </row>
    <row r="220" spans="2:22" ht="15" customHeight="1" x14ac:dyDescent="0.25">
      <c r="B220" s="3" t="s">
        <v>645</v>
      </c>
      <c r="C220" s="1" t="s">
        <v>646</v>
      </c>
      <c r="D220" s="2" t="s">
        <v>635</v>
      </c>
      <c r="E220" s="1" t="s">
        <v>490</v>
      </c>
      <c r="F220" s="2" t="s">
        <v>636</v>
      </c>
      <c r="G220" s="1" t="s">
        <v>647</v>
      </c>
      <c r="H220" s="1" t="s">
        <v>3</v>
      </c>
      <c r="I220" t="str">
        <f t="shared" si="22"/>
        <v>1L</v>
      </c>
      <c r="J220" t="str">
        <f t="shared" si="23"/>
        <v xml:space="preserve">1631 </v>
      </c>
      <c r="K220" t="str">
        <f t="shared" si="24"/>
        <v xml:space="preserve">1635 </v>
      </c>
      <c r="L220" t="str">
        <f t="shared" si="25"/>
        <v>Plat 4</v>
      </c>
      <c r="M220" s="8" t="str">
        <f t="shared" si="26"/>
        <v>4</v>
      </c>
      <c r="N220" t="s">
        <v>636</v>
      </c>
    </row>
    <row r="221" spans="2:22" ht="15" customHeight="1" x14ac:dyDescent="0.25">
      <c r="B221" s="3" t="s">
        <v>648</v>
      </c>
      <c r="C221" s="1" t="s">
        <v>649</v>
      </c>
      <c r="D221" s="2" t="s">
        <v>636</v>
      </c>
      <c r="E221" s="1" t="s">
        <v>491</v>
      </c>
      <c r="F221" s="2" t="s">
        <v>635</v>
      </c>
      <c r="G221" s="1" t="s">
        <v>650</v>
      </c>
      <c r="H221" s="1" t="s">
        <v>3</v>
      </c>
      <c r="I221" t="str">
        <f t="shared" si="22"/>
        <v>1F</v>
      </c>
      <c r="J221" t="str">
        <f t="shared" si="23"/>
        <v xml:space="preserve">1633 </v>
      </c>
      <c r="K221" t="str">
        <f t="shared" si="24"/>
        <v xml:space="preserve">1637 </v>
      </c>
      <c r="L221" t="str">
        <f t="shared" si="25"/>
        <v>Plat 2</v>
      </c>
      <c r="M221" s="8" t="str">
        <f t="shared" si="26"/>
        <v>2</v>
      </c>
      <c r="N221" t="s">
        <v>635</v>
      </c>
    </row>
    <row r="222" spans="2:22" ht="15" customHeight="1" x14ac:dyDescent="0.25">
      <c r="B222" s="3" t="s">
        <v>651</v>
      </c>
      <c r="C222" s="1" t="s">
        <v>652</v>
      </c>
      <c r="D222" s="2" t="s">
        <v>635</v>
      </c>
      <c r="E222" s="1" t="s">
        <v>489</v>
      </c>
      <c r="F222" s="2" t="s">
        <v>636</v>
      </c>
      <c r="G222" s="1" t="s">
        <v>653</v>
      </c>
      <c r="H222" s="1" t="s">
        <v>3</v>
      </c>
      <c r="I222" t="str">
        <f t="shared" si="22"/>
        <v>1F</v>
      </c>
      <c r="J222" t="str">
        <f t="shared" si="23"/>
        <v xml:space="preserve">1638 </v>
      </c>
      <c r="K222" t="str">
        <f t="shared" si="24"/>
        <v xml:space="preserve">1642 </v>
      </c>
      <c r="L222" t="str">
        <f t="shared" si="25"/>
        <v>Plat 3</v>
      </c>
      <c r="M222" s="8" t="str">
        <f t="shared" si="26"/>
        <v>3</v>
      </c>
      <c r="N222" t="s">
        <v>636</v>
      </c>
    </row>
    <row r="223" spans="2:22" ht="15" customHeight="1" x14ac:dyDescent="0.25">
      <c r="B223" s="3" t="s">
        <v>654</v>
      </c>
      <c r="C223" s="1" t="s">
        <v>655</v>
      </c>
      <c r="D223" s="2" t="s">
        <v>637</v>
      </c>
      <c r="E223" s="1" t="s">
        <v>492</v>
      </c>
      <c r="F223" s="2" t="s">
        <v>635</v>
      </c>
      <c r="G223" s="1" t="s">
        <v>656</v>
      </c>
      <c r="H223" s="1" t="s">
        <v>3</v>
      </c>
      <c r="I223" t="str">
        <f t="shared" si="22"/>
        <v>1J</v>
      </c>
      <c r="J223" t="str">
        <f t="shared" si="23"/>
        <v>1644½</v>
      </c>
      <c r="K223" t="str">
        <f t="shared" si="24"/>
        <v>1648½</v>
      </c>
      <c r="L223" t="str">
        <f t="shared" si="25"/>
        <v>Plat 1</v>
      </c>
      <c r="M223" s="8" t="str">
        <f t="shared" si="26"/>
        <v>1</v>
      </c>
      <c r="N223" t="s">
        <v>635</v>
      </c>
    </row>
    <row r="224" spans="2:22" ht="15" customHeight="1" x14ac:dyDescent="0.25">
      <c r="B224" s="3" t="s">
        <v>657</v>
      </c>
      <c r="C224" s="1" t="s">
        <v>658</v>
      </c>
      <c r="D224" s="2" t="s">
        <v>635</v>
      </c>
      <c r="E224" s="1" t="s">
        <v>490</v>
      </c>
      <c r="F224" s="2" t="s">
        <v>637</v>
      </c>
      <c r="G224" s="1" t="s">
        <v>659</v>
      </c>
      <c r="H224" s="1" t="s">
        <v>3</v>
      </c>
      <c r="I224" t="str">
        <f t="shared" si="22"/>
        <v>1J</v>
      </c>
      <c r="J224" t="str">
        <f t="shared" si="23"/>
        <v xml:space="preserve">1645 </v>
      </c>
      <c r="K224" t="str">
        <f t="shared" si="24"/>
        <v xml:space="preserve">1649 </v>
      </c>
      <c r="L224" t="str">
        <f t="shared" si="25"/>
        <v>Plat 4</v>
      </c>
      <c r="M224" s="8" t="str">
        <f t="shared" si="26"/>
        <v>4</v>
      </c>
      <c r="N224" t="s">
        <v>636</v>
      </c>
      <c r="O224" t="s">
        <v>637</v>
      </c>
    </row>
    <row r="225" spans="2:22" ht="15" customHeight="1" x14ac:dyDescent="0.25">
      <c r="B225" s="3" t="s">
        <v>660</v>
      </c>
      <c r="C225" s="1" t="s">
        <v>661</v>
      </c>
      <c r="D225" s="2" t="s">
        <v>636</v>
      </c>
      <c r="E225" s="1" t="s">
        <v>491</v>
      </c>
      <c r="F225" s="2" t="s">
        <v>635</v>
      </c>
      <c r="G225" s="1" t="s">
        <v>662</v>
      </c>
      <c r="H225" s="1" t="s">
        <v>3</v>
      </c>
      <c r="I225" t="str">
        <f t="shared" si="22"/>
        <v>1H</v>
      </c>
      <c r="J225" t="str">
        <f t="shared" si="23"/>
        <v xml:space="preserve">1651 </v>
      </c>
      <c r="K225" t="str">
        <f t="shared" si="24"/>
        <v xml:space="preserve">1655 </v>
      </c>
      <c r="L225" t="str">
        <f t="shared" si="25"/>
        <v>Plat 2</v>
      </c>
      <c r="M225" s="8" t="str">
        <f t="shared" si="26"/>
        <v>2</v>
      </c>
      <c r="N225" t="s">
        <v>635</v>
      </c>
    </row>
    <row r="226" spans="2:22" ht="15" customHeight="1" x14ac:dyDescent="0.25">
      <c r="B226" s="3" t="s">
        <v>663</v>
      </c>
      <c r="C226" s="1" t="s">
        <v>664</v>
      </c>
      <c r="D226" s="2" t="s">
        <v>635</v>
      </c>
      <c r="E226" s="1" t="s">
        <v>489</v>
      </c>
      <c r="F226" s="2" t="s">
        <v>636</v>
      </c>
      <c r="G226" s="1" t="s">
        <v>665</v>
      </c>
      <c r="H226" s="1" t="s">
        <v>3</v>
      </c>
      <c r="I226" t="str">
        <f t="shared" si="22"/>
        <v>1L</v>
      </c>
      <c r="J226" t="str">
        <f t="shared" si="23"/>
        <v xml:space="preserve">1652 </v>
      </c>
      <c r="K226" t="str">
        <f t="shared" si="24"/>
        <v xml:space="preserve">1656 </v>
      </c>
      <c r="L226" t="str">
        <f t="shared" si="25"/>
        <v>Plat 3</v>
      </c>
      <c r="M226" s="8" t="str">
        <f t="shared" si="26"/>
        <v>3</v>
      </c>
      <c r="N226" t="s">
        <v>636</v>
      </c>
    </row>
    <row r="227" spans="2:22" ht="15" customHeight="1" x14ac:dyDescent="0.25">
      <c r="B227" s="3" t="s">
        <v>666</v>
      </c>
      <c r="C227" s="1" t="s">
        <v>667</v>
      </c>
      <c r="D227" s="2" t="s">
        <v>19</v>
      </c>
      <c r="E227" s="1" t="s">
        <v>492</v>
      </c>
      <c r="F227" s="2" t="s">
        <v>635</v>
      </c>
      <c r="G227" s="1" t="s">
        <v>668</v>
      </c>
      <c r="H227" s="1" t="s">
        <v>3</v>
      </c>
      <c r="I227" t="str">
        <f t="shared" si="22"/>
        <v>1F</v>
      </c>
      <c r="J227" t="str">
        <f t="shared" si="23"/>
        <v xml:space="preserve">1658 </v>
      </c>
      <c r="K227" t="str">
        <f t="shared" si="24"/>
        <v xml:space="preserve">1702 </v>
      </c>
      <c r="L227" t="str">
        <f t="shared" si="25"/>
        <v>Plat 1</v>
      </c>
      <c r="M227" s="8" t="str">
        <f t="shared" si="26"/>
        <v>1</v>
      </c>
      <c r="N227" t="s">
        <v>635</v>
      </c>
    </row>
    <row r="228" spans="2:22" ht="15" customHeight="1" x14ac:dyDescent="0.25">
      <c r="B228" s="3" t="s">
        <v>669</v>
      </c>
      <c r="C228" s="1" t="s">
        <v>670</v>
      </c>
      <c r="D228" s="2" t="s">
        <v>635</v>
      </c>
      <c r="E228" s="1" t="s">
        <v>490</v>
      </c>
      <c r="F228" s="2" t="s">
        <v>636</v>
      </c>
      <c r="G228" s="1" t="s">
        <v>671</v>
      </c>
      <c r="H228" s="1" t="s">
        <v>3</v>
      </c>
      <c r="I228" t="str">
        <f t="shared" si="22"/>
        <v>1H</v>
      </c>
      <c r="J228" t="str">
        <f t="shared" si="23"/>
        <v xml:space="preserve">1659 </v>
      </c>
      <c r="K228" t="str">
        <f t="shared" si="24"/>
        <v xml:space="preserve">1703 </v>
      </c>
      <c r="L228" t="str">
        <f t="shared" si="25"/>
        <v>Plat 4</v>
      </c>
      <c r="M228" s="8" t="str">
        <f t="shared" si="26"/>
        <v>4</v>
      </c>
      <c r="N228" t="s">
        <v>636</v>
      </c>
    </row>
    <row r="229" spans="2:22" ht="15" customHeight="1" x14ac:dyDescent="0.25">
      <c r="B229" s="3" t="s">
        <v>672</v>
      </c>
      <c r="C229" s="1" t="s">
        <v>673</v>
      </c>
      <c r="D229" s="2" t="s">
        <v>636</v>
      </c>
      <c r="E229" s="1" t="s">
        <v>491</v>
      </c>
      <c r="F229" s="2" t="s">
        <v>635</v>
      </c>
      <c r="G229" s="1" t="s">
        <v>674</v>
      </c>
      <c r="H229" s="1" t="s">
        <v>3</v>
      </c>
      <c r="I229" t="str">
        <f t="shared" si="22"/>
        <v>1L</v>
      </c>
      <c r="J229" t="str">
        <f t="shared" si="23"/>
        <v xml:space="preserve">1705 </v>
      </c>
      <c r="K229" t="str">
        <f t="shared" si="24"/>
        <v xml:space="preserve">1709 </v>
      </c>
      <c r="L229" t="str">
        <f t="shared" si="25"/>
        <v>Plat 2</v>
      </c>
      <c r="M229" s="8" t="str">
        <f t="shared" si="26"/>
        <v>2</v>
      </c>
      <c r="N229" t="s">
        <v>635</v>
      </c>
    </row>
    <row r="230" spans="2:22" ht="15" customHeight="1" x14ac:dyDescent="0.25">
      <c r="B230" s="3" t="s">
        <v>675</v>
      </c>
      <c r="C230" s="1" t="s">
        <v>676</v>
      </c>
      <c r="D230" s="2" t="s">
        <v>635</v>
      </c>
      <c r="E230" s="1" t="s">
        <v>489</v>
      </c>
      <c r="F230" s="2" t="s">
        <v>637</v>
      </c>
      <c r="G230" s="1" t="s">
        <v>677</v>
      </c>
      <c r="H230" s="1" t="s">
        <v>3</v>
      </c>
      <c r="I230" t="str">
        <f t="shared" si="22"/>
        <v>1J</v>
      </c>
      <c r="J230" t="str">
        <f t="shared" si="23"/>
        <v xml:space="preserve">1710 </v>
      </c>
      <c r="K230" t="str">
        <f t="shared" si="24"/>
        <v xml:space="preserve">1714 </v>
      </c>
      <c r="L230" t="str">
        <f t="shared" si="25"/>
        <v>Plat 3</v>
      </c>
      <c r="M230" s="8" t="str">
        <f t="shared" si="26"/>
        <v>3</v>
      </c>
      <c r="N230" t="s">
        <v>636</v>
      </c>
      <c r="O230" t="s">
        <v>637</v>
      </c>
    </row>
    <row r="231" spans="2:22" ht="15" customHeight="1" x14ac:dyDescent="0.25">
      <c r="B231" s="3" t="s">
        <v>678</v>
      </c>
      <c r="C231" s="1" t="s">
        <v>679</v>
      </c>
      <c r="D231" s="2" t="s">
        <v>636</v>
      </c>
      <c r="E231" s="1" t="s">
        <v>492</v>
      </c>
      <c r="F231" s="2" t="s">
        <v>635</v>
      </c>
      <c r="G231" s="1" t="s">
        <v>680</v>
      </c>
      <c r="H231" s="1" t="s">
        <v>3</v>
      </c>
      <c r="I231" t="str">
        <f t="shared" si="22"/>
        <v>1H</v>
      </c>
      <c r="J231" t="str">
        <f t="shared" si="23"/>
        <v xml:space="preserve">1712 </v>
      </c>
      <c r="K231" t="str">
        <f t="shared" si="24"/>
        <v xml:space="preserve">1716 </v>
      </c>
      <c r="L231" t="str">
        <f t="shared" si="25"/>
        <v>Plat 1</v>
      </c>
      <c r="M231" s="8" t="str">
        <f t="shared" si="26"/>
        <v>1</v>
      </c>
      <c r="N231" t="s">
        <v>635</v>
      </c>
    </row>
    <row r="232" spans="2:22" ht="15" customHeight="1" x14ac:dyDescent="0.25">
      <c r="B232" s="3" t="s">
        <v>681</v>
      </c>
      <c r="C232" s="1" t="s">
        <v>682</v>
      </c>
      <c r="D232" s="2" t="s">
        <v>635</v>
      </c>
      <c r="E232" s="1" t="s">
        <v>490</v>
      </c>
      <c r="F232" s="2" t="s">
        <v>636</v>
      </c>
      <c r="G232" s="1" t="s">
        <v>683</v>
      </c>
      <c r="H232" s="1" t="s">
        <v>3</v>
      </c>
      <c r="I232" t="str">
        <f t="shared" si="22"/>
        <v>1H</v>
      </c>
      <c r="J232" t="str">
        <f t="shared" si="23"/>
        <v xml:space="preserve">1717 </v>
      </c>
      <c r="K232" t="str">
        <f t="shared" si="24"/>
        <v xml:space="preserve">1721 </v>
      </c>
      <c r="L232" t="str">
        <f t="shared" si="25"/>
        <v>Plat 4</v>
      </c>
      <c r="M232" s="8" t="str">
        <f t="shared" si="26"/>
        <v>4</v>
      </c>
      <c r="N232" t="s">
        <v>636</v>
      </c>
    </row>
    <row r="233" spans="2:22" ht="15" customHeight="1" x14ac:dyDescent="0.25">
      <c r="B233" s="3" t="s">
        <v>684</v>
      </c>
      <c r="C233" s="1" t="s">
        <v>685</v>
      </c>
      <c r="D233" s="2" t="s">
        <v>637</v>
      </c>
      <c r="E233" s="1" t="s">
        <v>491</v>
      </c>
      <c r="F233" s="2" t="s">
        <v>635</v>
      </c>
      <c r="G233" s="1" t="s">
        <v>686</v>
      </c>
      <c r="H233" s="1" t="s">
        <v>3</v>
      </c>
      <c r="I233" t="str">
        <f t="shared" si="22"/>
        <v>1J</v>
      </c>
      <c r="J233" t="str">
        <f t="shared" si="23"/>
        <v xml:space="preserve">1719 </v>
      </c>
      <c r="K233" t="str">
        <f t="shared" si="24"/>
        <v xml:space="preserve">1723 </v>
      </c>
      <c r="L233" t="str">
        <f t="shared" si="25"/>
        <v>Plat 2</v>
      </c>
      <c r="M233" s="8" t="str">
        <f t="shared" si="26"/>
        <v>2</v>
      </c>
      <c r="N233" t="s">
        <v>635</v>
      </c>
    </row>
    <row r="234" spans="2:22" ht="15" customHeight="1" x14ac:dyDescent="0.25">
      <c r="B234" s="3" t="s">
        <v>687</v>
      </c>
      <c r="C234" s="1" t="s">
        <v>688</v>
      </c>
      <c r="D234" s="2" t="s">
        <v>635</v>
      </c>
      <c r="E234" s="1" t="s">
        <v>489</v>
      </c>
      <c r="F234" s="2" t="s">
        <v>19</v>
      </c>
      <c r="G234" s="1" t="s">
        <v>689</v>
      </c>
      <c r="H234" s="1" t="s">
        <v>3</v>
      </c>
      <c r="I234" t="str">
        <f t="shared" si="22"/>
        <v>1F</v>
      </c>
      <c r="J234" t="str">
        <f t="shared" si="23"/>
        <v xml:space="preserve">1724 </v>
      </c>
      <c r="K234" t="str">
        <f t="shared" si="24"/>
        <v xml:space="preserve">1728 </v>
      </c>
      <c r="L234" t="str">
        <f t="shared" si="25"/>
        <v>Plat 3</v>
      </c>
      <c r="M234" s="8" t="str">
        <f t="shared" si="26"/>
        <v>3</v>
      </c>
      <c r="N234" t="s">
        <v>636</v>
      </c>
      <c r="O234" t="s">
        <v>1028</v>
      </c>
      <c r="P234" t="s">
        <v>1029</v>
      </c>
      <c r="Q234" t="s">
        <v>1030</v>
      </c>
      <c r="R234" t="s">
        <v>1031</v>
      </c>
      <c r="S234" t="s">
        <v>1032</v>
      </c>
      <c r="T234" t="s">
        <v>1033</v>
      </c>
      <c r="U234" t="s">
        <v>1034</v>
      </c>
      <c r="V234" t="s">
        <v>19</v>
      </c>
    </row>
    <row r="235" spans="2:22" ht="15" customHeight="1" x14ac:dyDescent="0.25">
      <c r="B235" s="3" t="s">
        <v>690</v>
      </c>
      <c r="C235" s="1" t="s">
        <v>691</v>
      </c>
      <c r="D235" s="2" t="s">
        <v>636</v>
      </c>
      <c r="E235" s="1" t="s">
        <v>492</v>
      </c>
      <c r="F235" s="2" t="s">
        <v>635</v>
      </c>
      <c r="G235" s="1" t="s">
        <v>692</v>
      </c>
      <c r="H235" s="1" t="s">
        <v>3</v>
      </c>
      <c r="I235" t="str">
        <f t="shared" si="22"/>
        <v>1L</v>
      </c>
      <c r="J235" t="str">
        <f t="shared" si="23"/>
        <v xml:space="preserve">1726 </v>
      </c>
      <c r="K235" t="str">
        <f t="shared" si="24"/>
        <v xml:space="preserve">1730 </v>
      </c>
      <c r="L235" t="str">
        <f t="shared" si="25"/>
        <v>Plat 1</v>
      </c>
      <c r="M235" s="8" t="str">
        <f t="shared" si="26"/>
        <v>1</v>
      </c>
      <c r="N235" t="s">
        <v>635</v>
      </c>
    </row>
    <row r="236" spans="2:22" ht="15" customHeight="1" x14ac:dyDescent="0.25">
      <c r="B236" s="3" t="s">
        <v>693</v>
      </c>
      <c r="C236" s="1" t="s">
        <v>694</v>
      </c>
      <c r="D236" s="2" t="s">
        <v>635</v>
      </c>
      <c r="E236" s="1" t="s">
        <v>490</v>
      </c>
      <c r="F236" s="2" t="s">
        <v>636</v>
      </c>
      <c r="G236" s="1" t="s">
        <v>695</v>
      </c>
      <c r="H236" s="1" t="s">
        <v>3</v>
      </c>
      <c r="I236" t="str">
        <f t="shared" ref="I236:I291" si="27">LEFT(B236,2)</f>
        <v>1L</v>
      </c>
      <c r="J236" t="str">
        <f t="shared" ref="J236:J291" si="28">LEFT(C236,5)</f>
        <v xml:space="preserve">1731 </v>
      </c>
      <c r="K236" t="str">
        <f t="shared" ref="K236:K291" si="29">LEFT(G236,5)</f>
        <v xml:space="preserve">1735 </v>
      </c>
      <c r="L236" t="str">
        <f t="shared" ref="L236:L291" si="30">LEFT(E236,6)</f>
        <v>Plat 4</v>
      </c>
      <c r="M236" s="8" t="str">
        <f t="shared" si="26"/>
        <v>4</v>
      </c>
      <c r="N236" t="s">
        <v>636</v>
      </c>
    </row>
    <row r="237" spans="2:22" ht="15" customHeight="1" x14ac:dyDescent="0.25">
      <c r="B237" s="3" t="s">
        <v>696</v>
      </c>
      <c r="C237" s="1" t="s">
        <v>697</v>
      </c>
      <c r="D237" s="2" t="s">
        <v>636</v>
      </c>
      <c r="E237" s="1" t="s">
        <v>491</v>
      </c>
      <c r="F237" s="2" t="s">
        <v>635</v>
      </c>
      <c r="G237" s="1" t="s">
        <v>698</v>
      </c>
      <c r="H237" s="1" t="s">
        <v>3</v>
      </c>
      <c r="I237" t="str">
        <f t="shared" si="27"/>
        <v>1F</v>
      </c>
      <c r="J237" t="str">
        <f t="shared" si="28"/>
        <v xml:space="preserve">1733 </v>
      </c>
      <c r="K237" t="str">
        <f t="shared" si="29"/>
        <v xml:space="preserve">1737 </v>
      </c>
      <c r="L237" t="str">
        <f t="shared" si="30"/>
        <v>Plat 2</v>
      </c>
      <c r="M237" s="8" t="str">
        <f t="shared" si="26"/>
        <v>2</v>
      </c>
      <c r="N237" t="s">
        <v>635</v>
      </c>
    </row>
    <row r="238" spans="2:22" ht="15" customHeight="1" x14ac:dyDescent="0.25">
      <c r="B238" s="3" t="s">
        <v>699</v>
      </c>
      <c r="C238" s="1" t="s">
        <v>700</v>
      </c>
      <c r="D238" s="2" t="s">
        <v>635</v>
      </c>
      <c r="E238" s="1" t="s">
        <v>489</v>
      </c>
      <c r="F238" s="2" t="s">
        <v>636</v>
      </c>
      <c r="G238" s="1" t="s">
        <v>701</v>
      </c>
      <c r="H238" s="1" t="s">
        <v>3</v>
      </c>
      <c r="I238" t="str">
        <f t="shared" si="27"/>
        <v>1F</v>
      </c>
      <c r="J238" t="str">
        <f t="shared" si="28"/>
        <v xml:space="preserve">1738 </v>
      </c>
      <c r="K238" t="str">
        <f t="shared" si="29"/>
        <v xml:space="preserve">1742 </v>
      </c>
      <c r="L238" t="str">
        <f t="shared" si="30"/>
        <v>Plat 3</v>
      </c>
      <c r="M238" s="8" t="str">
        <f t="shared" si="26"/>
        <v>3</v>
      </c>
      <c r="N238" t="s">
        <v>636</v>
      </c>
    </row>
    <row r="239" spans="2:22" ht="15" customHeight="1" x14ac:dyDescent="0.25">
      <c r="B239" s="3" t="s">
        <v>702</v>
      </c>
      <c r="C239" s="1" t="s">
        <v>703</v>
      </c>
      <c r="D239" s="2" t="s">
        <v>637</v>
      </c>
      <c r="E239" s="1" t="s">
        <v>492</v>
      </c>
      <c r="F239" s="2" t="s">
        <v>635</v>
      </c>
      <c r="G239" s="1" t="s">
        <v>704</v>
      </c>
      <c r="H239" s="1" t="s">
        <v>3</v>
      </c>
      <c r="I239" t="str">
        <f t="shared" si="27"/>
        <v>1J</v>
      </c>
      <c r="J239" t="str">
        <f t="shared" si="28"/>
        <v>1744½</v>
      </c>
      <c r="K239" t="str">
        <f t="shared" si="29"/>
        <v>1748½</v>
      </c>
      <c r="L239" t="str">
        <f t="shared" si="30"/>
        <v>Plat 1</v>
      </c>
      <c r="M239" s="8" t="str">
        <f t="shared" si="26"/>
        <v>1</v>
      </c>
      <c r="N239" t="s">
        <v>635</v>
      </c>
    </row>
    <row r="240" spans="2:22" ht="15" customHeight="1" x14ac:dyDescent="0.25">
      <c r="B240" s="3" t="s">
        <v>705</v>
      </c>
      <c r="C240" s="1" t="s">
        <v>706</v>
      </c>
      <c r="D240" s="2" t="s">
        <v>635</v>
      </c>
      <c r="E240" s="1" t="s">
        <v>490</v>
      </c>
      <c r="F240" s="2" t="s">
        <v>637</v>
      </c>
      <c r="G240" s="1" t="s">
        <v>707</v>
      </c>
      <c r="H240" s="1" t="s">
        <v>3</v>
      </c>
      <c r="I240" t="str">
        <f t="shared" si="27"/>
        <v>1J</v>
      </c>
      <c r="J240" t="str">
        <f t="shared" si="28"/>
        <v xml:space="preserve">1745 </v>
      </c>
      <c r="K240" t="str">
        <f t="shared" si="29"/>
        <v xml:space="preserve">1749 </v>
      </c>
      <c r="L240" t="str">
        <f t="shared" si="30"/>
        <v>Plat 4</v>
      </c>
      <c r="M240" s="8" t="str">
        <f t="shared" si="26"/>
        <v>4</v>
      </c>
      <c r="N240" t="s">
        <v>636</v>
      </c>
      <c r="O240" t="s">
        <v>637</v>
      </c>
    </row>
    <row r="241" spans="2:22" ht="15" customHeight="1" x14ac:dyDescent="0.25">
      <c r="B241" s="3" t="s">
        <v>708</v>
      </c>
      <c r="C241" s="1" t="s">
        <v>709</v>
      </c>
      <c r="D241" s="2" t="s">
        <v>636</v>
      </c>
      <c r="E241" s="1" t="s">
        <v>491</v>
      </c>
      <c r="F241" s="2" t="s">
        <v>635</v>
      </c>
      <c r="G241" s="1" t="s">
        <v>710</v>
      </c>
      <c r="H241" s="1" t="s">
        <v>3</v>
      </c>
      <c r="I241" t="str">
        <f t="shared" si="27"/>
        <v>1H</v>
      </c>
      <c r="J241" t="str">
        <f t="shared" si="28"/>
        <v xml:space="preserve">1751 </v>
      </c>
      <c r="K241" t="str">
        <f t="shared" si="29"/>
        <v xml:space="preserve">1755 </v>
      </c>
      <c r="L241" t="str">
        <f t="shared" si="30"/>
        <v>Plat 2</v>
      </c>
      <c r="M241" s="8" t="str">
        <f t="shared" si="26"/>
        <v>2</v>
      </c>
      <c r="N241" t="s">
        <v>635</v>
      </c>
    </row>
    <row r="242" spans="2:22" ht="15" customHeight="1" x14ac:dyDescent="0.25">
      <c r="B242" s="3" t="s">
        <v>711</v>
      </c>
      <c r="C242" s="1" t="s">
        <v>712</v>
      </c>
      <c r="D242" s="2" t="s">
        <v>635</v>
      </c>
      <c r="E242" s="1" t="s">
        <v>489</v>
      </c>
      <c r="F242" s="2" t="s">
        <v>636</v>
      </c>
      <c r="G242" s="1" t="s">
        <v>713</v>
      </c>
      <c r="H242" s="1" t="s">
        <v>3</v>
      </c>
      <c r="I242" t="str">
        <f t="shared" si="27"/>
        <v>1L</v>
      </c>
      <c r="J242" t="str">
        <f t="shared" si="28"/>
        <v xml:space="preserve">1752 </v>
      </c>
      <c r="K242" t="str">
        <f t="shared" si="29"/>
        <v xml:space="preserve">1756 </v>
      </c>
      <c r="L242" t="str">
        <f t="shared" si="30"/>
        <v>Plat 3</v>
      </c>
      <c r="M242" s="8" t="str">
        <f t="shared" si="26"/>
        <v>3</v>
      </c>
      <c r="N242" t="s">
        <v>636</v>
      </c>
    </row>
    <row r="243" spans="2:22" ht="15" customHeight="1" x14ac:dyDescent="0.25">
      <c r="B243" s="3" t="s">
        <v>714</v>
      </c>
      <c r="C243" s="1" t="s">
        <v>715</v>
      </c>
      <c r="D243" s="2" t="s">
        <v>19</v>
      </c>
      <c r="E243" s="1" t="s">
        <v>492</v>
      </c>
      <c r="F243" s="2" t="s">
        <v>635</v>
      </c>
      <c r="G243" s="1" t="s">
        <v>716</v>
      </c>
      <c r="H243" s="1" t="s">
        <v>3</v>
      </c>
      <c r="I243" t="str">
        <f t="shared" si="27"/>
        <v>1F</v>
      </c>
      <c r="J243" t="str">
        <f t="shared" si="28"/>
        <v xml:space="preserve">1758 </v>
      </c>
      <c r="K243" t="str">
        <f t="shared" si="29"/>
        <v xml:space="preserve">1802 </v>
      </c>
      <c r="L243" t="str">
        <f t="shared" si="30"/>
        <v>Plat 1</v>
      </c>
      <c r="M243" s="8" t="str">
        <f t="shared" si="26"/>
        <v>1</v>
      </c>
      <c r="N243" t="s">
        <v>635</v>
      </c>
    </row>
    <row r="244" spans="2:22" ht="15" customHeight="1" x14ac:dyDescent="0.25">
      <c r="B244" s="3" t="s">
        <v>717</v>
      </c>
      <c r="C244" s="1" t="s">
        <v>718</v>
      </c>
      <c r="D244" s="2" t="s">
        <v>635</v>
      </c>
      <c r="E244" s="1" t="s">
        <v>490</v>
      </c>
      <c r="F244" s="2" t="s">
        <v>636</v>
      </c>
      <c r="G244" s="1" t="s">
        <v>719</v>
      </c>
      <c r="H244" s="1" t="s">
        <v>3</v>
      </c>
      <c r="I244" t="str">
        <f t="shared" si="27"/>
        <v>1H</v>
      </c>
      <c r="J244" t="str">
        <f t="shared" si="28"/>
        <v xml:space="preserve">1759 </v>
      </c>
      <c r="K244" t="str">
        <f t="shared" si="29"/>
        <v xml:space="preserve">1803 </v>
      </c>
      <c r="L244" t="str">
        <f t="shared" si="30"/>
        <v>Plat 4</v>
      </c>
      <c r="M244" s="8" t="str">
        <f t="shared" si="26"/>
        <v>4</v>
      </c>
      <c r="N244" t="s">
        <v>636</v>
      </c>
    </row>
    <row r="245" spans="2:22" ht="15" customHeight="1" x14ac:dyDescent="0.25">
      <c r="B245" s="3" t="s">
        <v>720</v>
      </c>
      <c r="C245" s="1" t="s">
        <v>721</v>
      </c>
      <c r="D245" s="2" t="s">
        <v>636</v>
      </c>
      <c r="E245" s="1" t="s">
        <v>491</v>
      </c>
      <c r="F245" s="2" t="s">
        <v>635</v>
      </c>
      <c r="G245" s="1" t="s">
        <v>722</v>
      </c>
      <c r="H245" s="1" t="s">
        <v>3</v>
      </c>
      <c r="I245" t="str">
        <f t="shared" si="27"/>
        <v>1L</v>
      </c>
      <c r="J245" t="str">
        <f t="shared" si="28"/>
        <v xml:space="preserve">1805 </v>
      </c>
      <c r="K245" t="str">
        <f t="shared" si="29"/>
        <v xml:space="preserve">1809 </v>
      </c>
      <c r="L245" t="str">
        <f t="shared" si="30"/>
        <v>Plat 2</v>
      </c>
      <c r="M245" s="8" t="str">
        <f t="shared" si="26"/>
        <v>2</v>
      </c>
      <c r="N245" t="s">
        <v>635</v>
      </c>
    </row>
    <row r="246" spans="2:22" ht="15" customHeight="1" x14ac:dyDescent="0.25">
      <c r="B246" s="3" t="s">
        <v>723</v>
      </c>
      <c r="C246" s="1" t="s">
        <v>724</v>
      </c>
      <c r="D246" s="2" t="s">
        <v>635</v>
      </c>
      <c r="E246" s="1" t="s">
        <v>489</v>
      </c>
      <c r="F246" s="2" t="s">
        <v>637</v>
      </c>
      <c r="G246" s="1" t="s">
        <v>725</v>
      </c>
      <c r="H246" s="1" t="s">
        <v>3</v>
      </c>
      <c r="I246" t="str">
        <f t="shared" si="27"/>
        <v>1J</v>
      </c>
      <c r="J246" t="str">
        <f t="shared" si="28"/>
        <v xml:space="preserve">1810 </v>
      </c>
      <c r="K246" t="str">
        <f t="shared" si="29"/>
        <v xml:space="preserve">1814 </v>
      </c>
      <c r="L246" t="str">
        <f t="shared" si="30"/>
        <v>Plat 3</v>
      </c>
      <c r="M246" s="8" t="str">
        <f t="shared" si="26"/>
        <v>3</v>
      </c>
      <c r="N246" t="s">
        <v>636</v>
      </c>
      <c r="O246" t="s">
        <v>637</v>
      </c>
    </row>
    <row r="247" spans="2:22" ht="15" customHeight="1" x14ac:dyDescent="0.25">
      <c r="B247" s="3" t="s">
        <v>726</v>
      </c>
      <c r="C247" s="1" t="s">
        <v>727</v>
      </c>
      <c r="D247" s="2" t="s">
        <v>636</v>
      </c>
      <c r="E247" s="1" t="s">
        <v>492</v>
      </c>
      <c r="F247" s="2" t="s">
        <v>635</v>
      </c>
      <c r="G247" s="1" t="s">
        <v>728</v>
      </c>
      <c r="H247" s="1" t="s">
        <v>3</v>
      </c>
      <c r="I247" t="str">
        <f t="shared" si="27"/>
        <v>1H</v>
      </c>
      <c r="J247" t="str">
        <f t="shared" si="28"/>
        <v xml:space="preserve">1812 </v>
      </c>
      <c r="K247" t="str">
        <f t="shared" si="29"/>
        <v xml:space="preserve">1816 </v>
      </c>
      <c r="L247" t="str">
        <f t="shared" si="30"/>
        <v>Plat 1</v>
      </c>
      <c r="M247" s="8" t="str">
        <f t="shared" si="26"/>
        <v>1</v>
      </c>
      <c r="N247" t="s">
        <v>635</v>
      </c>
    </row>
    <row r="248" spans="2:22" ht="15" customHeight="1" x14ac:dyDescent="0.25">
      <c r="B248" s="3" t="s">
        <v>729</v>
      </c>
      <c r="C248" s="1" t="s">
        <v>730</v>
      </c>
      <c r="D248" s="2" t="s">
        <v>635</v>
      </c>
      <c r="E248" s="1" t="s">
        <v>490</v>
      </c>
      <c r="F248" s="2" t="s">
        <v>636</v>
      </c>
      <c r="G248" s="1" t="s">
        <v>731</v>
      </c>
      <c r="H248" s="1" t="s">
        <v>3</v>
      </c>
      <c r="I248" t="str">
        <f t="shared" si="27"/>
        <v>1H</v>
      </c>
      <c r="J248" t="str">
        <f t="shared" si="28"/>
        <v xml:space="preserve">1817 </v>
      </c>
      <c r="K248" t="str">
        <f t="shared" si="29"/>
        <v xml:space="preserve">1821 </v>
      </c>
      <c r="L248" t="str">
        <f t="shared" si="30"/>
        <v>Plat 4</v>
      </c>
      <c r="M248" s="8" t="str">
        <f t="shared" si="26"/>
        <v>4</v>
      </c>
      <c r="N248" t="s">
        <v>636</v>
      </c>
    </row>
    <row r="249" spans="2:22" ht="15" customHeight="1" x14ac:dyDescent="0.25">
      <c r="B249" s="3" t="s">
        <v>732</v>
      </c>
      <c r="C249" s="1" t="s">
        <v>733</v>
      </c>
      <c r="D249" s="2" t="s">
        <v>637</v>
      </c>
      <c r="E249" s="1" t="s">
        <v>491</v>
      </c>
      <c r="F249" s="2" t="s">
        <v>635</v>
      </c>
      <c r="G249" s="1" t="s">
        <v>734</v>
      </c>
      <c r="H249" s="1" t="s">
        <v>3</v>
      </c>
      <c r="I249" t="str">
        <f t="shared" si="27"/>
        <v>1J</v>
      </c>
      <c r="J249" t="str">
        <f t="shared" si="28"/>
        <v xml:space="preserve">1819 </v>
      </c>
      <c r="K249" t="str">
        <f t="shared" si="29"/>
        <v xml:space="preserve">1823 </v>
      </c>
      <c r="L249" t="str">
        <f t="shared" si="30"/>
        <v>Plat 2</v>
      </c>
      <c r="M249" s="8" t="str">
        <f t="shared" si="26"/>
        <v>2</v>
      </c>
      <c r="N249" t="s">
        <v>635</v>
      </c>
    </row>
    <row r="250" spans="2:22" ht="15" customHeight="1" x14ac:dyDescent="0.25">
      <c r="B250" s="3" t="s">
        <v>735</v>
      </c>
      <c r="C250" s="1" t="s">
        <v>736</v>
      </c>
      <c r="D250" s="2" t="s">
        <v>635</v>
      </c>
      <c r="E250" s="1" t="s">
        <v>489</v>
      </c>
      <c r="F250" s="2" t="s">
        <v>19</v>
      </c>
      <c r="G250" s="1" t="s">
        <v>737</v>
      </c>
      <c r="H250" s="1" t="s">
        <v>3</v>
      </c>
      <c r="I250" t="str">
        <f t="shared" si="27"/>
        <v>1F</v>
      </c>
      <c r="J250" t="str">
        <f t="shared" si="28"/>
        <v xml:space="preserve">1824 </v>
      </c>
      <c r="K250" t="str">
        <f t="shared" si="29"/>
        <v xml:space="preserve">1828 </v>
      </c>
      <c r="L250" t="str">
        <f t="shared" si="30"/>
        <v>Plat 3</v>
      </c>
      <c r="M250" s="8" t="str">
        <f t="shared" si="26"/>
        <v>3</v>
      </c>
      <c r="N250" t="s">
        <v>636</v>
      </c>
      <c r="O250" t="s">
        <v>1028</v>
      </c>
      <c r="P250" t="s">
        <v>1029</v>
      </c>
      <c r="Q250" t="s">
        <v>1030</v>
      </c>
      <c r="R250" t="s">
        <v>1031</v>
      </c>
      <c r="S250" t="s">
        <v>1032</v>
      </c>
      <c r="T250" t="s">
        <v>1033</v>
      </c>
      <c r="U250" t="s">
        <v>1034</v>
      </c>
      <c r="V250" t="s">
        <v>19</v>
      </c>
    </row>
    <row r="251" spans="2:22" ht="15" customHeight="1" x14ac:dyDescent="0.25">
      <c r="B251" s="3" t="s">
        <v>738</v>
      </c>
      <c r="C251" s="1" t="s">
        <v>739</v>
      </c>
      <c r="D251" s="2" t="s">
        <v>636</v>
      </c>
      <c r="E251" s="1" t="s">
        <v>492</v>
      </c>
      <c r="F251" s="2" t="s">
        <v>635</v>
      </c>
      <c r="G251" s="1" t="s">
        <v>740</v>
      </c>
      <c r="H251" s="1" t="s">
        <v>3</v>
      </c>
      <c r="I251" t="str">
        <f t="shared" si="27"/>
        <v>1L</v>
      </c>
      <c r="J251" t="str">
        <f t="shared" si="28"/>
        <v xml:space="preserve">1826 </v>
      </c>
      <c r="K251" t="str">
        <f t="shared" si="29"/>
        <v xml:space="preserve">1830 </v>
      </c>
      <c r="L251" t="str">
        <f t="shared" si="30"/>
        <v>Plat 1</v>
      </c>
      <c r="M251" s="8" t="str">
        <f t="shared" si="26"/>
        <v>1</v>
      </c>
      <c r="N251" t="s">
        <v>635</v>
      </c>
    </row>
    <row r="252" spans="2:22" ht="15" customHeight="1" x14ac:dyDescent="0.25">
      <c r="B252" s="3" t="s">
        <v>741</v>
      </c>
      <c r="C252" s="1" t="s">
        <v>742</v>
      </c>
      <c r="D252" s="2" t="s">
        <v>635</v>
      </c>
      <c r="E252" s="1" t="s">
        <v>490</v>
      </c>
      <c r="F252" s="2" t="s">
        <v>636</v>
      </c>
      <c r="G252" s="1" t="s">
        <v>743</v>
      </c>
      <c r="H252" s="1" t="s">
        <v>3</v>
      </c>
      <c r="I252" t="str">
        <f t="shared" si="27"/>
        <v>1L</v>
      </c>
      <c r="J252" t="str">
        <f t="shared" si="28"/>
        <v xml:space="preserve">1831 </v>
      </c>
      <c r="K252" t="str">
        <f t="shared" si="29"/>
        <v xml:space="preserve">1835 </v>
      </c>
      <c r="L252" t="str">
        <f t="shared" si="30"/>
        <v>Plat 4</v>
      </c>
      <c r="M252" s="8" t="str">
        <f t="shared" si="26"/>
        <v>4</v>
      </c>
      <c r="N252" t="s">
        <v>636</v>
      </c>
    </row>
    <row r="253" spans="2:22" ht="15" customHeight="1" x14ac:dyDescent="0.25">
      <c r="B253" s="3" t="s">
        <v>744</v>
      </c>
      <c r="C253" s="1" t="s">
        <v>745</v>
      </c>
      <c r="D253" s="2" t="s">
        <v>636</v>
      </c>
      <c r="E253" s="1" t="s">
        <v>491</v>
      </c>
      <c r="F253" s="2" t="s">
        <v>635</v>
      </c>
      <c r="G253" s="1" t="s">
        <v>746</v>
      </c>
      <c r="H253" s="1" t="s">
        <v>3</v>
      </c>
      <c r="I253" t="str">
        <f t="shared" si="27"/>
        <v>1F</v>
      </c>
      <c r="J253" t="str">
        <f t="shared" si="28"/>
        <v xml:space="preserve">1833 </v>
      </c>
      <c r="K253" t="str">
        <f t="shared" si="29"/>
        <v xml:space="preserve">1837 </v>
      </c>
      <c r="L253" t="str">
        <f t="shared" si="30"/>
        <v>Plat 2</v>
      </c>
      <c r="M253" s="8" t="str">
        <f t="shared" si="26"/>
        <v>2</v>
      </c>
      <c r="N253" t="s">
        <v>635</v>
      </c>
    </row>
    <row r="254" spans="2:22" ht="15" customHeight="1" x14ac:dyDescent="0.25">
      <c r="B254" s="3" t="s">
        <v>747</v>
      </c>
      <c r="C254" s="1" t="s">
        <v>748</v>
      </c>
      <c r="D254" s="2" t="s">
        <v>635</v>
      </c>
      <c r="E254" s="1" t="s">
        <v>489</v>
      </c>
      <c r="F254" s="2" t="s">
        <v>636</v>
      </c>
      <c r="G254" s="1" t="s">
        <v>749</v>
      </c>
      <c r="H254" s="1" t="s">
        <v>3</v>
      </c>
      <c r="I254" t="str">
        <f t="shared" si="27"/>
        <v>1F</v>
      </c>
      <c r="J254" t="str">
        <f t="shared" si="28"/>
        <v xml:space="preserve">1838 </v>
      </c>
      <c r="K254" t="str">
        <f t="shared" si="29"/>
        <v xml:space="preserve">1842 </v>
      </c>
      <c r="L254" t="str">
        <f t="shared" si="30"/>
        <v>Plat 3</v>
      </c>
      <c r="M254" s="8" t="str">
        <f t="shared" si="26"/>
        <v>3</v>
      </c>
      <c r="N254" t="s">
        <v>636</v>
      </c>
    </row>
    <row r="255" spans="2:22" ht="15" customHeight="1" x14ac:dyDescent="0.25">
      <c r="B255" s="3" t="s">
        <v>750</v>
      </c>
      <c r="C255" s="1" t="s">
        <v>751</v>
      </c>
      <c r="D255" s="2" t="s">
        <v>637</v>
      </c>
      <c r="E255" s="1" t="s">
        <v>492</v>
      </c>
      <c r="F255" s="2" t="s">
        <v>635</v>
      </c>
      <c r="G255" s="1" t="s">
        <v>752</v>
      </c>
      <c r="H255" s="1" t="s">
        <v>3</v>
      </c>
      <c r="I255" t="str">
        <f t="shared" si="27"/>
        <v>1J</v>
      </c>
      <c r="J255" t="str">
        <f t="shared" si="28"/>
        <v>1844½</v>
      </c>
      <c r="K255" t="str">
        <f t="shared" si="29"/>
        <v>1848½</v>
      </c>
      <c r="L255" t="str">
        <f t="shared" si="30"/>
        <v>Plat 1</v>
      </c>
      <c r="M255" s="8" t="str">
        <f t="shared" si="26"/>
        <v>1</v>
      </c>
      <c r="N255" t="s">
        <v>635</v>
      </c>
    </row>
    <row r="256" spans="2:22" ht="15" customHeight="1" x14ac:dyDescent="0.25">
      <c r="B256" s="3" t="s">
        <v>753</v>
      </c>
      <c r="C256" s="1" t="s">
        <v>754</v>
      </c>
      <c r="D256" s="2" t="s">
        <v>635</v>
      </c>
      <c r="E256" s="1" t="s">
        <v>490</v>
      </c>
      <c r="F256" s="2" t="s">
        <v>637</v>
      </c>
      <c r="G256" s="1" t="s">
        <v>755</v>
      </c>
      <c r="H256" s="1" t="s">
        <v>3</v>
      </c>
      <c r="I256" t="str">
        <f t="shared" si="27"/>
        <v>1J</v>
      </c>
      <c r="J256" t="str">
        <f t="shared" si="28"/>
        <v xml:space="preserve">1845 </v>
      </c>
      <c r="K256" t="str">
        <f t="shared" si="29"/>
        <v xml:space="preserve">1849 </v>
      </c>
      <c r="L256" t="str">
        <f t="shared" si="30"/>
        <v>Plat 4</v>
      </c>
      <c r="M256" s="8" t="str">
        <f t="shared" si="26"/>
        <v>4</v>
      </c>
      <c r="N256" t="s">
        <v>636</v>
      </c>
      <c r="O256" t="s">
        <v>637</v>
      </c>
    </row>
    <row r="257" spans="2:22" ht="15" customHeight="1" x14ac:dyDescent="0.25">
      <c r="B257" s="3" t="s">
        <v>756</v>
      </c>
      <c r="C257" s="1" t="s">
        <v>757</v>
      </c>
      <c r="D257" s="2" t="s">
        <v>636</v>
      </c>
      <c r="E257" s="1" t="s">
        <v>491</v>
      </c>
      <c r="F257" s="2" t="s">
        <v>635</v>
      </c>
      <c r="G257" s="1" t="s">
        <v>758</v>
      </c>
      <c r="H257" s="1" t="s">
        <v>3</v>
      </c>
      <c r="I257" t="str">
        <f t="shared" si="27"/>
        <v>1H</v>
      </c>
      <c r="J257" t="str">
        <f t="shared" si="28"/>
        <v xml:space="preserve">1851 </v>
      </c>
      <c r="K257" t="str">
        <f t="shared" si="29"/>
        <v xml:space="preserve">1855 </v>
      </c>
      <c r="L257" t="str">
        <f t="shared" si="30"/>
        <v>Plat 2</v>
      </c>
      <c r="M257" s="8" t="str">
        <f t="shared" si="26"/>
        <v>2</v>
      </c>
      <c r="N257" t="s">
        <v>635</v>
      </c>
    </row>
    <row r="258" spans="2:22" ht="15" customHeight="1" x14ac:dyDescent="0.25">
      <c r="B258" s="3" t="s">
        <v>759</v>
      </c>
      <c r="C258" s="1" t="s">
        <v>760</v>
      </c>
      <c r="D258" s="2" t="s">
        <v>635</v>
      </c>
      <c r="E258" s="1" t="s">
        <v>489</v>
      </c>
      <c r="F258" s="2" t="s">
        <v>636</v>
      </c>
      <c r="G258" s="1" t="s">
        <v>761</v>
      </c>
      <c r="H258" s="1" t="s">
        <v>3</v>
      </c>
      <c r="I258" t="str">
        <f t="shared" si="27"/>
        <v>1L</v>
      </c>
      <c r="J258" t="str">
        <f t="shared" si="28"/>
        <v xml:space="preserve">1852 </v>
      </c>
      <c r="K258" t="str">
        <f t="shared" si="29"/>
        <v xml:space="preserve">1856 </v>
      </c>
      <c r="L258" t="str">
        <f t="shared" si="30"/>
        <v>Plat 3</v>
      </c>
      <c r="M258" s="8" t="str">
        <f t="shared" si="26"/>
        <v>3</v>
      </c>
      <c r="N258" t="s">
        <v>636</v>
      </c>
    </row>
    <row r="259" spans="2:22" ht="15" customHeight="1" x14ac:dyDescent="0.25">
      <c r="B259" s="3" t="s">
        <v>762</v>
      </c>
      <c r="C259" s="1" t="s">
        <v>763</v>
      </c>
      <c r="D259" s="2" t="s">
        <v>19</v>
      </c>
      <c r="E259" s="1" t="s">
        <v>492</v>
      </c>
      <c r="F259" s="2" t="s">
        <v>635</v>
      </c>
      <c r="G259" s="1" t="s">
        <v>764</v>
      </c>
      <c r="H259" s="1" t="s">
        <v>3</v>
      </c>
      <c r="I259" t="str">
        <f t="shared" si="27"/>
        <v>1F</v>
      </c>
      <c r="J259" t="str">
        <f t="shared" si="28"/>
        <v xml:space="preserve">1858 </v>
      </c>
      <c r="K259" t="str">
        <f t="shared" si="29"/>
        <v xml:space="preserve">1902 </v>
      </c>
      <c r="L259" t="str">
        <f t="shared" si="30"/>
        <v>Plat 1</v>
      </c>
      <c r="M259" s="8" t="str">
        <f t="shared" ref="M259:M322" si="31">RIGHT(L259,1)</f>
        <v>1</v>
      </c>
      <c r="N259" t="s">
        <v>635</v>
      </c>
    </row>
    <row r="260" spans="2:22" ht="15" customHeight="1" x14ac:dyDescent="0.25">
      <c r="B260" s="3" t="s">
        <v>765</v>
      </c>
      <c r="C260" s="1" t="s">
        <v>766</v>
      </c>
      <c r="D260" s="2" t="s">
        <v>635</v>
      </c>
      <c r="E260" s="1" t="s">
        <v>490</v>
      </c>
      <c r="F260" s="2" t="s">
        <v>636</v>
      </c>
      <c r="G260" s="1" t="s">
        <v>767</v>
      </c>
      <c r="H260" s="1" t="s">
        <v>3</v>
      </c>
      <c r="I260" t="str">
        <f t="shared" si="27"/>
        <v>1H</v>
      </c>
      <c r="J260" t="str">
        <f t="shared" si="28"/>
        <v xml:space="preserve">1859 </v>
      </c>
      <c r="K260" t="str">
        <f t="shared" si="29"/>
        <v xml:space="preserve">1903 </v>
      </c>
      <c r="L260" t="str">
        <f t="shared" si="30"/>
        <v>Plat 4</v>
      </c>
      <c r="M260" s="8" t="str">
        <f t="shared" si="31"/>
        <v>4</v>
      </c>
      <c r="N260" t="s">
        <v>636</v>
      </c>
    </row>
    <row r="261" spans="2:22" ht="15" customHeight="1" x14ac:dyDescent="0.25">
      <c r="B261" s="3" t="s">
        <v>768</v>
      </c>
      <c r="C261" s="1" t="s">
        <v>769</v>
      </c>
      <c r="D261" s="2" t="s">
        <v>636</v>
      </c>
      <c r="E261" s="1" t="s">
        <v>491</v>
      </c>
      <c r="F261" s="2" t="s">
        <v>635</v>
      </c>
      <c r="G261" s="1" t="s">
        <v>770</v>
      </c>
      <c r="H261" s="1" t="s">
        <v>3</v>
      </c>
      <c r="I261" t="str">
        <f t="shared" si="27"/>
        <v>1L</v>
      </c>
      <c r="J261" t="str">
        <f t="shared" si="28"/>
        <v xml:space="preserve">1905 </v>
      </c>
      <c r="K261" t="str">
        <f t="shared" si="29"/>
        <v xml:space="preserve">1909 </v>
      </c>
      <c r="L261" t="str">
        <f t="shared" si="30"/>
        <v>Plat 2</v>
      </c>
      <c r="M261" s="8" t="str">
        <f t="shared" si="31"/>
        <v>2</v>
      </c>
      <c r="N261" t="s">
        <v>635</v>
      </c>
    </row>
    <row r="262" spans="2:22" ht="15" customHeight="1" x14ac:dyDescent="0.25">
      <c r="B262" s="3" t="s">
        <v>771</v>
      </c>
      <c r="C262" s="1" t="s">
        <v>772</v>
      </c>
      <c r="D262" s="2" t="s">
        <v>635</v>
      </c>
      <c r="E262" s="1" t="s">
        <v>489</v>
      </c>
      <c r="F262" s="2" t="s">
        <v>637</v>
      </c>
      <c r="G262" s="1" t="s">
        <v>773</v>
      </c>
      <c r="H262" s="1" t="s">
        <v>3</v>
      </c>
      <c r="I262" t="str">
        <f t="shared" si="27"/>
        <v>1J</v>
      </c>
      <c r="J262" t="str">
        <f t="shared" si="28"/>
        <v xml:space="preserve">1910 </v>
      </c>
      <c r="K262" t="str">
        <f t="shared" si="29"/>
        <v xml:space="preserve">1914 </v>
      </c>
      <c r="L262" t="str">
        <f t="shared" si="30"/>
        <v>Plat 3</v>
      </c>
      <c r="M262" s="8" t="str">
        <f t="shared" si="31"/>
        <v>3</v>
      </c>
      <c r="N262" t="s">
        <v>636</v>
      </c>
      <c r="O262" t="s">
        <v>637</v>
      </c>
    </row>
    <row r="263" spans="2:22" ht="15" customHeight="1" x14ac:dyDescent="0.25">
      <c r="B263" s="3" t="s">
        <v>774</v>
      </c>
      <c r="C263" s="1" t="s">
        <v>775</v>
      </c>
      <c r="D263" s="2" t="s">
        <v>636</v>
      </c>
      <c r="E263" s="1" t="s">
        <v>492</v>
      </c>
      <c r="F263" s="2" t="s">
        <v>635</v>
      </c>
      <c r="G263" s="1" t="s">
        <v>776</v>
      </c>
      <c r="H263" s="1" t="s">
        <v>3</v>
      </c>
      <c r="I263" t="str">
        <f t="shared" si="27"/>
        <v>1H</v>
      </c>
      <c r="J263" t="str">
        <f t="shared" si="28"/>
        <v xml:space="preserve">1912 </v>
      </c>
      <c r="K263" t="str">
        <f t="shared" si="29"/>
        <v xml:space="preserve">1916 </v>
      </c>
      <c r="L263" t="str">
        <f t="shared" si="30"/>
        <v>Plat 1</v>
      </c>
      <c r="M263" s="8" t="str">
        <f t="shared" si="31"/>
        <v>1</v>
      </c>
      <c r="N263" t="s">
        <v>635</v>
      </c>
    </row>
    <row r="264" spans="2:22" ht="15" customHeight="1" x14ac:dyDescent="0.25">
      <c r="B264" s="3" t="s">
        <v>777</v>
      </c>
      <c r="C264" s="1" t="s">
        <v>778</v>
      </c>
      <c r="D264" s="2" t="s">
        <v>635</v>
      </c>
      <c r="E264" s="1" t="s">
        <v>490</v>
      </c>
      <c r="F264" s="2" t="s">
        <v>636</v>
      </c>
      <c r="G264" s="1" t="s">
        <v>779</v>
      </c>
      <c r="H264" s="1" t="s">
        <v>3</v>
      </c>
      <c r="I264" t="str">
        <f t="shared" si="27"/>
        <v>1H</v>
      </c>
      <c r="J264" t="str">
        <f t="shared" si="28"/>
        <v xml:space="preserve">1917 </v>
      </c>
      <c r="K264" t="str">
        <f t="shared" si="29"/>
        <v xml:space="preserve">1921 </v>
      </c>
      <c r="L264" t="str">
        <f t="shared" si="30"/>
        <v>Plat 4</v>
      </c>
      <c r="M264" s="8" t="str">
        <f t="shared" si="31"/>
        <v>4</v>
      </c>
      <c r="N264" t="s">
        <v>636</v>
      </c>
    </row>
    <row r="265" spans="2:22" ht="15" customHeight="1" x14ac:dyDescent="0.25">
      <c r="B265" s="3" t="s">
        <v>780</v>
      </c>
      <c r="C265" s="1" t="s">
        <v>781</v>
      </c>
      <c r="D265" s="2" t="s">
        <v>637</v>
      </c>
      <c r="E265" s="1" t="s">
        <v>491</v>
      </c>
      <c r="F265" s="2" t="s">
        <v>635</v>
      </c>
      <c r="G265" s="1" t="s">
        <v>782</v>
      </c>
      <c r="H265" s="1" t="s">
        <v>3</v>
      </c>
      <c r="I265" t="str">
        <f t="shared" si="27"/>
        <v>1J</v>
      </c>
      <c r="J265" t="str">
        <f t="shared" si="28"/>
        <v xml:space="preserve">1919 </v>
      </c>
      <c r="K265" t="str">
        <f t="shared" si="29"/>
        <v xml:space="preserve">1923 </v>
      </c>
      <c r="L265" t="str">
        <f t="shared" si="30"/>
        <v>Plat 2</v>
      </c>
      <c r="M265" s="8" t="str">
        <f t="shared" si="31"/>
        <v>2</v>
      </c>
      <c r="N265" t="s">
        <v>635</v>
      </c>
    </row>
    <row r="266" spans="2:22" ht="15" customHeight="1" x14ac:dyDescent="0.25">
      <c r="B266" s="3" t="s">
        <v>783</v>
      </c>
      <c r="C266" s="1" t="s">
        <v>784</v>
      </c>
      <c r="D266" s="2" t="s">
        <v>635</v>
      </c>
      <c r="E266" s="1" t="s">
        <v>489</v>
      </c>
      <c r="F266" s="2" t="s">
        <v>19</v>
      </c>
      <c r="G266" s="1" t="s">
        <v>785</v>
      </c>
      <c r="H266" s="1" t="s">
        <v>3</v>
      </c>
      <c r="I266" t="str">
        <f t="shared" si="27"/>
        <v>1F</v>
      </c>
      <c r="J266" t="str">
        <f t="shared" si="28"/>
        <v xml:space="preserve">1924 </v>
      </c>
      <c r="K266" t="str">
        <f t="shared" si="29"/>
        <v xml:space="preserve">1928 </v>
      </c>
      <c r="L266" t="str">
        <f t="shared" si="30"/>
        <v>Plat 3</v>
      </c>
      <c r="M266" s="8" t="str">
        <f t="shared" si="31"/>
        <v>3</v>
      </c>
      <c r="N266" t="s">
        <v>636</v>
      </c>
      <c r="O266" t="s">
        <v>1028</v>
      </c>
      <c r="P266" t="s">
        <v>1029</v>
      </c>
      <c r="Q266" t="s">
        <v>1030</v>
      </c>
      <c r="R266" t="s">
        <v>1031</v>
      </c>
      <c r="S266" t="s">
        <v>1032</v>
      </c>
      <c r="T266" t="s">
        <v>1033</v>
      </c>
      <c r="U266" t="s">
        <v>1034</v>
      </c>
      <c r="V266" t="s">
        <v>19</v>
      </c>
    </row>
    <row r="267" spans="2:22" ht="15" customHeight="1" x14ac:dyDescent="0.25">
      <c r="B267" s="3" t="s">
        <v>786</v>
      </c>
      <c r="C267" s="1" t="s">
        <v>787</v>
      </c>
      <c r="D267" s="2" t="s">
        <v>636</v>
      </c>
      <c r="E267" s="1" t="s">
        <v>492</v>
      </c>
      <c r="F267" s="2" t="s">
        <v>635</v>
      </c>
      <c r="G267" s="1" t="s">
        <v>788</v>
      </c>
      <c r="H267" s="1" t="s">
        <v>3</v>
      </c>
      <c r="I267" t="str">
        <f t="shared" si="27"/>
        <v>1L</v>
      </c>
      <c r="J267" t="str">
        <f t="shared" si="28"/>
        <v xml:space="preserve">1926 </v>
      </c>
      <c r="K267" t="str">
        <f t="shared" si="29"/>
        <v xml:space="preserve">1930 </v>
      </c>
      <c r="L267" t="str">
        <f t="shared" si="30"/>
        <v>Plat 1</v>
      </c>
      <c r="M267" s="8" t="str">
        <f t="shared" si="31"/>
        <v>1</v>
      </c>
      <c r="N267" t="s">
        <v>635</v>
      </c>
    </row>
    <row r="268" spans="2:22" ht="15" customHeight="1" x14ac:dyDescent="0.25">
      <c r="B268" s="3" t="s">
        <v>789</v>
      </c>
      <c r="C268" s="1" t="s">
        <v>790</v>
      </c>
      <c r="D268" s="2" t="s">
        <v>635</v>
      </c>
      <c r="E268" s="1" t="s">
        <v>490</v>
      </c>
      <c r="F268" s="2" t="s">
        <v>636</v>
      </c>
      <c r="G268" s="1" t="s">
        <v>791</v>
      </c>
      <c r="H268" s="1" t="s">
        <v>3</v>
      </c>
      <c r="I268" t="str">
        <f t="shared" si="27"/>
        <v>1L</v>
      </c>
      <c r="J268" t="str">
        <f t="shared" si="28"/>
        <v xml:space="preserve">1931 </v>
      </c>
      <c r="K268" t="str">
        <f t="shared" si="29"/>
        <v xml:space="preserve">1935 </v>
      </c>
      <c r="L268" t="str">
        <f t="shared" si="30"/>
        <v>Plat 4</v>
      </c>
      <c r="M268" s="8" t="str">
        <f t="shared" si="31"/>
        <v>4</v>
      </c>
      <c r="N268" t="s">
        <v>636</v>
      </c>
    </row>
    <row r="269" spans="2:22" ht="15" customHeight="1" x14ac:dyDescent="0.25">
      <c r="B269" s="3" t="s">
        <v>792</v>
      </c>
      <c r="C269" s="1" t="s">
        <v>793</v>
      </c>
      <c r="D269" s="2" t="s">
        <v>636</v>
      </c>
      <c r="E269" s="1" t="s">
        <v>491</v>
      </c>
      <c r="F269" s="2" t="s">
        <v>635</v>
      </c>
      <c r="G269" s="1" t="s">
        <v>794</v>
      </c>
      <c r="H269" s="1" t="s">
        <v>3</v>
      </c>
      <c r="I269" t="str">
        <f t="shared" si="27"/>
        <v>1F</v>
      </c>
      <c r="J269" t="str">
        <f t="shared" si="28"/>
        <v xml:space="preserve">1933 </v>
      </c>
      <c r="K269" t="str">
        <f t="shared" si="29"/>
        <v xml:space="preserve">1937 </v>
      </c>
      <c r="L269" t="str">
        <f t="shared" si="30"/>
        <v>Plat 2</v>
      </c>
      <c r="M269" s="8" t="str">
        <f t="shared" si="31"/>
        <v>2</v>
      </c>
      <c r="N269" t="s">
        <v>635</v>
      </c>
    </row>
    <row r="270" spans="2:22" ht="15" customHeight="1" x14ac:dyDescent="0.25">
      <c r="B270" s="3" t="s">
        <v>795</v>
      </c>
      <c r="C270" s="1" t="s">
        <v>796</v>
      </c>
      <c r="D270" s="2" t="s">
        <v>635</v>
      </c>
      <c r="E270" s="1" t="s">
        <v>489</v>
      </c>
      <c r="F270" s="2" t="s">
        <v>636</v>
      </c>
      <c r="G270" s="1" t="s">
        <v>797</v>
      </c>
      <c r="H270" s="1" t="s">
        <v>3</v>
      </c>
      <c r="I270" t="str">
        <f t="shared" si="27"/>
        <v>1F</v>
      </c>
      <c r="J270" t="str">
        <f t="shared" si="28"/>
        <v xml:space="preserve">1938 </v>
      </c>
      <c r="K270" t="str">
        <f t="shared" si="29"/>
        <v xml:space="preserve">1942 </v>
      </c>
      <c r="L270" t="str">
        <f t="shared" si="30"/>
        <v>Plat 3</v>
      </c>
      <c r="M270" s="8" t="str">
        <f t="shared" si="31"/>
        <v>3</v>
      </c>
      <c r="N270" t="s">
        <v>636</v>
      </c>
    </row>
    <row r="271" spans="2:22" ht="15" customHeight="1" x14ac:dyDescent="0.25">
      <c r="B271" s="3" t="s">
        <v>798</v>
      </c>
      <c r="C271" s="1" t="s">
        <v>799</v>
      </c>
      <c r="D271" s="2" t="s">
        <v>637</v>
      </c>
      <c r="E271" s="1" t="s">
        <v>492</v>
      </c>
      <c r="F271" s="2" t="s">
        <v>635</v>
      </c>
      <c r="G271" s="1" t="s">
        <v>800</v>
      </c>
      <c r="H271" s="1" t="s">
        <v>3</v>
      </c>
      <c r="I271" t="str">
        <f t="shared" si="27"/>
        <v>1J</v>
      </c>
      <c r="J271" t="str">
        <f t="shared" si="28"/>
        <v>1944½</v>
      </c>
      <c r="K271" t="str">
        <f t="shared" si="29"/>
        <v>1948½</v>
      </c>
      <c r="L271" t="str">
        <f t="shared" si="30"/>
        <v>Plat 1</v>
      </c>
      <c r="M271" s="8" t="str">
        <f t="shared" si="31"/>
        <v>1</v>
      </c>
      <c r="N271" t="s">
        <v>635</v>
      </c>
    </row>
    <row r="272" spans="2:22" ht="15" customHeight="1" x14ac:dyDescent="0.25">
      <c r="B272" s="3" t="s">
        <v>801</v>
      </c>
      <c r="C272" s="1" t="s">
        <v>802</v>
      </c>
      <c r="D272" s="2" t="s">
        <v>635</v>
      </c>
      <c r="E272" s="1" t="s">
        <v>490</v>
      </c>
      <c r="F272" s="2" t="s">
        <v>637</v>
      </c>
      <c r="G272" s="1" t="s">
        <v>803</v>
      </c>
      <c r="H272" s="1" t="s">
        <v>3</v>
      </c>
      <c r="I272" t="str">
        <f t="shared" si="27"/>
        <v>1J</v>
      </c>
      <c r="J272" t="str">
        <f t="shared" si="28"/>
        <v xml:space="preserve">1945 </v>
      </c>
      <c r="K272" t="str">
        <f t="shared" si="29"/>
        <v xml:space="preserve">1949 </v>
      </c>
      <c r="L272" t="str">
        <f t="shared" si="30"/>
        <v>Plat 4</v>
      </c>
      <c r="M272" s="8" t="str">
        <f t="shared" si="31"/>
        <v>4</v>
      </c>
      <c r="N272" t="s">
        <v>636</v>
      </c>
      <c r="O272" t="s">
        <v>637</v>
      </c>
    </row>
    <row r="273" spans="2:22" ht="15" customHeight="1" x14ac:dyDescent="0.25">
      <c r="B273" s="3" t="s">
        <v>804</v>
      </c>
      <c r="C273" s="1" t="s">
        <v>805</v>
      </c>
      <c r="D273" s="2" t="s">
        <v>636</v>
      </c>
      <c r="E273" s="1" t="s">
        <v>491</v>
      </c>
      <c r="F273" s="2" t="s">
        <v>635</v>
      </c>
      <c r="G273" s="1" t="s">
        <v>806</v>
      </c>
      <c r="H273" s="1" t="s">
        <v>3</v>
      </c>
      <c r="I273" t="str">
        <f t="shared" si="27"/>
        <v>1H</v>
      </c>
      <c r="J273" t="str">
        <f t="shared" si="28"/>
        <v xml:space="preserve">1951 </v>
      </c>
      <c r="K273" t="str">
        <f t="shared" si="29"/>
        <v xml:space="preserve">1955 </v>
      </c>
      <c r="L273" t="str">
        <f t="shared" si="30"/>
        <v>Plat 2</v>
      </c>
      <c r="M273" s="8" t="str">
        <f t="shared" si="31"/>
        <v>2</v>
      </c>
      <c r="N273" t="s">
        <v>635</v>
      </c>
    </row>
    <row r="274" spans="2:22" ht="15" customHeight="1" x14ac:dyDescent="0.25">
      <c r="B274" s="3" t="s">
        <v>807</v>
      </c>
      <c r="C274" s="1" t="s">
        <v>808</v>
      </c>
      <c r="D274" s="2" t="s">
        <v>635</v>
      </c>
      <c r="E274" s="1" t="s">
        <v>489</v>
      </c>
      <c r="F274" s="2" t="s">
        <v>636</v>
      </c>
      <c r="G274" s="1" t="s">
        <v>809</v>
      </c>
      <c r="H274" s="1" t="s">
        <v>3</v>
      </c>
      <c r="I274" t="str">
        <f t="shared" si="27"/>
        <v>1L</v>
      </c>
      <c r="J274" t="str">
        <f t="shared" si="28"/>
        <v xml:space="preserve">1952 </v>
      </c>
      <c r="K274" t="str">
        <f t="shared" si="29"/>
        <v xml:space="preserve">1956 </v>
      </c>
      <c r="L274" t="str">
        <f t="shared" si="30"/>
        <v>Plat 3</v>
      </c>
      <c r="M274" s="8" t="str">
        <f t="shared" si="31"/>
        <v>3</v>
      </c>
      <c r="N274" t="s">
        <v>636</v>
      </c>
    </row>
    <row r="275" spans="2:22" ht="15" customHeight="1" x14ac:dyDescent="0.25">
      <c r="B275" s="3" t="s">
        <v>810</v>
      </c>
      <c r="C275" s="1" t="s">
        <v>811</v>
      </c>
      <c r="D275" s="2" t="s">
        <v>19</v>
      </c>
      <c r="E275" s="1" t="s">
        <v>492</v>
      </c>
      <c r="F275" s="2" t="s">
        <v>635</v>
      </c>
      <c r="G275" s="1" t="s">
        <v>812</v>
      </c>
      <c r="H275" s="1" t="s">
        <v>3</v>
      </c>
      <c r="I275" t="str">
        <f t="shared" si="27"/>
        <v>1F</v>
      </c>
      <c r="J275" t="str">
        <f t="shared" si="28"/>
        <v xml:space="preserve">1958 </v>
      </c>
      <c r="K275" t="str">
        <f t="shared" si="29"/>
        <v xml:space="preserve">2002 </v>
      </c>
      <c r="L275" t="str">
        <f t="shared" si="30"/>
        <v>Plat 1</v>
      </c>
      <c r="M275" s="8" t="str">
        <f t="shared" si="31"/>
        <v>1</v>
      </c>
      <c r="N275" t="s">
        <v>635</v>
      </c>
    </row>
    <row r="276" spans="2:22" ht="15" customHeight="1" x14ac:dyDescent="0.25">
      <c r="B276" s="3" t="s">
        <v>813</v>
      </c>
      <c r="C276" s="1" t="s">
        <v>814</v>
      </c>
      <c r="D276" s="2" t="s">
        <v>635</v>
      </c>
      <c r="E276" s="1" t="s">
        <v>490</v>
      </c>
      <c r="F276" s="2" t="s">
        <v>636</v>
      </c>
      <c r="G276" s="1" t="s">
        <v>815</v>
      </c>
      <c r="H276" s="1" t="s">
        <v>3</v>
      </c>
      <c r="I276" t="str">
        <f t="shared" si="27"/>
        <v>1H</v>
      </c>
      <c r="J276" t="str">
        <f t="shared" si="28"/>
        <v xml:space="preserve">1959 </v>
      </c>
      <c r="K276" t="str">
        <f t="shared" si="29"/>
        <v xml:space="preserve">2003 </v>
      </c>
      <c r="L276" t="str">
        <f t="shared" si="30"/>
        <v>Plat 4</v>
      </c>
      <c r="M276" s="8" t="str">
        <f t="shared" si="31"/>
        <v>4</v>
      </c>
      <c r="N276" t="s">
        <v>636</v>
      </c>
    </row>
    <row r="277" spans="2:22" ht="15" customHeight="1" x14ac:dyDescent="0.25">
      <c r="B277" s="3" t="s">
        <v>816</v>
      </c>
      <c r="C277" s="1" t="s">
        <v>817</v>
      </c>
      <c r="D277" s="2" t="s">
        <v>636</v>
      </c>
      <c r="E277" s="1" t="s">
        <v>491</v>
      </c>
      <c r="F277" s="2" t="s">
        <v>635</v>
      </c>
      <c r="G277" s="1" t="s">
        <v>818</v>
      </c>
      <c r="H277" s="1" t="s">
        <v>3</v>
      </c>
      <c r="I277" t="str">
        <f t="shared" si="27"/>
        <v>1L</v>
      </c>
      <c r="J277" t="str">
        <f t="shared" si="28"/>
        <v xml:space="preserve">2005 </v>
      </c>
      <c r="K277" t="str">
        <f t="shared" si="29"/>
        <v xml:space="preserve">2009 </v>
      </c>
      <c r="L277" t="str">
        <f t="shared" si="30"/>
        <v>Plat 2</v>
      </c>
      <c r="M277" s="8" t="str">
        <f t="shared" si="31"/>
        <v>2</v>
      </c>
      <c r="N277" t="s">
        <v>635</v>
      </c>
    </row>
    <row r="278" spans="2:22" ht="15" customHeight="1" x14ac:dyDescent="0.25">
      <c r="B278" s="3" t="s">
        <v>819</v>
      </c>
      <c r="C278" s="1" t="s">
        <v>820</v>
      </c>
      <c r="D278" s="2" t="s">
        <v>635</v>
      </c>
      <c r="E278" s="1" t="s">
        <v>489</v>
      </c>
      <c r="F278" s="2" t="s">
        <v>637</v>
      </c>
      <c r="G278" s="1" t="s">
        <v>821</v>
      </c>
      <c r="H278" s="1" t="s">
        <v>3</v>
      </c>
      <c r="I278" t="str">
        <f t="shared" si="27"/>
        <v>1J</v>
      </c>
      <c r="J278" t="str">
        <f t="shared" si="28"/>
        <v xml:space="preserve">2010 </v>
      </c>
      <c r="K278" t="str">
        <f t="shared" si="29"/>
        <v xml:space="preserve">2014 </v>
      </c>
      <c r="L278" t="str">
        <f t="shared" si="30"/>
        <v>Plat 3</v>
      </c>
      <c r="M278" s="8" t="str">
        <f t="shared" si="31"/>
        <v>3</v>
      </c>
      <c r="N278" t="s">
        <v>636</v>
      </c>
      <c r="O278" t="s">
        <v>637</v>
      </c>
    </row>
    <row r="279" spans="2:22" ht="15" customHeight="1" x14ac:dyDescent="0.25">
      <c r="B279" s="3" t="s">
        <v>822</v>
      </c>
      <c r="C279" s="1" t="s">
        <v>823</v>
      </c>
      <c r="D279" s="2" t="s">
        <v>636</v>
      </c>
      <c r="E279" s="1" t="s">
        <v>492</v>
      </c>
      <c r="F279" s="2" t="s">
        <v>635</v>
      </c>
      <c r="G279" s="1" t="s">
        <v>824</v>
      </c>
      <c r="H279" s="1" t="s">
        <v>3</v>
      </c>
      <c r="I279" t="str">
        <f t="shared" si="27"/>
        <v>1H</v>
      </c>
      <c r="J279" t="str">
        <f t="shared" si="28"/>
        <v xml:space="preserve">2012 </v>
      </c>
      <c r="K279" t="str">
        <f t="shared" si="29"/>
        <v xml:space="preserve">2016 </v>
      </c>
      <c r="L279" t="str">
        <f t="shared" si="30"/>
        <v>Plat 1</v>
      </c>
      <c r="M279" s="8" t="str">
        <f t="shared" si="31"/>
        <v>1</v>
      </c>
      <c r="N279" t="s">
        <v>635</v>
      </c>
    </row>
    <row r="280" spans="2:22" ht="15" customHeight="1" x14ac:dyDescent="0.25">
      <c r="B280" s="3" t="s">
        <v>825</v>
      </c>
      <c r="C280" s="1" t="s">
        <v>826</v>
      </c>
      <c r="D280" s="2" t="s">
        <v>635</v>
      </c>
      <c r="E280" s="1" t="s">
        <v>490</v>
      </c>
      <c r="F280" s="2" t="s">
        <v>636</v>
      </c>
      <c r="G280" s="1" t="s">
        <v>827</v>
      </c>
      <c r="H280" s="1" t="s">
        <v>3</v>
      </c>
      <c r="I280" t="str">
        <f t="shared" si="27"/>
        <v>1H</v>
      </c>
      <c r="J280" t="str">
        <f t="shared" si="28"/>
        <v xml:space="preserve">2017 </v>
      </c>
      <c r="K280" t="str">
        <f t="shared" si="29"/>
        <v xml:space="preserve">2021 </v>
      </c>
      <c r="L280" t="str">
        <f t="shared" si="30"/>
        <v>Plat 4</v>
      </c>
      <c r="M280" s="8" t="str">
        <f t="shared" si="31"/>
        <v>4</v>
      </c>
      <c r="N280" t="s">
        <v>636</v>
      </c>
    </row>
    <row r="281" spans="2:22" ht="15" customHeight="1" x14ac:dyDescent="0.25">
      <c r="B281" s="3" t="s">
        <v>828</v>
      </c>
      <c r="C281" s="1" t="s">
        <v>829</v>
      </c>
      <c r="D281" s="2" t="s">
        <v>637</v>
      </c>
      <c r="E281" s="1" t="s">
        <v>491</v>
      </c>
      <c r="F281" s="2" t="s">
        <v>635</v>
      </c>
      <c r="G281" s="1" t="s">
        <v>830</v>
      </c>
      <c r="H281" s="1" t="s">
        <v>3</v>
      </c>
      <c r="I281" t="str">
        <f t="shared" si="27"/>
        <v>1J</v>
      </c>
      <c r="J281" t="str">
        <f t="shared" si="28"/>
        <v xml:space="preserve">2019 </v>
      </c>
      <c r="K281" t="str">
        <f t="shared" si="29"/>
        <v xml:space="preserve">2023 </v>
      </c>
      <c r="L281" t="str">
        <f t="shared" si="30"/>
        <v>Plat 2</v>
      </c>
      <c r="M281" s="8" t="str">
        <f t="shared" si="31"/>
        <v>2</v>
      </c>
      <c r="N281" t="s">
        <v>635</v>
      </c>
    </row>
    <row r="282" spans="2:22" ht="15" customHeight="1" x14ac:dyDescent="0.25">
      <c r="B282" s="3" t="s">
        <v>831</v>
      </c>
      <c r="C282" s="1" t="s">
        <v>832</v>
      </c>
      <c r="D282" s="2" t="s">
        <v>635</v>
      </c>
      <c r="E282" s="1" t="s">
        <v>489</v>
      </c>
      <c r="F282" s="2" t="s">
        <v>19</v>
      </c>
      <c r="G282" s="1" t="s">
        <v>833</v>
      </c>
      <c r="H282" s="1" t="s">
        <v>3</v>
      </c>
      <c r="I282" t="str">
        <f t="shared" si="27"/>
        <v>1F</v>
      </c>
      <c r="J282" t="str">
        <f t="shared" si="28"/>
        <v xml:space="preserve">2024 </v>
      </c>
      <c r="K282" t="str">
        <f t="shared" si="29"/>
        <v xml:space="preserve">2028 </v>
      </c>
      <c r="L282" t="str">
        <f t="shared" si="30"/>
        <v>Plat 3</v>
      </c>
      <c r="M282" s="8" t="str">
        <f t="shared" si="31"/>
        <v>3</v>
      </c>
      <c r="N282" t="s">
        <v>636</v>
      </c>
      <c r="O282" t="s">
        <v>1028</v>
      </c>
      <c r="P282" t="s">
        <v>1029</v>
      </c>
      <c r="Q282" t="s">
        <v>1030</v>
      </c>
      <c r="R282" t="s">
        <v>1031</v>
      </c>
      <c r="S282" t="s">
        <v>1032</v>
      </c>
      <c r="T282" t="s">
        <v>1033</v>
      </c>
      <c r="U282" t="s">
        <v>1034</v>
      </c>
      <c r="V282" t="s">
        <v>19</v>
      </c>
    </row>
    <row r="283" spans="2:22" ht="15" customHeight="1" x14ac:dyDescent="0.25">
      <c r="B283" s="3" t="s">
        <v>834</v>
      </c>
      <c r="C283" s="1" t="s">
        <v>835</v>
      </c>
      <c r="D283" s="2" t="s">
        <v>636</v>
      </c>
      <c r="E283" s="1" t="s">
        <v>492</v>
      </c>
      <c r="F283" s="2" t="s">
        <v>635</v>
      </c>
      <c r="G283" s="1" t="s">
        <v>836</v>
      </c>
      <c r="H283" s="1" t="s">
        <v>3</v>
      </c>
      <c r="I283" t="str">
        <f t="shared" si="27"/>
        <v>1L</v>
      </c>
      <c r="J283" t="str">
        <f t="shared" si="28"/>
        <v xml:space="preserve">2026 </v>
      </c>
      <c r="K283" t="str">
        <f t="shared" si="29"/>
        <v xml:space="preserve">2030 </v>
      </c>
      <c r="L283" t="str">
        <f t="shared" si="30"/>
        <v>Plat 1</v>
      </c>
      <c r="M283" s="8" t="str">
        <f t="shared" si="31"/>
        <v>1</v>
      </c>
      <c r="N283" t="s">
        <v>635</v>
      </c>
    </row>
    <row r="284" spans="2:22" ht="15" customHeight="1" x14ac:dyDescent="0.25">
      <c r="B284" s="3" t="s">
        <v>837</v>
      </c>
      <c r="C284" s="1" t="s">
        <v>838</v>
      </c>
      <c r="D284" s="2" t="s">
        <v>635</v>
      </c>
      <c r="E284" s="1" t="s">
        <v>490</v>
      </c>
      <c r="F284" s="2" t="s">
        <v>636</v>
      </c>
      <c r="G284" s="1" t="s">
        <v>839</v>
      </c>
      <c r="H284" s="1" t="s">
        <v>3</v>
      </c>
      <c r="I284" t="str">
        <f t="shared" si="27"/>
        <v>1L</v>
      </c>
      <c r="J284" t="str">
        <f t="shared" si="28"/>
        <v xml:space="preserve">2031 </v>
      </c>
      <c r="K284" t="str">
        <f t="shared" si="29"/>
        <v xml:space="preserve">2035 </v>
      </c>
      <c r="L284" t="str">
        <f t="shared" si="30"/>
        <v>Plat 4</v>
      </c>
      <c r="M284" s="8" t="str">
        <f t="shared" si="31"/>
        <v>4</v>
      </c>
      <c r="N284" t="s">
        <v>636</v>
      </c>
    </row>
    <row r="285" spans="2:22" ht="15" customHeight="1" x14ac:dyDescent="0.25">
      <c r="B285" s="3" t="s">
        <v>840</v>
      </c>
      <c r="C285" s="1" t="s">
        <v>841</v>
      </c>
      <c r="D285" s="2" t="s">
        <v>636</v>
      </c>
      <c r="E285" s="1" t="s">
        <v>491</v>
      </c>
      <c r="F285" s="2" t="s">
        <v>635</v>
      </c>
      <c r="G285" s="1" t="s">
        <v>842</v>
      </c>
      <c r="H285" s="1" t="s">
        <v>3</v>
      </c>
      <c r="I285" t="str">
        <f t="shared" si="27"/>
        <v>1F</v>
      </c>
      <c r="J285" t="str">
        <f t="shared" si="28"/>
        <v xml:space="preserve">2033 </v>
      </c>
      <c r="K285" t="str">
        <f t="shared" si="29"/>
        <v xml:space="preserve">2037 </v>
      </c>
      <c r="L285" t="str">
        <f t="shared" si="30"/>
        <v>Plat 2</v>
      </c>
      <c r="M285" s="8" t="str">
        <f t="shared" si="31"/>
        <v>2</v>
      </c>
      <c r="N285" t="s">
        <v>635</v>
      </c>
    </row>
    <row r="286" spans="2:22" ht="15" customHeight="1" x14ac:dyDescent="0.25">
      <c r="B286" s="3" t="s">
        <v>843</v>
      </c>
      <c r="C286" s="1" t="s">
        <v>844</v>
      </c>
      <c r="D286" s="2" t="s">
        <v>635</v>
      </c>
      <c r="E286" s="1" t="s">
        <v>489</v>
      </c>
      <c r="F286" s="2" t="s">
        <v>636</v>
      </c>
      <c r="G286" s="1" t="s">
        <v>845</v>
      </c>
      <c r="H286" s="1" t="s">
        <v>3</v>
      </c>
      <c r="I286" t="str">
        <f t="shared" si="27"/>
        <v>1F</v>
      </c>
      <c r="J286" t="str">
        <f t="shared" si="28"/>
        <v xml:space="preserve">2038 </v>
      </c>
      <c r="K286" t="str">
        <f t="shared" si="29"/>
        <v xml:space="preserve">2042 </v>
      </c>
      <c r="L286" t="str">
        <f t="shared" si="30"/>
        <v>Plat 3</v>
      </c>
      <c r="M286" s="8" t="str">
        <f t="shared" si="31"/>
        <v>3</v>
      </c>
      <c r="N286" t="s">
        <v>636</v>
      </c>
    </row>
    <row r="287" spans="2:22" ht="15" customHeight="1" x14ac:dyDescent="0.25">
      <c r="B287" s="3" t="s">
        <v>846</v>
      </c>
      <c r="C287" s="1" t="s">
        <v>847</v>
      </c>
      <c r="D287" s="2" t="s">
        <v>637</v>
      </c>
      <c r="E287" s="1" t="s">
        <v>492</v>
      </c>
      <c r="F287" s="2" t="s">
        <v>635</v>
      </c>
      <c r="G287" s="1" t="s">
        <v>848</v>
      </c>
      <c r="H287" s="1" t="s">
        <v>3</v>
      </c>
      <c r="I287" t="str">
        <f t="shared" si="27"/>
        <v>1J</v>
      </c>
      <c r="J287" t="str">
        <f t="shared" si="28"/>
        <v>2044½</v>
      </c>
      <c r="K287" t="str">
        <f t="shared" si="29"/>
        <v>2048½</v>
      </c>
      <c r="L287" t="str">
        <f t="shared" si="30"/>
        <v>Plat 1</v>
      </c>
      <c r="M287" s="8" t="str">
        <f t="shared" si="31"/>
        <v>1</v>
      </c>
      <c r="N287" t="s">
        <v>635</v>
      </c>
    </row>
    <row r="288" spans="2:22" ht="15" customHeight="1" x14ac:dyDescent="0.25">
      <c r="B288" s="3" t="s">
        <v>849</v>
      </c>
      <c r="C288" s="1" t="s">
        <v>850</v>
      </c>
      <c r="D288" s="2" t="s">
        <v>635</v>
      </c>
      <c r="E288" s="1" t="s">
        <v>490</v>
      </c>
      <c r="F288" s="2" t="s">
        <v>637</v>
      </c>
      <c r="G288" s="1" t="s">
        <v>851</v>
      </c>
      <c r="H288" s="1" t="s">
        <v>3</v>
      </c>
      <c r="I288" t="str">
        <f t="shared" si="27"/>
        <v>1J</v>
      </c>
      <c r="J288" t="str">
        <f t="shared" si="28"/>
        <v xml:space="preserve">2045 </v>
      </c>
      <c r="K288" t="str">
        <f t="shared" si="29"/>
        <v xml:space="preserve">2049 </v>
      </c>
      <c r="L288" t="str">
        <f t="shared" si="30"/>
        <v>Plat 4</v>
      </c>
      <c r="M288" s="8" t="str">
        <f t="shared" si="31"/>
        <v>4</v>
      </c>
      <c r="N288" t="s">
        <v>636</v>
      </c>
      <c r="O288" t="s">
        <v>637</v>
      </c>
    </row>
    <row r="289" spans="2:22" ht="15" customHeight="1" x14ac:dyDescent="0.25">
      <c r="B289" s="3" t="s">
        <v>852</v>
      </c>
      <c r="C289" s="1" t="s">
        <v>853</v>
      </c>
      <c r="D289" s="2" t="s">
        <v>636</v>
      </c>
      <c r="E289" s="1" t="s">
        <v>491</v>
      </c>
      <c r="F289" s="2" t="s">
        <v>635</v>
      </c>
      <c r="G289" s="1" t="s">
        <v>854</v>
      </c>
      <c r="H289" s="1" t="s">
        <v>3</v>
      </c>
      <c r="I289" t="str">
        <f t="shared" si="27"/>
        <v>1H</v>
      </c>
      <c r="J289" t="str">
        <f t="shared" si="28"/>
        <v xml:space="preserve">2051 </v>
      </c>
      <c r="K289" t="str">
        <f t="shared" si="29"/>
        <v xml:space="preserve">2055 </v>
      </c>
      <c r="L289" t="str">
        <f t="shared" si="30"/>
        <v>Plat 2</v>
      </c>
      <c r="M289" s="8" t="str">
        <f t="shared" si="31"/>
        <v>2</v>
      </c>
      <c r="N289" t="s">
        <v>635</v>
      </c>
    </row>
    <row r="290" spans="2:22" ht="15" customHeight="1" x14ac:dyDescent="0.25">
      <c r="B290" s="3" t="s">
        <v>855</v>
      </c>
      <c r="C290" s="1" t="s">
        <v>856</v>
      </c>
      <c r="D290" s="2" t="s">
        <v>635</v>
      </c>
      <c r="E290" s="1" t="s">
        <v>489</v>
      </c>
      <c r="F290" s="2" t="s">
        <v>636</v>
      </c>
      <c r="G290" s="1" t="s">
        <v>857</v>
      </c>
      <c r="H290" s="1" t="s">
        <v>3</v>
      </c>
      <c r="I290" t="str">
        <f t="shared" si="27"/>
        <v>1L</v>
      </c>
      <c r="J290" t="str">
        <f t="shared" si="28"/>
        <v xml:space="preserve">2052 </v>
      </c>
      <c r="K290" t="str">
        <f t="shared" si="29"/>
        <v xml:space="preserve">2056 </v>
      </c>
      <c r="L290" t="str">
        <f t="shared" si="30"/>
        <v>Plat 3</v>
      </c>
      <c r="M290" s="8" t="str">
        <f t="shared" si="31"/>
        <v>3</v>
      </c>
      <c r="N290" t="s">
        <v>636</v>
      </c>
    </row>
    <row r="291" spans="2:22" ht="15" customHeight="1" x14ac:dyDescent="0.25">
      <c r="B291" s="3" t="s">
        <v>858</v>
      </c>
      <c r="C291" s="1" t="s">
        <v>859</v>
      </c>
      <c r="D291" s="2" t="s">
        <v>19</v>
      </c>
      <c r="E291" s="1" t="s">
        <v>492</v>
      </c>
      <c r="F291" s="2" t="s">
        <v>635</v>
      </c>
      <c r="G291" s="1" t="s">
        <v>860</v>
      </c>
      <c r="H291" s="1" t="s">
        <v>3</v>
      </c>
      <c r="I291" t="str">
        <f t="shared" si="27"/>
        <v>1F</v>
      </c>
      <c r="J291" t="str">
        <f t="shared" si="28"/>
        <v xml:space="preserve">2058 </v>
      </c>
      <c r="K291" t="str">
        <f t="shared" si="29"/>
        <v xml:space="preserve">2102 </v>
      </c>
      <c r="L291" t="str">
        <f t="shared" si="30"/>
        <v>Plat 1</v>
      </c>
      <c r="M291" s="8" t="str">
        <f t="shared" si="31"/>
        <v>1</v>
      </c>
      <c r="N291" t="s">
        <v>635</v>
      </c>
    </row>
    <row r="292" spans="2:22" ht="15" customHeight="1" x14ac:dyDescent="0.25">
      <c r="B292" s="3" t="s">
        <v>861</v>
      </c>
      <c r="C292" s="1" t="s">
        <v>862</v>
      </c>
      <c r="D292" s="2" t="s">
        <v>635</v>
      </c>
      <c r="E292" s="1" t="s">
        <v>490</v>
      </c>
      <c r="F292" s="2" t="s">
        <v>636</v>
      </c>
      <c r="G292" s="1" t="s">
        <v>863</v>
      </c>
      <c r="H292" s="1" t="s">
        <v>3</v>
      </c>
      <c r="I292" t="str">
        <f t="shared" ref="I292:I327" si="32">LEFT(B292,2)</f>
        <v>1H</v>
      </c>
      <c r="J292" t="str">
        <f t="shared" ref="J292:J327" si="33">LEFT(C292,5)</f>
        <v xml:space="preserve">2059 </v>
      </c>
      <c r="K292" t="str">
        <f t="shared" ref="K292:K327" si="34">LEFT(G292,5)</f>
        <v xml:space="preserve">2103 </v>
      </c>
      <c r="L292" t="str">
        <f t="shared" ref="L292:L327" si="35">LEFT(E292,6)</f>
        <v>Plat 4</v>
      </c>
      <c r="M292" s="8" t="str">
        <f t="shared" si="31"/>
        <v>4</v>
      </c>
      <c r="N292" t="s">
        <v>636</v>
      </c>
    </row>
    <row r="293" spans="2:22" ht="15" customHeight="1" x14ac:dyDescent="0.25">
      <c r="B293" s="3" t="s">
        <v>864</v>
      </c>
      <c r="C293" s="1" t="s">
        <v>865</v>
      </c>
      <c r="D293" s="2" t="s">
        <v>636</v>
      </c>
      <c r="E293" s="1" t="s">
        <v>491</v>
      </c>
      <c r="F293" s="2" t="s">
        <v>635</v>
      </c>
      <c r="G293" s="1" t="s">
        <v>866</v>
      </c>
      <c r="H293" s="1" t="s">
        <v>3</v>
      </c>
      <c r="I293" t="str">
        <f t="shared" si="32"/>
        <v>1L</v>
      </c>
      <c r="J293" t="str">
        <f t="shared" si="33"/>
        <v xml:space="preserve">2105 </v>
      </c>
      <c r="K293" t="str">
        <f t="shared" si="34"/>
        <v xml:space="preserve">2109 </v>
      </c>
      <c r="L293" t="str">
        <f t="shared" si="35"/>
        <v>Plat 2</v>
      </c>
      <c r="M293" s="8" t="str">
        <f t="shared" si="31"/>
        <v>2</v>
      </c>
      <c r="N293" t="s">
        <v>635</v>
      </c>
    </row>
    <row r="294" spans="2:22" ht="15" customHeight="1" x14ac:dyDescent="0.25">
      <c r="B294" s="3" t="s">
        <v>867</v>
      </c>
      <c r="C294" s="1" t="s">
        <v>868</v>
      </c>
      <c r="D294" s="2" t="s">
        <v>635</v>
      </c>
      <c r="E294" s="1" t="s">
        <v>489</v>
      </c>
      <c r="F294" s="2" t="s">
        <v>637</v>
      </c>
      <c r="G294" s="1" t="s">
        <v>869</v>
      </c>
      <c r="H294" s="1" t="s">
        <v>3</v>
      </c>
      <c r="I294" t="str">
        <f t="shared" si="32"/>
        <v>1J</v>
      </c>
      <c r="J294" t="str">
        <f t="shared" si="33"/>
        <v xml:space="preserve">2110 </v>
      </c>
      <c r="K294" t="str">
        <f t="shared" si="34"/>
        <v xml:space="preserve">2114 </v>
      </c>
      <c r="L294" t="str">
        <f t="shared" si="35"/>
        <v>Plat 3</v>
      </c>
      <c r="M294" s="8" t="str">
        <f t="shared" si="31"/>
        <v>3</v>
      </c>
      <c r="N294" t="s">
        <v>636</v>
      </c>
      <c r="O294" t="s">
        <v>637</v>
      </c>
    </row>
    <row r="295" spans="2:22" ht="15" customHeight="1" x14ac:dyDescent="0.25">
      <c r="B295" s="3" t="s">
        <v>870</v>
      </c>
      <c r="C295" s="1" t="s">
        <v>871</v>
      </c>
      <c r="D295" s="2" t="s">
        <v>636</v>
      </c>
      <c r="E295" s="1" t="s">
        <v>492</v>
      </c>
      <c r="F295" s="2" t="s">
        <v>635</v>
      </c>
      <c r="G295" s="1" t="s">
        <v>872</v>
      </c>
      <c r="H295" s="1" t="s">
        <v>3</v>
      </c>
      <c r="I295" t="str">
        <f t="shared" si="32"/>
        <v>1H</v>
      </c>
      <c r="J295" t="str">
        <f t="shared" si="33"/>
        <v xml:space="preserve">2112 </v>
      </c>
      <c r="K295" t="str">
        <f t="shared" si="34"/>
        <v xml:space="preserve">2116 </v>
      </c>
      <c r="L295" t="str">
        <f t="shared" si="35"/>
        <v>Plat 1</v>
      </c>
      <c r="M295" s="8" t="str">
        <f t="shared" si="31"/>
        <v>1</v>
      </c>
      <c r="N295" t="s">
        <v>635</v>
      </c>
    </row>
    <row r="296" spans="2:22" ht="15" customHeight="1" x14ac:dyDescent="0.25">
      <c r="B296" s="3" t="s">
        <v>873</v>
      </c>
      <c r="C296" s="1" t="s">
        <v>874</v>
      </c>
      <c r="D296" s="2" t="s">
        <v>635</v>
      </c>
      <c r="E296" s="1" t="s">
        <v>490</v>
      </c>
      <c r="F296" s="2" t="s">
        <v>636</v>
      </c>
      <c r="G296" s="1" t="s">
        <v>875</v>
      </c>
      <c r="H296" s="1" t="s">
        <v>3</v>
      </c>
      <c r="I296" t="str">
        <f t="shared" si="32"/>
        <v>1H</v>
      </c>
      <c r="J296" t="str">
        <f t="shared" si="33"/>
        <v xml:space="preserve">2117 </v>
      </c>
      <c r="K296" t="str">
        <f t="shared" si="34"/>
        <v xml:space="preserve">2121 </v>
      </c>
      <c r="L296" t="str">
        <f t="shared" si="35"/>
        <v>Plat 4</v>
      </c>
      <c r="M296" s="8" t="str">
        <f t="shared" si="31"/>
        <v>4</v>
      </c>
      <c r="N296" t="s">
        <v>636</v>
      </c>
    </row>
    <row r="297" spans="2:22" ht="15" customHeight="1" x14ac:dyDescent="0.25">
      <c r="B297" s="3" t="s">
        <v>876</v>
      </c>
      <c r="C297" s="1" t="s">
        <v>877</v>
      </c>
      <c r="D297" s="2" t="s">
        <v>637</v>
      </c>
      <c r="E297" s="1" t="s">
        <v>491</v>
      </c>
      <c r="F297" s="2" t="s">
        <v>635</v>
      </c>
      <c r="G297" s="1" t="s">
        <v>878</v>
      </c>
      <c r="H297" s="1" t="s">
        <v>3</v>
      </c>
      <c r="I297" t="str">
        <f t="shared" si="32"/>
        <v>1J</v>
      </c>
      <c r="J297" t="str">
        <f t="shared" si="33"/>
        <v xml:space="preserve">2119 </v>
      </c>
      <c r="K297" t="str">
        <f t="shared" si="34"/>
        <v xml:space="preserve">2123 </v>
      </c>
      <c r="L297" t="str">
        <f t="shared" si="35"/>
        <v>Plat 2</v>
      </c>
      <c r="M297" s="8" t="str">
        <f t="shared" si="31"/>
        <v>2</v>
      </c>
      <c r="N297" t="s">
        <v>635</v>
      </c>
    </row>
    <row r="298" spans="2:22" ht="15" customHeight="1" x14ac:dyDescent="0.25">
      <c r="B298" s="3" t="s">
        <v>879</v>
      </c>
      <c r="C298" s="1" t="s">
        <v>880</v>
      </c>
      <c r="D298" s="2" t="s">
        <v>635</v>
      </c>
      <c r="E298" s="1" t="s">
        <v>489</v>
      </c>
      <c r="F298" s="2" t="s">
        <v>19</v>
      </c>
      <c r="G298" s="1" t="s">
        <v>881</v>
      </c>
      <c r="H298" s="1" t="s">
        <v>3</v>
      </c>
      <c r="I298" t="str">
        <f t="shared" si="32"/>
        <v>1F</v>
      </c>
      <c r="J298" t="str">
        <f t="shared" si="33"/>
        <v xml:space="preserve">2124 </v>
      </c>
      <c r="K298" t="str">
        <f t="shared" si="34"/>
        <v xml:space="preserve">2128 </v>
      </c>
      <c r="L298" t="str">
        <f t="shared" si="35"/>
        <v>Plat 3</v>
      </c>
      <c r="M298" s="8" t="str">
        <f t="shared" si="31"/>
        <v>3</v>
      </c>
      <c r="N298" t="s">
        <v>636</v>
      </c>
      <c r="O298" t="s">
        <v>1028</v>
      </c>
      <c r="P298" t="s">
        <v>1029</v>
      </c>
      <c r="Q298" t="s">
        <v>1030</v>
      </c>
      <c r="R298" t="s">
        <v>1031</v>
      </c>
      <c r="S298" t="s">
        <v>1032</v>
      </c>
      <c r="T298" t="s">
        <v>1033</v>
      </c>
      <c r="U298" t="s">
        <v>1034</v>
      </c>
      <c r="V298" t="s">
        <v>19</v>
      </c>
    </row>
    <row r="299" spans="2:22" ht="15" customHeight="1" x14ac:dyDescent="0.25">
      <c r="B299" s="3" t="s">
        <v>882</v>
      </c>
      <c r="C299" s="1" t="s">
        <v>883</v>
      </c>
      <c r="D299" s="2" t="s">
        <v>636</v>
      </c>
      <c r="E299" s="1" t="s">
        <v>492</v>
      </c>
      <c r="F299" s="2" t="s">
        <v>635</v>
      </c>
      <c r="G299" s="1" t="s">
        <v>884</v>
      </c>
      <c r="H299" s="1" t="s">
        <v>3</v>
      </c>
      <c r="I299" t="str">
        <f t="shared" si="32"/>
        <v>1L</v>
      </c>
      <c r="J299" t="str">
        <f t="shared" si="33"/>
        <v xml:space="preserve">2126 </v>
      </c>
      <c r="K299" t="str">
        <f t="shared" si="34"/>
        <v xml:space="preserve">2130 </v>
      </c>
      <c r="L299" t="str">
        <f t="shared" si="35"/>
        <v>Plat 1</v>
      </c>
      <c r="M299" s="8" t="str">
        <f t="shared" si="31"/>
        <v>1</v>
      </c>
      <c r="N299" t="s">
        <v>635</v>
      </c>
    </row>
    <row r="300" spans="2:22" ht="15" customHeight="1" x14ac:dyDescent="0.25">
      <c r="B300" s="3" t="s">
        <v>885</v>
      </c>
      <c r="C300" s="1" t="s">
        <v>886</v>
      </c>
      <c r="D300" s="2" t="s">
        <v>635</v>
      </c>
      <c r="E300" s="1" t="s">
        <v>490</v>
      </c>
      <c r="F300" s="2" t="s">
        <v>636</v>
      </c>
      <c r="G300" s="1" t="s">
        <v>887</v>
      </c>
      <c r="H300" s="1" t="s">
        <v>3</v>
      </c>
      <c r="I300" t="str">
        <f t="shared" si="32"/>
        <v>1L</v>
      </c>
      <c r="J300" t="str">
        <f t="shared" si="33"/>
        <v xml:space="preserve">2131 </v>
      </c>
      <c r="K300" t="str">
        <f t="shared" si="34"/>
        <v xml:space="preserve">2135 </v>
      </c>
      <c r="L300" t="str">
        <f t="shared" si="35"/>
        <v>Plat 4</v>
      </c>
      <c r="M300" s="8" t="str">
        <f t="shared" si="31"/>
        <v>4</v>
      </c>
      <c r="N300" t="s">
        <v>636</v>
      </c>
    </row>
    <row r="301" spans="2:22" ht="15" customHeight="1" x14ac:dyDescent="0.25">
      <c r="B301" s="3" t="s">
        <v>888</v>
      </c>
      <c r="C301" s="1" t="s">
        <v>889</v>
      </c>
      <c r="D301" s="2" t="s">
        <v>636</v>
      </c>
      <c r="E301" s="1" t="s">
        <v>491</v>
      </c>
      <c r="F301" s="2" t="s">
        <v>635</v>
      </c>
      <c r="G301" s="1" t="s">
        <v>890</v>
      </c>
      <c r="H301" s="1" t="s">
        <v>3</v>
      </c>
      <c r="I301" t="str">
        <f t="shared" si="32"/>
        <v>1F</v>
      </c>
      <c r="J301" t="str">
        <f t="shared" si="33"/>
        <v xml:space="preserve">2133 </v>
      </c>
      <c r="K301" t="str">
        <f t="shared" si="34"/>
        <v xml:space="preserve">2137 </v>
      </c>
      <c r="L301" t="str">
        <f t="shared" si="35"/>
        <v>Plat 2</v>
      </c>
      <c r="M301" s="8" t="str">
        <f t="shared" si="31"/>
        <v>2</v>
      </c>
      <c r="N301" t="s">
        <v>635</v>
      </c>
    </row>
    <row r="302" spans="2:22" ht="15" customHeight="1" x14ac:dyDescent="0.25">
      <c r="B302" s="3" t="s">
        <v>891</v>
      </c>
      <c r="C302" s="1" t="s">
        <v>892</v>
      </c>
      <c r="D302" s="2" t="s">
        <v>635</v>
      </c>
      <c r="E302" s="1" t="s">
        <v>489</v>
      </c>
      <c r="F302" s="2" t="s">
        <v>636</v>
      </c>
      <c r="G302" s="1" t="s">
        <v>893</v>
      </c>
      <c r="H302" s="1" t="s">
        <v>3</v>
      </c>
      <c r="I302" t="str">
        <f t="shared" si="32"/>
        <v>1F</v>
      </c>
      <c r="J302" t="str">
        <f t="shared" si="33"/>
        <v xml:space="preserve">2138 </v>
      </c>
      <c r="K302" t="str">
        <f t="shared" si="34"/>
        <v xml:space="preserve">2142 </v>
      </c>
      <c r="L302" t="str">
        <f t="shared" si="35"/>
        <v>Plat 3</v>
      </c>
      <c r="M302" s="8" t="str">
        <f t="shared" si="31"/>
        <v>3</v>
      </c>
      <c r="N302" t="s">
        <v>636</v>
      </c>
    </row>
    <row r="303" spans="2:22" ht="15" customHeight="1" x14ac:dyDescent="0.25">
      <c r="B303" s="3" t="s">
        <v>894</v>
      </c>
      <c r="C303" s="1" t="s">
        <v>895</v>
      </c>
      <c r="D303" s="2" t="s">
        <v>637</v>
      </c>
      <c r="E303" s="1" t="s">
        <v>492</v>
      </c>
      <c r="F303" s="2" t="s">
        <v>635</v>
      </c>
      <c r="G303" s="1" t="s">
        <v>896</v>
      </c>
      <c r="H303" s="1" t="s">
        <v>3</v>
      </c>
      <c r="I303" t="str">
        <f t="shared" si="32"/>
        <v>1J</v>
      </c>
      <c r="J303" t="str">
        <f t="shared" si="33"/>
        <v>2144½</v>
      </c>
      <c r="K303" t="str">
        <f t="shared" si="34"/>
        <v>2148½</v>
      </c>
      <c r="L303" t="str">
        <f t="shared" si="35"/>
        <v>Plat 1</v>
      </c>
      <c r="M303" s="8" t="str">
        <f t="shared" si="31"/>
        <v>1</v>
      </c>
      <c r="N303" t="s">
        <v>635</v>
      </c>
    </row>
    <row r="304" spans="2:22" ht="15" customHeight="1" x14ac:dyDescent="0.25">
      <c r="B304" s="3" t="s">
        <v>897</v>
      </c>
      <c r="C304" s="1" t="s">
        <v>898</v>
      </c>
      <c r="D304" s="2" t="s">
        <v>635</v>
      </c>
      <c r="E304" s="1" t="s">
        <v>490</v>
      </c>
      <c r="F304" s="2" t="s">
        <v>637</v>
      </c>
      <c r="G304" s="1" t="s">
        <v>899</v>
      </c>
      <c r="H304" s="1" t="s">
        <v>3</v>
      </c>
      <c r="I304" t="str">
        <f t="shared" si="32"/>
        <v>1J</v>
      </c>
      <c r="J304" t="str">
        <f t="shared" si="33"/>
        <v xml:space="preserve">2145 </v>
      </c>
      <c r="K304" t="str">
        <f t="shared" si="34"/>
        <v xml:space="preserve">2149 </v>
      </c>
      <c r="L304" t="str">
        <f t="shared" si="35"/>
        <v>Plat 4</v>
      </c>
      <c r="M304" s="8" t="str">
        <f t="shared" si="31"/>
        <v>4</v>
      </c>
      <c r="N304" t="s">
        <v>636</v>
      </c>
      <c r="O304" t="s">
        <v>637</v>
      </c>
    </row>
    <row r="305" spans="2:14" ht="15" customHeight="1" x14ac:dyDescent="0.25">
      <c r="B305" s="3" t="s">
        <v>900</v>
      </c>
      <c r="C305" s="1" t="s">
        <v>901</v>
      </c>
      <c r="D305" s="2" t="s">
        <v>636</v>
      </c>
      <c r="E305" s="1" t="s">
        <v>491</v>
      </c>
      <c r="F305" s="2" t="s">
        <v>635</v>
      </c>
      <c r="G305" s="1" t="s">
        <v>902</v>
      </c>
      <c r="H305" s="1" t="s">
        <v>3</v>
      </c>
      <c r="I305" t="str">
        <f t="shared" si="32"/>
        <v>1H</v>
      </c>
      <c r="J305" t="str">
        <f t="shared" si="33"/>
        <v xml:space="preserve">2151 </v>
      </c>
      <c r="K305" t="str">
        <f t="shared" si="34"/>
        <v xml:space="preserve">2155 </v>
      </c>
      <c r="L305" t="str">
        <f t="shared" si="35"/>
        <v>Plat 2</v>
      </c>
      <c r="M305" s="8" t="str">
        <f t="shared" si="31"/>
        <v>2</v>
      </c>
      <c r="N305" t="s">
        <v>635</v>
      </c>
    </row>
    <row r="306" spans="2:14" ht="15" customHeight="1" x14ac:dyDescent="0.25">
      <c r="B306" s="3" t="s">
        <v>903</v>
      </c>
      <c r="C306" s="1" t="s">
        <v>904</v>
      </c>
      <c r="D306" s="2" t="s">
        <v>635</v>
      </c>
      <c r="E306" s="1" t="s">
        <v>489</v>
      </c>
      <c r="F306" s="2" t="s">
        <v>636</v>
      </c>
      <c r="G306" s="1" t="s">
        <v>905</v>
      </c>
      <c r="H306" s="1" t="s">
        <v>3</v>
      </c>
      <c r="I306" t="str">
        <f t="shared" si="32"/>
        <v>1L</v>
      </c>
      <c r="J306" t="str">
        <f t="shared" si="33"/>
        <v xml:space="preserve">2152 </v>
      </c>
      <c r="K306" t="str">
        <f t="shared" si="34"/>
        <v xml:space="preserve">2156 </v>
      </c>
      <c r="L306" t="str">
        <f t="shared" si="35"/>
        <v>Plat 3</v>
      </c>
      <c r="M306" s="8" t="str">
        <f t="shared" si="31"/>
        <v>3</v>
      </c>
      <c r="N306" t="s">
        <v>636</v>
      </c>
    </row>
    <row r="307" spans="2:14" ht="15" customHeight="1" x14ac:dyDescent="0.25">
      <c r="B307" s="3" t="s">
        <v>906</v>
      </c>
      <c r="C307" s="1" t="s">
        <v>907</v>
      </c>
      <c r="D307" s="2" t="s">
        <v>19</v>
      </c>
      <c r="E307" s="1" t="s">
        <v>492</v>
      </c>
      <c r="F307" s="2" t="s">
        <v>635</v>
      </c>
      <c r="G307" s="1" t="s">
        <v>908</v>
      </c>
      <c r="H307" s="1" t="s">
        <v>3</v>
      </c>
      <c r="I307" t="str">
        <f t="shared" si="32"/>
        <v>1F</v>
      </c>
      <c r="J307" t="str">
        <f t="shared" si="33"/>
        <v xml:space="preserve">2158 </v>
      </c>
      <c r="K307" t="str">
        <f t="shared" si="34"/>
        <v xml:space="preserve">2202 </v>
      </c>
      <c r="L307" t="str">
        <f t="shared" si="35"/>
        <v>Plat 1</v>
      </c>
      <c r="M307" s="8" t="str">
        <f t="shared" si="31"/>
        <v>1</v>
      </c>
      <c r="N307" t="s">
        <v>635</v>
      </c>
    </row>
    <row r="308" spans="2:14" ht="15" customHeight="1" x14ac:dyDescent="0.25">
      <c r="B308" s="3" t="s">
        <v>909</v>
      </c>
      <c r="C308" s="1" t="s">
        <v>910</v>
      </c>
      <c r="D308" s="2" t="s">
        <v>635</v>
      </c>
      <c r="E308" s="1" t="s">
        <v>490</v>
      </c>
      <c r="F308" s="2" t="s">
        <v>636</v>
      </c>
      <c r="G308" s="1" t="s">
        <v>911</v>
      </c>
      <c r="H308" s="1" t="s">
        <v>3</v>
      </c>
      <c r="I308" t="str">
        <f t="shared" si="32"/>
        <v>1H</v>
      </c>
      <c r="J308" t="str">
        <f t="shared" si="33"/>
        <v xml:space="preserve">2159 </v>
      </c>
      <c r="K308" t="str">
        <f t="shared" si="34"/>
        <v xml:space="preserve">2203 </v>
      </c>
      <c r="L308" t="str">
        <f t="shared" si="35"/>
        <v>Plat 4</v>
      </c>
      <c r="M308" s="8" t="str">
        <f t="shared" si="31"/>
        <v>4</v>
      </c>
      <c r="N308" t="s">
        <v>636</v>
      </c>
    </row>
    <row r="309" spans="2:14" ht="15" customHeight="1" x14ac:dyDescent="0.25">
      <c r="B309" s="3" t="s">
        <v>912</v>
      </c>
      <c r="C309" s="1" t="s">
        <v>913</v>
      </c>
      <c r="D309" s="2" t="s">
        <v>636</v>
      </c>
      <c r="E309" s="1" t="s">
        <v>491</v>
      </c>
      <c r="F309" s="2" t="s">
        <v>635</v>
      </c>
      <c r="G309" s="1" t="s">
        <v>914</v>
      </c>
      <c r="H309" s="1" t="s">
        <v>3</v>
      </c>
      <c r="I309" t="str">
        <f t="shared" si="32"/>
        <v>1L</v>
      </c>
      <c r="J309" t="str">
        <f t="shared" si="33"/>
        <v xml:space="preserve">2205 </v>
      </c>
      <c r="K309" t="str">
        <f t="shared" si="34"/>
        <v xml:space="preserve">2209 </v>
      </c>
      <c r="L309" t="str">
        <f t="shared" si="35"/>
        <v>Plat 2</v>
      </c>
      <c r="M309" s="8" t="str">
        <f t="shared" si="31"/>
        <v>2</v>
      </c>
      <c r="N309" t="s">
        <v>635</v>
      </c>
    </row>
    <row r="310" spans="2:14" ht="15" customHeight="1" x14ac:dyDescent="0.25">
      <c r="B310" s="3" t="s">
        <v>915</v>
      </c>
      <c r="C310" s="1" t="s">
        <v>916</v>
      </c>
      <c r="D310" s="2" t="s">
        <v>635</v>
      </c>
      <c r="E310" s="1" t="s">
        <v>489</v>
      </c>
      <c r="F310" s="2" t="s">
        <v>636</v>
      </c>
      <c r="G310" s="1" t="s">
        <v>917</v>
      </c>
      <c r="H310" s="1" t="s">
        <v>3</v>
      </c>
      <c r="I310" t="str">
        <f t="shared" si="32"/>
        <v>1J</v>
      </c>
      <c r="J310" t="str">
        <f t="shared" si="33"/>
        <v xml:space="preserve">2210 </v>
      </c>
      <c r="K310" t="str">
        <f t="shared" si="34"/>
        <v xml:space="preserve">2214 </v>
      </c>
      <c r="L310" t="str">
        <f t="shared" si="35"/>
        <v>Plat 3</v>
      </c>
      <c r="M310" s="8" t="str">
        <f t="shared" si="31"/>
        <v>3</v>
      </c>
      <c r="N310" t="s">
        <v>636</v>
      </c>
    </row>
    <row r="311" spans="2:14" ht="15" customHeight="1" x14ac:dyDescent="0.25">
      <c r="B311" s="3" t="s">
        <v>918</v>
      </c>
      <c r="C311" s="1" t="s">
        <v>919</v>
      </c>
      <c r="D311" s="2" t="s">
        <v>636</v>
      </c>
      <c r="E311" s="1" t="s">
        <v>492</v>
      </c>
      <c r="F311" s="2" t="s">
        <v>635</v>
      </c>
      <c r="G311" s="1" t="s">
        <v>920</v>
      </c>
      <c r="H311" s="1" t="s">
        <v>3</v>
      </c>
      <c r="I311" t="str">
        <f t="shared" si="32"/>
        <v>1H</v>
      </c>
      <c r="J311" t="str">
        <f t="shared" si="33"/>
        <v xml:space="preserve">2212 </v>
      </c>
      <c r="K311" t="str">
        <f t="shared" si="34"/>
        <v xml:space="preserve">2216 </v>
      </c>
      <c r="L311" t="str">
        <f t="shared" si="35"/>
        <v>Plat 1</v>
      </c>
      <c r="M311" s="8" t="str">
        <f t="shared" si="31"/>
        <v>1</v>
      </c>
      <c r="N311" t="s">
        <v>635</v>
      </c>
    </row>
    <row r="312" spans="2:14" ht="15" customHeight="1" x14ac:dyDescent="0.25">
      <c r="B312" s="3" t="s">
        <v>921</v>
      </c>
      <c r="C312" s="1" t="s">
        <v>922</v>
      </c>
      <c r="D312" s="2" t="s">
        <v>635</v>
      </c>
      <c r="E312" s="1" t="s">
        <v>490</v>
      </c>
      <c r="F312" s="2" t="s">
        <v>636</v>
      </c>
      <c r="G312" s="1" t="s">
        <v>923</v>
      </c>
      <c r="H312" s="1" t="s">
        <v>3</v>
      </c>
      <c r="I312" t="str">
        <f t="shared" si="32"/>
        <v>1H</v>
      </c>
      <c r="J312" t="str">
        <f t="shared" si="33"/>
        <v xml:space="preserve">2217 </v>
      </c>
      <c r="K312" t="str">
        <f t="shared" si="34"/>
        <v xml:space="preserve">2221 </v>
      </c>
      <c r="L312" t="str">
        <f t="shared" si="35"/>
        <v>Plat 4</v>
      </c>
      <c r="M312" s="8" t="str">
        <f t="shared" si="31"/>
        <v>4</v>
      </c>
      <c r="N312" t="s">
        <v>636</v>
      </c>
    </row>
    <row r="313" spans="2:14" ht="15" customHeight="1" x14ac:dyDescent="0.25">
      <c r="B313" s="3" t="s">
        <v>924</v>
      </c>
      <c r="C313" s="1" t="s">
        <v>925</v>
      </c>
      <c r="D313" s="2" t="s">
        <v>637</v>
      </c>
      <c r="E313" s="1" t="s">
        <v>491</v>
      </c>
      <c r="F313" s="2" t="s">
        <v>635</v>
      </c>
      <c r="G313" s="1" t="s">
        <v>926</v>
      </c>
      <c r="H313" s="1" t="s">
        <v>3</v>
      </c>
      <c r="I313" t="str">
        <f t="shared" si="32"/>
        <v>1J</v>
      </c>
      <c r="J313" t="str">
        <f t="shared" si="33"/>
        <v xml:space="preserve">2219 </v>
      </c>
      <c r="K313" t="str">
        <f t="shared" si="34"/>
        <v xml:space="preserve">2223 </v>
      </c>
      <c r="L313" t="str">
        <f t="shared" si="35"/>
        <v>Plat 2</v>
      </c>
      <c r="M313" s="8" t="str">
        <f t="shared" si="31"/>
        <v>2</v>
      </c>
      <c r="N313" t="s">
        <v>635</v>
      </c>
    </row>
    <row r="314" spans="2:14" ht="15" customHeight="1" x14ac:dyDescent="0.25">
      <c r="B314" s="3" t="s">
        <v>927</v>
      </c>
      <c r="C314" s="1" t="s">
        <v>928</v>
      </c>
      <c r="D314" s="2" t="s">
        <v>635</v>
      </c>
      <c r="E314" s="1" t="s">
        <v>489</v>
      </c>
      <c r="F314" s="2" t="s">
        <v>636</v>
      </c>
      <c r="G314" s="1" t="s">
        <v>929</v>
      </c>
      <c r="H314" s="1" t="s">
        <v>3</v>
      </c>
      <c r="I314" t="str">
        <f t="shared" si="32"/>
        <v>1L</v>
      </c>
      <c r="J314" t="str">
        <f t="shared" si="33"/>
        <v xml:space="preserve">2224 </v>
      </c>
      <c r="K314" t="str">
        <f t="shared" si="34"/>
        <v xml:space="preserve">2228 </v>
      </c>
      <c r="L314" t="str">
        <f t="shared" si="35"/>
        <v>Plat 3</v>
      </c>
      <c r="M314" s="8" t="str">
        <f t="shared" si="31"/>
        <v>3</v>
      </c>
      <c r="N314" t="s">
        <v>636</v>
      </c>
    </row>
    <row r="315" spans="2:14" ht="15" customHeight="1" x14ac:dyDescent="0.25">
      <c r="B315" s="3" t="s">
        <v>930</v>
      </c>
      <c r="C315" s="1" t="s">
        <v>931</v>
      </c>
      <c r="D315" s="2" t="s">
        <v>636</v>
      </c>
      <c r="E315" s="1" t="s">
        <v>492</v>
      </c>
      <c r="F315" s="2" t="s">
        <v>635</v>
      </c>
      <c r="G315" s="1" t="s">
        <v>932</v>
      </c>
      <c r="H315" s="1" t="s">
        <v>3</v>
      </c>
      <c r="I315" t="str">
        <f t="shared" si="32"/>
        <v>1L</v>
      </c>
      <c r="J315" t="str">
        <f t="shared" si="33"/>
        <v xml:space="preserve">2226 </v>
      </c>
      <c r="K315" t="str">
        <f t="shared" si="34"/>
        <v xml:space="preserve">2230 </v>
      </c>
      <c r="L315" t="str">
        <f t="shared" si="35"/>
        <v>Plat 1</v>
      </c>
      <c r="M315" s="8" t="str">
        <f t="shared" si="31"/>
        <v>1</v>
      </c>
      <c r="N315" t="s">
        <v>635</v>
      </c>
    </row>
    <row r="316" spans="2:14" ht="15" customHeight="1" x14ac:dyDescent="0.25">
      <c r="B316" s="3" t="s">
        <v>930</v>
      </c>
      <c r="C316" s="1" t="s">
        <v>931</v>
      </c>
      <c r="D316" s="2" t="s">
        <v>636</v>
      </c>
      <c r="E316" s="1" t="s">
        <v>492</v>
      </c>
      <c r="F316" s="2" t="s">
        <v>635</v>
      </c>
      <c r="G316" s="1" t="s">
        <v>932</v>
      </c>
      <c r="H316" s="1" t="s">
        <v>3</v>
      </c>
      <c r="I316" t="str">
        <f t="shared" si="32"/>
        <v>1L</v>
      </c>
      <c r="J316" t="str">
        <f t="shared" si="33"/>
        <v xml:space="preserve">2226 </v>
      </c>
      <c r="K316" t="str">
        <f t="shared" si="34"/>
        <v xml:space="preserve">2230 </v>
      </c>
      <c r="L316" t="str">
        <f t="shared" si="35"/>
        <v>Plat 1</v>
      </c>
      <c r="M316" s="8" t="str">
        <f t="shared" si="31"/>
        <v>1</v>
      </c>
      <c r="N316" t="s">
        <v>635</v>
      </c>
    </row>
    <row r="317" spans="2:14" ht="15" customHeight="1" x14ac:dyDescent="0.25">
      <c r="B317" s="3" t="s">
        <v>933</v>
      </c>
      <c r="C317" s="1" t="s">
        <v>934</v>
      </c>
      <c r="D317" s="2" t="s">
        <v>635</v>
      </c>
      <c r="E317" s="1" t="s">
        <v>490</v>
      </c>
      <c r="F317" s="2" t="s">
        <v>636</v>
      </c>
      <c r="G317" s="1" t="s">
        <v>935</v>
      </c>
      <c r="H317" s="1" t="s">
        <v>3</v>
      </c>
      <c r="I317" t="str">
        <f t="shared" si="32"/>
        <v>1L</v>
      </c>
      <c r="J317" t="str">
        <f t="shared" si="33"/>
        <v xml:space="preserve">2231 </v>
      </c>
      <c r="K317" t="str">
        <f t="shared" si="34"/>
        <v xml:space="preserve">2235 </v>
      </c>
      <c r="L317" t="str">
        <f t="shared" si="35"/>
        <v>Plat 4</v>
      </c>
      <c r="M317" s="8" t="str">
        <f t="shared" si="31"/>
        <v>4</v>
      </c>
      <c r="N317" t="s">
        <v>636</v>
      </c>
    </row>
    <row r="318" spans="2:14" ht="15" customHeight="1" x14ac:dyDescent="0.25">
      <c r="B318" s="3" t="s">
        <v>936</v>
      </c>
      <c r="C318" s="1" t="s">
        <v>937</v>
      </c>
      <c r="D318" s="2" t="s">
        <v>636</v>
      </c>
      <c r="E318" s="1" t="s">
        <v>491</v>
      </c>
      <c r="F318" s="2" t="s">
        <v>635</v>
      </c>
      <c r="G318" s="1" t="s">
        <v>938</v>
      </c>
      <c r="H318" s="1" t="s">
        <v>3</v>
      </c>
      <c r="I318" t="str">
        <f t="shared" si="32"/>
        <v>1F</v>
      </c>
      <c r="J318" t="str">
        <f t="shared" si="33"/>
        <v xml:space="preserve">2233 </v>
      </c>
      <c r="K318" t="str">
        <f t="shared" si="34"/>
        <v xml:space="preserve">2237 </v>
      </c>
      <c r="L318" t="str">
        <f t="shared" si="35"/>
        <v>Plat 2</v>
      </c>
      <c r="M318" s="8" t="str">
        <f t="shared" si="31"/>
        <v>2</v>
      </c>
      <c r="N318" t="s">
        <v>635</v>
      </c>
    </row>
    <row r="319" spans="2:14" ht="15" customHeight="1" x14ac:dyDescent="0.25">
      <c r="B319" s="3" t="s">
        <v>939</v>
      </c>
      <c r="C319" s="1" t="s">
        <v>940</v>
      </c>
      <c r="D319" s="2" t="s">
        <v>635</v>
      </c>
      <c r="E319" s="1" t="s">
        <v>489</v>
      </c>
      <c r="F319" s="2" t="s">
        <v>636</v>
      </c>
      <c r="G319" s="1" t="s">
        <v>941</v>
      </c>
      <c r="H319" s="1" t="s">
        <v>3</v>
      </c>
      <c r="I319" t="str">
        <f t="shared" si="32"/>
        <v>1H</v>
      </c>
      <c r="J319" t="str">
        <f t="shared" si="33"/>
        <v xml:space="preserve">2238 </v>
      </c>
      <c r="K319" t="str">
        <f t="shared" si="34"/>
        <v xml:space="preserve">2242 </v>
      </c>
      <c r="L319" t="str">
        <f t="shared" si="35"/>
        <v>Plat 3</v>
      </c>
      <c r="M319" s="8" t="str">
        <f t="shared" si="31"/>
        <v>3</v>
      </c>
      <c r="N319" t="s">
        <v>636</v>
      </c>
    </row>
    <row r="320" spans="2:14" ht="15" customHeight="1" x14ac:dyDescent="0.25">
      <c r="B320" s="3" t="s">
        <v>942</v>
      </c>
      <c r="C320" s="1" t="s">
        <v>943</v>
      </c>
      <c r="D320" s="2" t="s">
        <v>635</v>
      </c>
      <c r="E320" s="1" t="s">
        <v>490</v>
      </c>
      <c r="F320" s="2" t="s">
        <v>636</v>
      </c>
      <c r="G320" s="1" t="s">
        <v>944</v>
      </c>
      <c r="H320" s="1" t="s">
        <v>3</v>
      </c>
      <c r="I320" t="str">
        <f t="shared" si="32"/>
        <v>1H</v>
      </c>
      <c r="J320" t="str">
        <f t="shared" si="33"/>
        <v xml:space="preserve">2245 </v>
      </c>
      <c r="K320" t="str">
        <f t="shared" si="34"/>
        <v xml:space="preserve">2247 </v>
      </c>
      <c r="L320" t="str">
        <f t="shared" si="35"/>
        <v>Plat 4</v>
      </c>
      <c r="M320" s="8" t="str">
        <f t="shared" si="31"/>
        <v>4</v>
      </c>
      <c r="N320" t="s">
        <v>636</v>
      </c>
    </row>
    <row r="321" spans="2:14" ht="15" customHeight="1" x14ac:dyDescent="0.25">
      <c r="B321" s="3" t="s">
        <v>945</v>
      </c>
      <c r="C321" s="1" t="s">
        <v>946</v>
      </c>
      <c r="D321" s="2" t="s">
        <v>637</v>
      </c>
      <c r="E321" s="1" t="s">
        <v>492</v>
      </c>
      <c r="F321" s="2" t="s">
        <v>635</v>
      </c>
      <c r="G321" s="1" t="s">
        <v>947</v>
      </c>
      <c r="H321" s="1" t="s">
        <v>3</v>
      </c>
      <c r="I321" t="str">
        <f t="shared" si="32"/>
        <v>1J</v>
      </c>
      <c r="J321" t="str">
        <f t="shared" si="33"/>
        <v>2244½</v>
      </c>
      <c r="K321" t="str">
        <f t="shared" si="34"/>
        <v>2248½</v>
      </c>
      <c r="L321" t="str">
        <f t="shared" si="35"/>
        <v>Plat 1</v>
      </c>
      <c r="M321" s="8" t="str">
        <f t="shared" si="31"/>
        <v>1</v>
      </c>
      <c r="N321" t="s">
        <v>635</v>
      </c>
    </row>
    <row r="322" spans="2:14" ht="15" customHeight="1" x14ac:dyDescent="0.25">
      <c r="B322" s="3" t="s">
        <v>948</v>
      </c>
      <c r="C322" s="1" t="s">
        <v>949</v>
      </c>
      <c r="D322" s="2" t="s">
        <v>636</v>
      </c>
      <c r="E322" s="1" t="s">
        <v>491</v>
      </c>
      <c r="F322" s="2" t="s">
        <v>635</v>
      </c>
      <c r="G322" s="1" t="s">
        <v>950</v>
      </c>
      <c r="H322" s="1" t="s">
        <v>3</v>
      </c>
      <c r="I322" t="str">
        <f t="shared" si="32"/>
        <v>1H</v>
      </c>
      <c r="J322" t="str">
        <f t="shared" si="33"/>
        <v xml:space="preserve">2251 </v>
      </c>
      <c r="K322" t="str">
        <f t="shared" si="34"/>
        <v xml:space="preserve">2255 </v>
      </c>
      <c r="L322" t="str">
        <f t="shared" si="35"/>
        <v>Plat 2</v>
      </c>
      <c r="M322" s="8" t="str">
        <f t="shared" si="31"/>
        <v>2</v>
      </c>
      <c r="N322" t="s">
        <v>635</v>
      </c>
    </row>
    <row r="323" spans="2:14" ht="15" customHeight="1" x14ac:dyDescent="0.25">
      <c r="B323" s="3" t="s">
        <v>951</v>
      </c>
      <c r="C323" s="1" t="s">
        <v>952</v>
      </c>
      <c r="D323" s="2" t="s">
        <v>635</v>
      </c>
      <c r="E323" s="1" t="s">
        <v>489</v>
      </c>
      <c r="F323" s="2" t="s">
        <v>636</v>
      </c>
      <c r="G323" s="1" t="s">
        <v>953</v>
      </c>
      <c r="H323" s="1" t="s">
        <v>3</v>
      </c>
      <c r="I323" t="str">
        <f t="shared" si="32"/>
        <v>1L</v>
      </c>
      <c r="J323" t="str">
        <f t="shared" si="33"/>
        <v xml:space="preserve">2252 </v>
      </c>
      <c r="K323" t="str">
        <f t="shared" si="34"/>
        <v xml:space="preserve">2256 </v>
      </c>
      <c r="L323" t="str">
        <f t="shared" si="35"/>
        <v>Plat 3</v>
      </c>
      <c r="M323" s="8" t="str">
        <f t="shared" ref="M323:M346" si="36">RIGHT(L323,1)</f>
        <v>3</v>
      </c>
      <c r="N323" t="s">
        <v>636</v>
      </c>
    </row>
    <row r="324" spans="2:14" ht="15" customHeight="1" x14ac:dyDescent="0.25">
      <c r="B324" s="3" t="s">
        <v>954</v>
      </c>
      <c r="C324" s="1" t="s">
        <v>955</v>
      </c>
      <c r="D324" s="2" t="s">
        <v>19</v>
      </c>
      <c r="E324" s="1" t="s">
        <v>492</v>
      </c>
      <c r="F324" s="2" t="s">
        <v>635</v>
      </c>
      <c r="G324" s="1" t="s">
        <v>956</v>
      </c>
      <c r="H324" s="1" t="s">
        <v>3</v>
      </c>
      <c r="I324" t="str">
        <f t="shared" si="32"/>
        <v>1F</v>
      </c>
      <c r="J324" t="str">
        <f t="shared" si="33"/>
        <v>2257½</v>
      </c>
      <c r="K324" t="str">
        <f t="shared" si="34"/>
        <v>2301½</v>
      </c>
      <c r="L324" t="str">
        <f t="shared" si="35"/>
        <v>Plat 1</v>
      </c>
      <c r="M324" s="8" t="str">
        <f t="shared" si="36"/>
        <v>1</v>
      </c>
      <c r="N324" t="s">
        <v>635</v>
      </c>
    </row>
    <row r="325" spans="2:14" ht="15" customHeight="1" x14ac:dyDescent="0.25">
      <c r="B325" s="3" t="s">
        <v>957</v>
      </c>
      <c r="C325" s="1" t="s">
        <v>958</v>
      </c>
      <c r="D325" s="2" t="s">
        <v>635</v>
      </c>
      <c r="E325" s="1" t="s">
        <v>490</v>
      </c>
      <c r="F325" s="2" t="s">
        <v>636</v>
      </c>
      <c r="G325" s="1" t="s">
        <v>959</v>
      </c>
      <c r="H325" s="1" t="s">
        <v>3</v>
      </c>
      <c r="I325" t="str">
        <f t="shared" si="32"/>
        <v>1L</v>
      </c>
      <c r="J325" t="str">
        <f t="shared" si="33"/>
        <v xml:space="preserve">2258 </v>
      </c>
      <c r="K325" t="str">
        <f t="shared" si="34"/>
        <v xml:space="preserve">2302 </v>
      </c>
      <c r="L325" t="str">
        <f t="shared" si="35"/>
        <v>Plat 4</v>
      </c>
      <c r="M325" s="8" t="str">
        <f t="shared" si="36"/>
        <v>4</v>
      </c>
      <c r="N325" t="s">
        <v>636</v>
      </c>
    </row>
    <row r="326" spans="2:14" ht="15" customHeight="1" x14ac:dyDescent="0.25">
      <c r="B326" s="3" t="s">
        <v>960</v>
      </c>
      <c r="C326" s="1" t="s">
        <v>961</v>
      </c>
      <c r="D326" s="2" t="s">
        <v>636</v>
      </c>
      <c r="E326" s="1" t="s">
        <v>491</v>
      </c>
      <c r="F326" s="2" t="s">
        <v>635</v>
      </c>
      <c r="G326" s="1" t="s">
        <v>962</v>
      </c>
      <c r="H326" s="1" t="s">
        <v>3</v>
      </c>
      <c r="I326" t="str">
        <f t="shared" si="32"/>
        <v>1L</v>
      </c>
      <c r="J326" t="str">
        <f t="shared" si="33"/>
        <v xml:space="preserve">2301 </v>
      </c>
      <c r="K326" t="str">
        <f t="shared" si="34"/>
        <v xml:space="preserve">2305 </v>
      </c>
      <c r="L326" t="str">
        <f t="shared" si="35"/>
        <v>Plat 2</v>
      </c>
      <c r="M326" s="8" t="str">
        <f t="shared" si="36"/>
        <v>2</v>
      </c>
      <c r="N326" t="s">
        <v>635</v>
      </c>
    </row>
    <row r="327" spans="2:14" ht="15" customHeight="1" x14ac:dyDescent="0.25">
      <c r="B327" s="3" t="s">
        <v>963</v>
      </c>
      <c r="C327" s="1" t="s">
        <v>964</v>
      </c>
      <c r="D327" s="2" t="s">
        <v>636</v>
      </c>
      <c r="E327" s="1" t="s">
        <v>492</v>
      </c>
      <c r="F327" s="2" t="s">
        <v>635</v>
      </c>
      <c r="G327" s="1" t="s">
        <v>965</v>
      </c>
      <c r="H327" s="1" t="s">
        <v>3</v>
      </c>
      <c r="I327" t="str">
        <f t="shared" si="32"/>
        <v>1L</v>
      </c>
      <c r="J327" t="str">
        <f t="shared" si="33"/>
        <v xml:space="preserve">2306 </v>
      </c>
      <c r="K327" t="str">
        <f t="shared" si="34"/>
        <v xml:space="preserve">2309 </v>
      </c>
      <c r="L327" t="str">
        <f t="shared" si="35"/>
        <v>Plat 1</v>
      </c>
      <c r="M327" s="8" t="str">
        <f t="shared" si="36"/>
        <v>1</v>
      </c>
      <c r="N327" t="s">
        <v>635</v>
      </c>
    </row>
    <row r="328" spans="2:14" ht="15" customHeight="1" x14ac:dyDescent="0.25">
      <c r="B328" s="3" t="s">
        <v>966</v>
      </c>
      <c r="C328" s="1" t="s">
        <v>967</v>
      </c>
      <c r="D328" s="2" t="s">
        <v>635</v>
      </c>
      <c r="E328" s="1" t="s">
        <v>489</v>
      </c>
      <c r="F328" s="2" t="s">
        <v>636</v>
      </c>
      <c r="G328" s="1" t="s">
        <v>968</v>
      </c>
      <c r="H328" s="1" t="s">
        <v>3</v>
      </c>
      <c r="I328" t="str">
        <f t="shared" ref="I328:I346" si="37">LEFT(B328,2)</f>
        <v>1H</v>
      </c>
      <c r="J328" t="str">
        <f t="shared" ref="J328:J346" si="38">LEFT(C328,5)</f>
        <v xml:space="preserve">2310 </v>
      </c>
      <c r="K328" t="str">
        <f t="shared" ref="K328:K346" si="39">LEFT(G328,5)</f>
        <v xml:space="preserve">2314 </v>
      </c>
      <c r="L328" t="str">
        <f t="shared" ref="L328:L346" si="40">LEFT(E328,6)</f>
        <v>Plat 3</v>
      </c>
      <c r="M328" s="8" t="str">
        <f t="shared" si="36"/>
        <v>3</v>
      </c>
      <c r="N328" t="s">
        <v>636</v>
      </c>
    </row>
    <row r="329" spans="2:14" ht="15" customHeight="1" x14ac:dyDescent="0.25">
      <c r="B329" s="3" t="s">
        <v>969</v>
      </c>
      <c r="C329" s="1" t="s">
        <v>970</v>
      </c>
      <c r="D329" s="2" t="s">
        <v>636</v>
      </c>
      <c r="E329" s="1" t="s">
        <v>491</v>
      </c>
      <c r="F329" s="2" t="s">
        <v>635</v>
      </c>
      <c r="G329" s="1" t="s">
        <v>971</v>
      </c>
      <c r="H329" s="1" t="s">
        <v>3</v>
      </c>
      <c r="I329" t="str">
        <f t="shared" si="37"/>
        <v>1H</v>
      </c>
      <c r="J329" t="str">
        <f t="shared" si="38"/>
        <v xml:space="preserve">2311 </v>
      </c>
      <c r="K329" t="str">
        <f t="shared" si="39"/>
        <v xml:space="preserve">2315 </v>
      </c>
      <c r="L329" t="str">
        <f t="shared" si="40"/>
        <v>Plat 2</v>
      </c>
      <c r="M329" s="8" t="str">
        <f t="shared" si="36"/>
        <v>2</v>
      </c>
      <c r="N329" t="s">
        <v>635</v>
      </c>
    </row>
    <row r="330" spans="2:14" ht="15" customHeight="1" x14ac:dyDescent="0.25">
      <c r="B330" s="3" t="s">
        <v>972</v>
      </c>
      <c r="C330" s="1" t="s">
        <v>973</v>
      </c>
      <c r="D330" s="2" t="s">
        <v>637</v>
      </c>
      <c r="E330" s="1" t="s">
        <v>492</v>
      </c>
      <c r="F330" s="2" t="s">
        <v>635</v>
      </c>
      <c r="G330" s="1" t="s">
        <v>974</v>
      </c>
      <c r="H330" s="1" t="s">
        <v>3</v>
      </c>
      <c r="I330" t="str">
        <f t="shared" si="37"/>
        <v>1J</v>
      </c>
      <c r="J330" t="str">
        <f t="shared" si="38"/>
        <v xml:space="preserve">2316 </v>
      </c>
      <c r="K330" t="str">
        <f t="shared" si="39"/>
        <v xml:space="preserve">2320 </v>
      </c>
      <c r="L330" t="str">
        <f t="shared" si="40"/>
        <v>Plat 1</v>
      </c>
      <c r="M330" s="8" t="str">
        <f t="shared" si="36"/>
        <v>1</v>
      </c>
      <c r="N330" t="s">
        <v>635</v>
      </c>
    </row>
    <row r="331" spans="2:14" ht="15" customHeight="1" x14ac:dyDescent="0.25">
      <c r="B331" s="3" t="s">
        <v>975</v>
      </c>
      <c r="C331" s="1" t="s">
        <v>976</v>
      </c>
      <c r="D331" s="2" t="s">
        <v>635</v>
      </c>
      <c r="E331" s="1" t="s">
        <v>490</v>
      </c>
      <c r="F331" s="2" t="s">
        <v>636</v>
      </c>
      <c r="G331" s="1" t="s">
        <v>977</v>
      </c>
      <c r="H331" s="1" t="s">
        <v>3</v>
      </c>
      <c r="I331" t="str">
        <f t="shared" si="37"/>
        <v>1H</v>
      </c>
      <c r="J331" t="str">
        <f t="shared" si="38"/>
        <v xml:space="preserve">2317 </v>
      </c>
      <c r="K331" t="str">
        <f t="shared" si="39"/>
        <v xml:space="preserve">2321 </v>
      </c>
      <c r="L331" t="str">
        <f t="shared" si="40"/>
        <v>Plat 4</v>
      </c>
      <c r="M331" s="8" t="str">
        <f t="shared" si="36"/>
        <v>4</v>
      </c>
      <c r="N331" t="s">
        <v>636</v>
      </c>
    </row>
    <row r="332" spans="2:14" ht="15" customHeight="1" x14ac:dyDescent="0.25">
      <c r="B332" s="3" t="s">
        <v>978</v>
      </c>
      <c r="C332" s="1" t="s">
        <v>979</v>
      </c>
      <c r="D332" s="2" t="s">
        <v>636</v>
      </c>
      <c r="E332" s="1" t="s">
        <v>491</v>
      </c>
      <c r="F332" s="2" t="s">
        <v>635</v>
      </c>
      <c r="G332" s="1" t="s">
        <v>980</v>
      </c>
      <c r="H332" s="1" t="s">
        <v>3</v>
      </c>
      <c r="I332" t="str">
        <f t="shared" si="37"/>
        <v>1H</v>
      </c>
      <c r="J332" t="str">
        <f t="shared" si="38"/>
        <v xml:space="preserve">2323 </v>
      </c>
      <c r="K332" t="str">
        <f t="shared" si="39"/>
        <v xml:space="preserve">2325 </v>
      </c>
      <c r="L332" t="str">
        <f t="shared" si="40"/>
        <v>Plat 2</v>
      </c>
      <c r="M332" s="8" t="str">
        <f t="shared" si="36"/>
        <v>2</v>
      </c>
      <c r="N332" t="s">
        <v>635</v>
      </c>
    </row>
    <row r="333" spans="2:14" ht="15" customHeight="1" x14ac:dyDescent="0.25">
      <c r="B333" s="3" t="s">
        <v>981</v>
      </c>
      <c r="C333" s="1" t="s">
        <v>982</v>
      </c>
      <c r="D333" s="2" t="s">
        <v>635</v>
      </c>
      <c r="E333" s="1" t="s">
        <v>489</v>
      </c>
      <c r="F333" s="2" t="s">
        <v>636</v>
      </c>
      <c r="G333" s="1" t="s">
        <v>983</v>
      </c>
      <c r="H333" s="1" t="s">
        <v>3</v>
      </c>
      <c r="I333" t="str">
        <f t="shared" si="37"/>
        <v>1L</v>
      </c>
      <c r="J333" t="str">
        <f t="shared" si="38"/>
        <v xml:space="preserve">2322 </v>
      </c>
      <c r="K333" t="str">
        <f t="shared" si="39"/>
        <v xml:space="preserve">2326 </v>
      </c>
      <c r="L333" t="str">
        <f t="shared" si="40"/>
        <v>Plat 3</v>
      </c>
      <c r="M333" s="8" t="str">
        <f t="shared" si="36"/>
        <v>3</v>
      </c>
      <c r="N333" t="s">
        <v>636</v>
      </c>
    </row>
    <row r="334" spans="2:14" ht="15" customHeight="1" x14ac:dyDescent="0.25">
      <c r="B334" s="3" t="s">
        <v>984</v>
      </c>
      <c r="C334" s="1" t="s">
        <v>983</v>
      </c>
      <c r="D334" s="2" t="s">
        <v>636</v>
      </c>
      <c r="E334" s="1" t="s">
        <v>492</v>
      </c>
      <c r="F334" s="2" t="s">
        <v>635</v>
      </c>
      <c r="G334" s="1" t="s">
        <v>985</v>
      </c>
      <c r="H334" s="1" t="s">
        <v>3</v>
      </c>
      <c r="I334" t="str">
        <f t="shared" si="37"/>
        <v>1L</v>
      </c>
      <c r="J334" t="str">
        <f t="shared" si="38"/>
        <v xml:space="preserve">2326 </v>
      </c>
      <c r="K334" t="str">
        <f t="shared" si="39"/>
        <v xml:space="preserve">2330 </v>
      </c>
      <c r="L334" t="str">
        <f t="shared" si="40"/>
        <v>Plat 1</v>
      </c>
      <c r="M334" s="8" t="str">
        <f t="shared" si="36"/>
        <v>1</v>
      </c>
      <c r="N334" t="s">
        <v>635</v>
      </c>
    </row>
    <row r="335" spans="2:14" ht="15" customHeight="1" x14ac:dyDescent="0.25">
      <c r="B335" s="3" t="s">
        <v>986</v>
      </c>
      <c r="C335" s="1" t="s">
        <v>987</v>
      </c>
      <c r="D335" s="2" t="s">
        <v>635</v>
      </c>
      <c r="E335" s="1" t="s">
        <v>490</v>
      </c>
      <c r="F335" s="2" t="s">
        <v>636</v>
      </c>
      <c r="G335" s="1" t="s">
        <v>988</v>
      </c>
      <c r="H335" s="1" t="s">
        <v>3</v>
      </c>
      <c r="I335" t="str">
        <f t="shared" si="37"/>
        <v>1L</v>
      </c>
      <c r="J335" t="str">
        <f t="shared" si="38"/>
        <v>2326½</v>
      </c>
      <c r="K335" t="str">
        <f t="shared" si="39"/>
        <v>2330½</v>
      </c>
      <c r="L335" t="str">
        <f t="shared" si="40"/>
        <v>Plat 4</v>
      </c>
      <c r="M335" s="8" t="str">
        <f t="shared" si="36"/>
        <v>4</v>
      </c>
      <c r="N335" t="s">
        <v>636</v>
      </c>
    </row>
    <row r="336" spans="2:14" ht="15" customHeight="1" x14ac:dyDescent="0.25">
      <c r="B336" s="3" t="s">
        <v>989</v>
      </c>
      <c r="C336" s="1" t="s">
        <v>990</v>
      </c>
      <c r="D336" s="2" t="s">
        <v>636</v>
      </c>
      <c r="E336" s="1" t="s">
        <v>491</v>
      </c>
      <c r="F336" s="2" t="s">
        <v>635</v>
      </c>
      <c r="G336" s="1" t="s">
        <v>991</v>
      </c>
      <c r="H336" s="1" t="s">
        <v>3</v>
      </c>
      <c r="I336" t="str">
        <f t="shared" si="37"/>
        <v>1L</v>
      </c>
      <c r="J336" t="str">
        <f t="shared" si="38"/>
        <v xml:space="preserve">2331 </v>
      </c>
      <c r="K336" t="str">
        <f t="shared" si="39"/>
        <v xml:space="preserve">2335 </v>
      </c>
      <c r="L336" t="str">
        <f t="shared" si="40"/>
        <v>Plat 2</v>
      </c>
      <c r="M336" s="8" t="str">
        <f t="shared" si="36"/>
        <v>2</v>
      </c>
      <c r="N336" t="s">
        <v>635</v>
      </c>
    </row>
    <row r="337" spans="2:14" ht="15" customHeight="1" x14ac:dyDescent="0.25">
      <c r="B337" s="3" t="s">
        <v>992</v>
      </c>
      <c r="C337" s="1" t="s">
        <v>993</v>
      </c>
      <c r="D337" s="2" t="s">
        <v>635</v>
      </c>
      <c r="E337" s="1" t="s">
        <v>489</v>
      </c>
      <c r="F337" s="2" t="s">
        <v>636</v>
      </c>
      <c r="G337" s="1" t="s">
        <v>994</v>
      </c>
      <c r="H337" s="1" t="s">
        <v>3</v>
      </c>
      <c r="I337" t="str">
        <f t="shared" si="37"/>
        <v>1H</v>
      </c>
      <c r="J337" t="str">
        <f t="shared" si="38"/>
        <v>2331½</v>
      </c>
      <c r="K337" t="str">
        <f t="shared" si="39"/>
        <v>2335½</v>
      </c>
      <c r="L337" t="str">
        <f t="shared" si="40"/>
        <v>Plat 3</v>
      </c>
      <c r="M337" s="8" t="str">
        <f t="shared" si="36"/>
        <v>3</v>
      </c>
      <c r="N337" t="s">
        <v>636</v>
      </c>
    </row>
    <row r="338" spans="2:14" ht="15" customHeight="1" x14ac:dyDescent="0.25">
      <c r="B338" s="3" t="s">
        <v>995</v>
      </c>
      <c r="C338" s="1" t="s">
        <v>996</v>
      </c>
      <c r="D338" s="2" t="s">
        <v>636</v>
      </c>
      <c r="E338" s="1" t="s">
        <v>492</v>
      </c>
      <c r="F338" s="2" t="s">
        <v>635</v>
      </c>
      <c r="G338" s="1" t="s">
        <v>997</v>
      </c>
      <c r="H338" s="1" t="s">
        <v>3</v>
      </c>
      <c r="I338" t="str">
        <f t="shared" si="37"/>
        <v>1L</v>
      </c>
      <c r="J338" t="str">
        <f t="shared" si="38"/>
        <v xml:space="preserve">2336 </v>
      </c>
      <c r="K338" t="str">
        <f t="shared" si="39"/>
        <v xml:space="preserve">2340 </v>
      </c>
      <c r="L338" t="str">
        <f t="shared" si="40"/>
        <v>Plat 1</v>
      </c>
      <c r="M338" s="8" t="str">
        <f t="shared" si="36"/>
        <v>1</v>
      </c>
      <c r="N338" t="s">
        <v>635</v>
      </c>
    </row>
    <row r="339" spans="2:14" ht="15" customHeight="1" x14ac:dyDescent="0.25">
      <c r="B339" s="3" t="s">
        <v>998</v>
      </c>
      <c r="C339" s="1" t="s">
        <v>999</v>
      </c>
      <c r="D339" s="2" t="s">
        <v>635</v>
      </c>
      <c r="E339" s="1" t="s">
        <v>490</v>
      </c>
      <c r="F339" s="2" t="s">
        <v>636</v>
      </c>
      <c r="G339" s="1" t="s">
        <v>1000</v>
      </c>
      <c r="H339" s="1" t="s">
        <v>3</v>
      </c>
      <c r="I339" t="str">
        <f t="shared" si="37"/>
        <v>1H</v>
      </c>
      <c r="J339" t="str">
        <f t="shared" si="38"/>
        <v xml:space="preserve">2338 </v>
      </c>
      <c r="K339" t="str">
        <f t="shared" si="39"/>
        <v xml:space="preserve">2342 </v>
      </c>
      <c r="L339" t="str">
        <f t="shared" si="40"/>
        <v>Plat 4</v>
      </c>
      <c r="M339" s="8" t="str">
        <f t="shared" si="36"/>
        <v>4</v>
      </c>
      <c r="N339" t="s">
        <v>636</v>
      </c>
    </row>
    <row r="340" spans="2:14" ht="15" customHeight="1" x14ac:dyDescent="0.25">
      <c r="B340" s="3" t="s">
        <v>1001</v>
      </c>
      <c r="C340" s="1" t="s">
        <v>1000</v>
      </c>
      <c r="D340" s="2" t="s">
        <v>637</v>
      </c>
      <c r="E340" s="1" t="s">
        <v>491</v>
      </c>
      <c r="F340" s="2" t="s">
        <v>635</v>
      </c>
      <c r="G340" s="1" t="s">
        <v>1002</v>
      </c>
      <c r="H340" s="1" t="s">
        <v>3</v>
      </c>
      <c r="I340" t="str">
        <f t="shared" si="37"/>
        <v>1J</v>
      </c>
      <c r="J340" t="str">
        <f t="shared" si="38"/>
        <v xml:space="preserve">2342 </v>
      </c>
      <c r="K340" t="str">
        <f t="shared" si="39"/>
        <v xml:space="preserve">2345 </v>
      </c>
      <c r="L340" t="str">
        <f t="shared" si="40"/>
        <v>Plat 2</v>
      </c>
      <c r="M340" s="8" t="str">
        <f t="shared" si="36"/>
        <v>2</v>
      </c>
      <c r="N340" t="s">
        <v>635</v>
      </c>
    </row>
    <row r="341" spans="2:14" ht="15" customHeight="1" x14ac:dyDescent="0.25">
      <c r="B341" s="3" t="s">
        <v>1003</v>
      </c>
      <c r="C341" s="1" t="s">
        <v>1000</v>
      </c>
      <c r="D341" s="2" t="s">
        <v>635</v>
      </c>
      <c r="E341" s="1" t="s">
        <v>489</v>
      </c>
      <c r="F341" s="2" t="s">
        <v>636</v>
      </c>
      <c r="G341" s="1" t="s">
        <v>1004</v>
      </c>
      <c r="H341" s="1" t="s">
        <v>3</v>
      </c>
      <c r="I341" t="str">
        <f t="shared" si="37"/>
        <v>1L</v>
      </c>
      <c r="J341" t="str">
        <f t="shared" si="38"/>
        <v xml:space="preserve">2342 </v>
      </c>
      <c r="K341" t="str">
        <f t="shared" si="39"/>
        <v xml:space="preserve">2346 </v>
      </c>
      <c r="L341" t="str">
        <f t="shared" si="40"/>
        <v>Plat 3</v>
      </c>
      <c r="M341" s="8" t="str">
        <f t="shared" si="36"/>
        <v>3</v>
      </c>
      <c r="N341" t="s">
        <v>636</v>
      </c>
    </row>
    <row r="342" spans="2:14" ht="15" customHeight="1" x14ac:dyDescent="0.25">
      <c r="B342" s="3" t="s">
        <v>1005</v>
      </c>
      <c r="C342" s="1" t="s">
        <v>1006</v>
      </c>
      <c r="D342" s="2" t="s">
        <v>636</v>
      </c>
      <c r="E342" s="1" t="s">
        <v>492</v>
      </c>
      <c r="F342" s="2" t="s">
        <v>635</v>
      </c>
      <c r="G342" s="1" t="s">
        <v>1007</v>
      </c>
      <c r="H342" s="1" t="s">
        <v>3</v>
      </c>
      <c r="I342" t="str">
        <f t="shared" si="37"/>
        <v>1H</v>
      </c>
      <c r="J342" t="str">
        <f t="shared" si="38"/>
        <v>2345½</v>
      </c>
      <c r="K342" t="str">
        <f t="shared" si="39"/>
        <v xml:space="preserve">2350 </v>
      </c>
      <c r="L342" t="str">
        <f t="shared" si="40"/>
        <v>Plat 1</v>
      </c>
      <c r="M342" s="8" t="str">
        <f t="shared" si="36"/>
        <v>1</v>
      </c>
      <c r="N342" t="s">
        <v>635</v>
      </c>
    </row>
    <row r="343" spans="2:14" ht="15" customHeight="1" x14ac:dyDescent="0.25">
      <c r="B343" s="3" t="s">
        <v>1008</v>
      </c>
      <c r="C343" s="1" t="s">
        <v>1009</v>
      </c>
      <c r="D343" s="2" t="s">
        <v>635</v>
      </c>
      <c r="E343" s="1" t="s">
        <v>490</v>
      </c>
      <c r="F343" s="2" t="s">
        <v>636</v>
      </c>
      <c r="G343" s="1" t="s">
        <v>1010</v>
      </c>
      <c r="H343" s="1" t="s">
        <v>3</v>
      </c>
      <c r="I343" t="str">
        <f t="shared" si="37"/>
        <v>1L</v>
      </c>
      <c r="J343" t="str">
        <f t="shared" si="38"/>
        <v>2346½</v>
      </c>
      <c r="K343" t="str">
        <f t="shared" si="39"/>
        <v>2350½</v>
      </c>
      <c r="L343" t="str">
        <f t="shared" si="40"/>
        <v>Plat 4</v>
      </c>
      <c r="M343" s="8" t="str">
        <f t="shared" si="36"/>
        <v>4</v>
      </c>
      <c r="N343" t="s">
        <v>636</v>
      </c>
    </row>
    <row r="344" spans="2:14" ht="15" customHeight="1" x14ac:dyDescent="0.25">
      <c r="B344" s="3" t="s">
        <v>1011</v>
      </c>
      <c r="C344" s="1" t="s">
        <v>1012</v>
      </c>
      <c r="D344" s="2" t="s">
        <v>636</v>
      </c>
      <c r="E344" s="1" t="s">
        <v>491</v>
      </c>
      <c r="F344" s="2" t="s">
        <v>635</v>
      </c>
      <c r="G344" s="1" t="s">
        <v>1013</v>
      </c>
      <c r="H344" s="1" t="s">
        <v>3</v>
      </c>
      <c r="I344" t="str">
        <f t="shared" si="37"/>
        <v>1H</v>
      </c>
      <c r="J344" t="str">
        <f t="shared" si="38"/>
        <v xml:space="preserve">2351 </v>
      </c>
      <c r="K344" t="str">
        <f t="shared" si="39"/>
        <v xml:space="preserve">2355 </v>
      </c>
      <c r="L344" t="str">
        <f t="shared" si="40"/>
        <v>Plat 2</v>
      </c>
      <c r="M344" s="8" t="str">
        <f t="shared" si="36"/>
        <v>2</v>
      </c>
      <c r="N344" t="s">
        <v>635</v>
      </c>
    </row>
    <row r="345" spans="2:14" ht="15" customHeight="1" x14ac:dyDescent="0.25">
      <c r="B345" s="3" t="s">
        <v>1014</v>
      </c>
      <c r="C345" s="1" t="s">
        <v>1015</v>
      </c>
      <c r="D345" s="2" t="s">
        <v>635</v>
      </c>
      <c r="E345" s="1" t="s">
        <v>489</v>
      </c>
      <c r="F345" s="2" t="s">
        <v>636</v>
      </c>
      <c r="G345" s="1" t="s">
        <v>247</v>
      </c>
      <c r="H345" s="1" t="s">
        <v>3</v>
      </c>
      <c r="I345" t="str">
        <f t="shared" si="37"/>
        <v>1H</v>
      </c>
      <c r="J345" t="str">
        <f t="shared" si="38"/>
        <v xml:space="preserve">2353 </v>
      </c>
      <c r="K345" t="str">
        <f t="shared" si="39"/>
        <v xml:space="preserve">2357 </v>
      </c>
      <c r="L345" t="str">
        <f t="shared" si="40"/>
        <v>Plat 3</v>
      </c>
      <c r="M345" s="8" t="str">
        <f t="shared" si="36"/>
        <v>3</v>
      </c>
      <c r="N345" t="s">
        <v>636</v>
      </c>
    </row>
    <row r="346" spans="2:14" ht="15" customHeight="1" x14ac:dyDescent="0.25">
      <c r="B346" s="3" t="s">
        <v>1016</v>
      </c>
      <c r="C346" s="1" t="s">
        <v>1017</v>
      </c>
      <c r="D346" s="2" t="s">
        <v>636</v>
      </c>
      <c r="E346" s="1" t="s">
        <v>492</v>
      </c>
      <c r="F346" s="2" t="s">
        <v>635</v>
      </c>
      <c r="G346" s="1" t="s">
        <v>1018</v>
      </c>
      <c r="H346" s="1" t="s">
        <v>3</v>
      </c>
      <c r="I346" t="str">
        <f t="shared" si="37"/>
        <v>1L</v>
      </c>
      <c r="J346" t="str">
        <f t="shared" si="38"/>
        <v xml:space="preserve">2356 </v>
      </c>
      <c r="K346" t="str">
        <f t="shared" si="39"/>
        <v xml:space="preserve">2359 </v>
      </c>
      <c r="L346" t="str">
        <f t="shared" si="40"/>
        <v>Plat 1</v>
      </c>
      <c r="M346" s="8" t="str">
        <f t="shared" si="36"/>
        <v>1</v>
      </c>
      <c r="N346" t="s">
        <v>635</v>
      </c>
    </row>
  </sheetData>
  <autoFilter ref="B1:M346"/>
  <hyperlinks>
    <hyperlink ref="B38" r:id="rId1" display="http://www.opentraintimes.com/schedule/W39630/2012/8/7"/>
    <hyperlink ref="B39" r:id="rId2" display="http://www.opentraintimes.com/schedule/W39642/2012/8/7"/>
    <hyperlink ref="B40" r:id="rId3" display="http://www.opentraintimes.com/schedule/W39632/2012/8/7"/>
    <hyperlink ref="B41" r:id="rId4" display="http://www.opentraintimes.com/schedule/W39444/2012/8/7"/>
    <hyperlink ref="B42" r:id="rId5" display="http://www.opentraintimes.com/schedule/W39634/2012/8/7"/>
    <hyperlink ref="B43" r:id="rId6" display="http://www.opentraintimes.com/schedule/W39292/2012/8/7"/>
    <hyperlink ref="B44" r:id="rId7" display="http://www.opentraintimes.com/schedule/W39386/2012/8/7"/>
    <hyperlink ref="B45" r:id="rId8" display="http://www.opentraintimes.com/schedule/W39822/2012/8/7"/>
    <hyperlink ref="B46" r:id="rId9" display="http://www.opentraintimes.com/schedule/W39820/2012/8/7"/>
    <hyperlink ref="B47" r:id="rId10" display="http://www.opentraintimes.com/schedule/W39826/2012/8/7"/>
    <hyperlink ref="B48" r:id="rId11" display="http://www.opentraintimes.com/schedule/W39824/2012/8/7"/>
    <hyperlink ref="B50" r:id="rId12" display="http://www.opentraintimes.com/schedule/W39828/2012/8/7"/>
    <hyperlink ref="B51" r:id="rId13" display="http://www.opentraintimes.com/schedule/W39834/2012/8/7"/>
    <hyperlink ref="B52" r:id="rId14" display="http://www.opentraintimes.com/schedule/W39832/2012/8/7"/>
    <hyperlink ref="B53" r:id="rId15" display="http://www.opentraintimes.com/schedule/W39838/2012/8/7"/>
    <hyperlink ref="B54" r:id="rId16" display="http://www.opentraintimes.com/schedule/W39836/2012/8/7"/>
    <hyperlink ref="B55" r:id="rId17" display="http://www.opentraintimes.com/schedule/W38837/2012/8/7"/>
    <hyperlink ref="B56" r:id="rId18" display="http://www.opentraintimes.com/schedule/W38835/2012/8/7"/>
    <hyperlink ref="B57" r:id="rId19" display="http://www.opentraintimes.com/schedule/W38840/2012/8/7"/>
    <hyperlink ref="B58" r:id="rId20" display="http://www.opentraintimes.com/schedule/W38838/2012/8/7"/>
    <hyperlink ref="B59" r:id="rId21" display="http://www.opentraintimes.com/schedule/W38832/2012/8/7"/>
    <hyperlink ref="B60" r:id="rId22" display="http://www.opentraintimes.com/schedule/W30546/2012/8/7"/>
    <hyperlink ref="B62" r:id="rId23" display="http://www.opentraintimes.com/schedule/W30548/2012/8/7"/>
    <hyperlink ref="B63" r:id="rId24" display="http://www.opentraintimes.com/schedule/W30110/2012/8/7"/>
    <hyperlink ref="B64" r:id="rId25" display="http://www.opentraintimes.com/schedule/W39447/2012/8/7"/>
    <hyperlink ref="B65" r:id="rId26" display="http://www.opentraintimes.com/schedule/W30550/2012/8/7"/>
    <hyperlink ref="B66" r:id="rId27" display="http://www.opentraintimes.com/schedule/W39647/2012/8/7"/>
    <hyperlink ref="B67" r:id="rId28" display="http://www.opentraintimes.com/schedule/W30114/2012/8/7"/>
    <hyperlink ref="B68" r:id="rId29" display="http://www.opentraintimes.com/schedule/W39451/2012/8/7"/>
    <hyperlink ref="B70" r:id="rId30" display="http://www.opentraintimes.com/schedule/W30556/2012/8/7"/>
    <hyperlink ref="B71" r:id="rId31" display="http://www.opentraintimes.com/schedule/W39449/2012/8/7"/>
    <hyperlink ref="B72" r:id="rId32" display="http://www.opentraintimes.com/schedule/W39453/2012/8/7"/>
    <hyperlink ref="B73" r:id="rId33" display="http://www.opentraintimes.com/schedule/W30554/2012/8/7"/>
    <hyperlink ref="B74" r:id="rId34" display="http://www.opentraintimes.com/schedule/W30116/2012/8/7"/>
    <hyperlink ref="B75" r:id="rId35" display="http://www.opentraintimes.com/schedule/W30118/2012/8/7"/>
    <hyperlink ref="B76" r:id="rId36" display="http://www.opentraintimes.com/schedule/W39649/2012/8/7"/>
    <hyperlink ref="B77" r:id="rId37" display="http://www.opentraintimes.com/schedule/W38829/2012/8/7"/>
    <hyperlink ref="B78" r:id="rId38" display="http://www.opentraintimes.com/schedule/W00066/2012/8/7"/>
    <hyperlink ref="B79" r:id="rId39" display="http://www.opentraintimes.com/schedule/W30005/2012/8/7"/>
    <hyperlink ref="B80" r:id="rId40" display="http://www.opentraintimes.com/schedule/W30559/2012/8/7"/>
    <hyperlink ref="B81" r:id="rId41" display="http://www.opentraintimes.com/schedule/W39455/2012/8/7"/>
    <hyperlink ref="B82" r:id="rId42" display="http://www.opentraintimes.com/schedule/W39651/2012/8/7"/>
    <hyperlink ref="B83" r:id="rId43" display="http://www.opentraintimes.com/schedule/W30121/2012/8/7"/>
    <hyperlink ref="B84" r:id="rId44" display="http://www.opentraintimes.com/schedule/W39457/2012/8/7"/>
    <hyperlink ref="B85" r:id="rId45" display="http://www.opentraintimes.com/schedule/W39653/2012/8/7"/>
    <hyperlink ref="B86" r:id="rId46" display="http://www.opentraintimes.com/schedule/W30561/2012/8/7"/>
    <hyperlink ref="B87" r:id="rId47" display="http://www.opentraintimes.com/schedule/W39459/2012/8/7"/>
    <hyperlink ref="B88" r:id="rId48" display="http://www.opentraintimes.com/schedule/W39461/2012/8/7"/>
    <hyperlink ref="B89" r:id="rId49" display="http://www.opentraintimes.com/schedule/W30560/2012/8/7"/>
    <hyperlink ref="B90" r:id="rId50" display="http://www.opentraintimes.com/schedule/W30123/2012/8/7"/>
    <hyperlink ref="B91" r:id="rId51" display="http://www.opentraintimes.com/schedule/W39657/2012/8/7"/>
    <hyperlink ref="B92" r:id="rId52" display="http://www.opentraintimes.com/schedule/W39655/2012/8/7"/>
    <hyperlink ref="B93" r:id="rId53" display="http://www.opentraintimes.com/schedule/W39391/2012/8/7"/>
    <hyperlink ref="B94" r:id="rId54" display="http://www.opentraintimes.com/schedule/W39393/2012/8/7"/>
    <hyperlink ref="B95" r:id="rId55" display="http://www.opentraintimes.com/schedule/W30563/2012/8/7"/>
    <hyperlink ref="B96" r:id="rId56" display="http://www.opentraintimes.com/schedule/W30565/2012/8/7"/>
    <hyperlink ref="B97" r:id="rId57" display="http://www.opentraintimes.com/schedule/W39463/2012/8/7"/>
    <hyperlink ref="B98" r:id="rId58" display="http://www.opentraintimes.com/schedule/W39659/2012/8/7"/>
    <hyperlink ref="B99" r:id="rId59" display="http://www.opentraintimes.com/schedule/W30131/2012/8/7"/>
    <hyperlink ref="B100" r:id="rId60" display="http://www.opentraintimes.com/schedule/W39465/2012/8/7"/>
    <hyperlink ref="B37" r:id="rId61" display="http://www.opentraintimes.com/schedule/W39628/2012/8/7"/>
    <hyperlink ref="B49" r:id="rId62" display="http://www.opentraintimes.com/schedule/W39830/2012/8/7"/>
    <hyperlink ref="B61" r:id="rId63" display="http://www.opentraintimes.com/schedule/W39645/2012/8/7"/>
    <hyperlink ref="B69" r:id="rId64" display="http://www.opentraintimes.com/schedule/W38831/2012/8/7"/>
    <hyperlink ref="B13" r:id="rId65" display="http://www.opentraintimes.com/schedule/W39608/2012/8/7"/>
    <hyperlink ref="B14" r:id="rId66" display="http://www.opentraintimes.com/schedule/W39808/2012/8/7"/>
    <hyperlink ref="B15" r:id="rId67" display="http://www.opentraintimes.com/schedule/W39612/2012/8/7"/>
    <hyperlink ref="B16" r:id="rId68" display="http://www.opentraintimes.com/schedule/W39614/2012/8/7"/>
    <hyperlink ref="B17" r:id="rId69" display="http://www.opentraintimes.com/schedule/W34001/2012/8/7"/>
    <hyperlink ref="B18" r:id="rId70" display="http://www.opentraintimes.com/schedule/W34007/2012/8/7"/>
    <hyperlink ref="B19" r:id="rId71" display="http://www.opentraintimes.com/schedule/W39616/2012/8/7"/>
    <hyperlink ref="B20" r:id="rId72" display="http://www.opentraintimes.com/schedule/W39618/2012/8/7"/>
    <hyperlink ref="B21" r:id="rId73" display="http://www.opentraintimes.com/schedule/W39810/2012/8/7"/>
    <hyperlink ref="B22" r:id="rId74" display="http://www.opentraintimes.com/schedule/W39300/2012/8/7"/>
    <hyperlink ref="B23" r:id="rId75" display="http://www.opentraintimes.com/schedule/W39814/2012/8/7"/>
    <hyperlink ref="B24" r:id="rId76" display="http://www.opentraintimes.com/schedule/W34016/2012/8/7"/>
    <hyperlink ref="B25" r:id="rId77" display="http://www.opentraintimes.com/schedule/W39620/2012/8/7"/>
    <hyperlink ref="B26" r:id="rId78" display="http://www.opentraintimes.com/schedule/W39636/2012/8/7"/>
    <hyperlink ref="B27" r:id="rId79" display="http://www.opentraintimes.com/schedule/W39816/2012/8/7"/>
    <hyperlink ref="B28" r:id="rId80" display="http://www.opentraintimes.com/schedule/W36780/2012/8/7"/>
    <hyperlink ref="B29" r:id="rId81" display="http://www.opentraintimes.com/schedule/W36752/2012/8/7"/>
    <hyperlink ref="B30" r:id="rId82" display="http://www.opentraintimes.com/schedule/W36755/2012/8/7"/>
    <hyperlink ref="B31" r:id="rId83" display="http://www.opentraintimes.com/schedule/W39638/2012/8/7"/>
    <hyperlink ref="B32" r:id="rId84" display="http://www.opentraintimes.com/schedule/W39304/2012/8/7"/>
    <hyperlink ref="B33" r:id="rId85" display="http://www.opentraintimes.com/schedule/W36783/2012/8/7"/>
    <hyperlink ref="B34" r:id="rId86" display="http://www.opentraintimes.com/schedule/W39442/2012/8/7"/>
    <hyperlink ref="B35" r:id="rId87" display="http://www.opentraintimes.com/schedule/W36734/2012/8/7"/>
    <hyperlink ref="B36" r:id="rId88" display="http://www.opentraintimes.com/schedule/W39640/2012/8/7"/>
    <hyperlink ref="B2" r:id="rId89" display="http://www.opentraintimes.com/schedule/W39603/2012/8/6"/>
    <hyperlink ref="B3" r:id="rId90" display="http://www.opentraintimes.com/schedule/W39795/2012/8/6"/>
    <hyperlink ref="B4" r:id="rId91" display="http://www.opentraintimes.com/schedule/W39797/2012/8/6"/>
    <hyperlink ref="B5" r:id="rId92" display="http://www.opentraintimes.com/schedule/W36743/2012/8/6"/>
    <hyperlink ref="B6" r:id="rId93" display="http://www.opentraintimes.com/schedule/W36746/2012/8/7"/>
    <hyperlink ref="B7" r:id="rId94" display="http://www.opentraintimes.com/schedule/W39604/2012/8/7"/>
    <hyperlink ref="B8" r:id="rId95" display="http://www.opentraintimes.com/schedule/W39800/2012/8/7"/>
    <hyperlink ref="B9" r:id="rId96" display="http://www.opentraintimes.com/schedule/W39798/2012/8/7"/>
    <hyperlink ref="B10" r:id="rId97" display="http://www.opentraintimes.com/schedule/W39804/2012/8/7"/>
    <hyperlink ref="B11" r:id="rId98" display="http://www.opentraintimes.com/schedule/W39802/2012/8/7"/>
    <hyperlink ref="B12" r:id="rId99" display="http://www.opentraintimes.com/schedule/W36749/2012/8/7"/>
    <hyperlink ref="B101" r:id="rId100" display="http://www.opentraintimes.com/schedule/W39661/2012/8/7"/>
    <hyperlink ref="B102" r:id="rId101" display="http://www.opentraintimes.com/schedule/W30571/2012/8/7"/>
    <hyperlink ref="B103" r:id="rId102" display="http://www.opentraintimes.com/schedule/W39467/2012/8/7"/>
    <hyperlink ref="B104" r:id="rId103" display="http://www.opentraintimes.com/schedule/W39469/2012/8/7"/>
    <hyperlink ref="B105" r:id="rId104" display="http://www.opentraintimes.com/schedule/W30568/2012/8/7"/>
    <hyperlink ref="B106" r:id="rId105" display="http://www.opentraintimes.com/schedule/W30133/2012/8/7"/>
    <hyperlink ref="B107" r:id="rId106" display="http://www.opentraintimes.com/schedule/W39665/2012/8/7"/>
    <hyperlink ref="B108" r:id="rId107" display="http://www.opentraintimes.com/schedule/W39663/2012/8/7"/>
    <hyperlink ref="B109" r:id="rId108" display="http://www.opentraintimes.com/schedule/W39395/2012/8/7"/>
    <hyperlink ref="B110" r:id="rId109" display="http://www.opentraintimes.com/schedule/W39397/2012/8/7"/>
    <hyperlink ref="B111" r:id="rId110" display="http://www.opentraintimes.com/schedule/W30576/2012/8/7"/>
    <hyperlink ref="B112" r:id="rId111" display="http://www.opentraintimes.com/schedule/W30577/2012/8/7"/>
    <hyperlink ref="B113" r:id="rId112" display="http://www.opentraintimes.com/schedule/W39471/2012/8/7"/>
    <hyperlink ref="B114" r:id="rId113" display="http://www.opentraintimes.com/schedule/W39667/2012/8/7"/>
    <hyperlink ref="B115" r:id="rId114" display="http://www.opentraintimes.com/schedule/W30142/2012/8/7"/>
    <hyperlink ref="B116" r:id="rId115" display="http://www.opentraintimes.com/schedule/W39473/2012/8/7"/>
    <hyperlink ref="B117" r:id="rId116" display="http://www.opentraintimes.com/schedule/W39669/2012/8/7"/>
    <hyperlink ref="B118" r:id="rId117" display="http://www.opentraintimes.com/schedule/W30583/2012/8/7"/>
    <hyperlink ref="B119" r:id="rId118" display="http://www.opentraintimes.com/schedule/W39475/2012/8/7"/>
    <hyperlink ref="B120" r:id="rId119" display="http://www.opentraintimes.com/schedule/W39477/2012/8/7"/>
    <hyperlink ref="B121" r:id="rId120" display="http://www.opentraintimes.com/schedule/W30580/2012/8/7"/>
    <hyperlink ref="B122" r:id="rId121" display="http://www.opentraintimes.com/schedule/W30147/2012/8/7"/>
    <hyperlink ref="B123" r:id="rId122" display="http://www.opentraintimes.com/schedule/W39673/2012/8/7"/>
    <hyperlink ref="B124" r:id="rId123" display="http://www.opentraintimes.com/schedule/W39671/2012/8/7"/>
    <hyperlink ref="B125" r:id="rId124" display="http://www.opentraintimes.com/schedule/W39399/2012/8/7"/>
    <hyperlink ref="B126" r:id="rId125" display="http://www.opentraintimes.com/schedule/W39401/2012/8/7"/>
    <hyperlink ref="B127" r:id="rId126" display="http://www.opentraintimes.com/schedule/W30586/2012/8/7"/>
    <hyperlink ref="B128" r:id="rId127" display="http://www.opentraintimes.com/schedule/W30589/2012/8/7"/>
    <hyperlink ref="B129" r:id="rId128" display="http://www.opentraintimes.com/schedule/W39479/2012/8/7"/>
    <hyperlink ref="B130" r:id="rId129" display="http://www.opentraintimes.com/schedule/W39675/2012/8/7"/>
    <hyperlink ref="B131" r:id="rId130" display="http://www.opentraintimes.com/schedule/W30157/2012/8/7"/>
    <hyperlink ref="B132" r:id="rId131" display="http://www.opentraintimes.com/schedule/W39481/2012/8/7"/>
    <hyperlink ref="B133" r:id="rId132" display="http://www.opentraintimes.com/schedule/W39677/2012/8/7"/>
    <hyperlink ref="B134" r:id="rId133" display="http://www.opentraintimes.com/schedule/W30595/2012/8/7"/>
    <hyperlink ref="B135" r:id="rId134" display="http://www.opentraintimes.com/schedule/W39483/2012/8/7"/>
    <hyperlink ref="B136" r:id="rId135" display="http://www.opentraintimes.com/schedule/W39485/2012/8/7"/>
    <hyperlink ref="B137" r:id="rId136" display="http://www.opentraintimes.com/schedule/W30592/2012/8/7"/>
    <hyperlink ref="B138" r:id="rId137" display="http://www.opentraintimes.com/schedule/W30162/2012/8/7"/>
    <hyperlink ref="B139" r:id="rId138" display="http://www.opentraintimes.com/schedule/W39681/2012/8/7"/>
    <hyperlink ref="B140" r:id="rId139" display="http://www.opentraintimes.com/schedule/W39679/2012/8/7"/>
    <hyperlink ref="B141" r:id="rId140" display="http://www.opentraintimes.com/schedule/W39403/2012/8/7"/>
    <hyperlink ref="B142" r:id="rId141" display="http://www.opentraintimes.com/schedule/W39405/2012/8/7"/>
    <hyperlink ref="B143" r:id="rId142" display="http://www.opentraintimes.com/schedule/W30600/2012/8/7"/>
    <hyperlink ref="B144" r:id="rId143" display="http://www.opentraintimes.com/schedule/W30601/2012/8/7"/>
    <hyperlink ref="B145" r:id="rId144" display="http://www.opentraintimes.com/schedule/W39487/2012/8/7"/>
    <hyperlink ref="B146" r:id="rId145" display="http://www.opentraintimes.com/schedule/W39683/2012/8/7"/>
    <hyperlink ref="B147" r:id="rId146" display="http://www.opentraintimes.com/schedule/W30171/2012/8/7"/>
    <hyperlink ref="B148" r:id="rId147" display="http://www.opentraintimes.com/schedule/W39489/2012/8/7"/>
    <hyperlink ref="B149" r:id="rId148" display="http://www.opentraintimes.com/schedule/W39685/2012/8/7"/>
    <hyperlink ref="B150" r:id="rId149" display="http://www.opentraintimes.com/schedule/W30607/2012/8/7"/>
    <hyperlink ref="B151" r:id="rId150" display="http://www.opentraintimes.com/schedule/W39491/2012/8/7"/>
    <hyperlink ref="B152" r:id="rId151" display="http://www.opentraintimes.com/schedule/W39493/2012/8/7"/>
    <hyperlink ref="B153" r:id="rId152" display="http://www.opentraintimes.com/schedule/W30604/2012/8/7"/>
    <hyperlink ref="B154" r:id="rId153" display="http://www.opentraintimes.com/schedule/W30177/2012/8/7"/>
    <hyperlink ref="B155" r:id="rId154" display="http://www.opentraintimes.com/schedule/W39689/2012/8/7"/>
    <hyperlink ref="B156" r:id="rId155" display="http://www.opentraintimes.com/schedule/W39687/2012/8/7"/>
    <hyperlink ref="B157" r:id="rId156" display="http://www.opentraintimes.com/schedule/W39407/2012/8/7"/>
    <hyperlink ref="B158" r:id="rId157" display="http://www.opentraintimes.com/schedule/W39409/2012/8/7"/>
    <hyperlink ref="B159" r:id="rId158" display="http://www.opentraintimes.com/schedule/W30610/2012/8/7"/>
    <hyperlink ref="B160" r:id="rId159" display="http://www.opentraintimes.com/schedule/W30613/2012/8/7"/>
    <hyperlink ref="B161" r:id="rId160" display="http://www.opentraintimes.com/schedule/W39495/2012/8/7"/>
    <hyperlink ref="B162" r:id="rId161" display="http://www.opentraintimes.com/schedule/W39691/2012/8/7"/>
    <hyperlink ref="B163" r:id="rId162" display="http://www.opentraintimes.com/schedule/W30185/2012/8/7"/>
    <hyperlink ref="B164" r:id="rId163" display="http://www.opentraintimes.com/schedule/W39497/2012/8/7"/>
    <hyperlink ref="B165" r:id="rId164" display="http://www.opentraintimes.com/schedule/W39693/2012/8/7"/>
    <hyperlink ref="B166" r:id="rId165" display="http://www.opentraintimes.com/schedule/W30619/2012/8/7"/>
    <hyperlink ref="B167" r:id="rId166" display="http://www.opentraintimes.com/schedule/W39499/2012/8/7"/>
    <hyperlink ref="B168" r:id="rId167" display="http://www.opentraintimes.com/schedule/W39501/2012/8/7"/>
    <hyperlink ref="B169" r:id="rId168" display="http://www.opentraintimes.com/schedule/W30616/2012/8/7"/>
    <hyperlink ref="B170" r:id="rId169" display="http://www.opentraintimes.com/schedule/W30191/2012/8/7"/>
    <hyperlink ref="B171" r:id="rId170" display="http://www.opentraintimes.com/schedule/W39697/2012/8/7"/>
    <hyperlink ref="B172" r:id="rId171" display="http://www.opentraintimes.com/schedule/W39695/2012/8/7"/>
    <hyperlink ref="B173" r:id="rId172" display="http://www.opentraintimes.com/schedule/W39411/2012/8/7"/>
    <hyperlink ref="B174" r:id="rId173" display="http://www.opentraintimes.com/schedule/W39413/2012/8/7"/>
    <hyperlink ref="B175" r:id="rId174" display="http://www.opentraintimes.com/schedule/W30624/2012/8/7"/>
    <hyperlink ref="B176" r:id="rId175" display="http://www.opentraintimes.com/schedule/W30625/2012/8/7"/>
    <hyperlink ref="B177" r:id="rId176" display="http://www.opentraintimes.com/schedule/W39503/2012/8/7"/>
    <hyperlink ref="B178" r:id="rId177" display="http://www.opentraintimes.com/schedule/W39699/2012/8/7"/>
    <hyperlink ref="B179" r:id="rId178" display="http://www.opentraintimes.com/schedule/W30200/2012/8/7"/>
    <hyperlink ref="B180" r:id="rId179" display="http://www.opentraintimes.com/schedule/W39509/2012/8/7"/>
    <hyperlink ref="B181" r:id="rId180" display="http://www.opentraintimes.com/schedule/W39701/2012/8/7"/>
    <hyperlink ref="B182" r:id="rId181" display="http://www.opentraintimes.com/schedule/W30631/2012/8/7"/>
    <hyperlink ref="B183" r:id="rId182" display="http://www.opentraintimes.com/schedule/W39511/2012/8/7"/>
    <hyperlink ref="B184" r:id="rId183" display="http://www.opentraintimes.com/schedule/W39513/2012/8/7"/>
    <hyperlink ref="B185" r:id="rId184" display="http://www.opentraintimes.com/schedule/W30628/2012/8/7"/>
    <hyperlink ref="B186" r:id="rId185" display="http://www.opentraintimes.com/schedule/W30206/2012/8/7"/>
    <hyperlink ref="B187" r:id="rId186" display="http://www.opentraintimes.com/schedule/W39705/2012/8/7"/>
    <hyperlink ref="B188" r:id="rId187" display="http://www.opentraintimes.com/schedule/W39703/2012/8/7"/>
    <hyperlink ref="B189" r:id="rId188" display="http://www.opentraintimes.com/schedule/W39415/2012/8/7"/>
    <hyperlink ref="B190" r:id="rId189" display="http://www.opentraintimes.com/schedule/W39417/2012/8/7"/>
    <hyperlink ref="B191" r:id="rId190" display="http://www.opentraintimes.com/schedule/W30634/2012/8/7"/>
    <hyperlink ref="B192" r:id="rId191" display="http://www.opentraintimes.com/schedule/W30637/2012/8/7"/>
    <hyperlink ref="B193" r:id="rId192" display="http://www.opentraintimes.com/schedule/W39515/2012/8/7"/>
    <hyperlink ref="B194" r:id="rId193" display="http://www.opentraintimes.com/schedule/W39707/2012/8/7"/>
    <hyperlink ref="B195" r:id="rId194" display="http://www.opentraintimes.com/schedule/W30215/2012/8/7"/>
    <hyperlink ref="B196" r:id="rId195" display="http://www.opentraintimes.com/schedule/W39517/2012/8/7"/>
    <hyperlink ref="B197" r:id="rId196" display="http://www.opentraintimes.com/schedule/W39709/2012/8/7"/>
    <hyperlink ref="B198" r:id="rId197" display="http://www.opentraintimes.com/schedule/W30643/2012/8/7"/>
    <hyperlink ref="B199" r:id="rId198" display="http://www.opentraintimes.com/schedule/W39519/2012/8/7"/>
    <hyperlink ref="B200" r:id="rId199" display="http://www.opentraintimes.com/schedule/W39521/2012/8/7"/>
    <hyperlink ref="B201" r:id="rId200" display="http://www.opentraintimes.com/schedule/W30640/2012/8/7"/>
    <hyperlink ref="B202" r:id="rId201" display="http://www.opentraintimes.com/schedule/W30219/2012/8/7"/>
    <hyperlink ref="B203" r:id="rId202" display="http://www.opentraintimes.com/schedule/W39713/2012/8/7"/>
    <hyperlink ref="B204" r:id="rId203" display="http://www.opentraintimes.com/schedule/W39711/2012/8/7"/>
    <hyperlink ref="B205" r:id="rId204" display="http://www.opentraintimes.com/schedule/W39419/2012/8/7"/>
    <hyperlink ref="B206" r:id="rId205" display="http://www.opentraintimes.com/schedule/W39421/2012/8/7"/>
    <hyperlink ref="B207" r:id="rId206" display="http://www.opentraintimes.com/schedule/W30009/2012/8/7"/>
    <hyperlink ref="B208" r:id="rId207" display="http://www.opentraintimes.com/schedule/W30648/2012/8/7"/>
    <hyperlink ref="B209" r:id="rId208" display="http://www.opentraintimes.com/schedule/W39523/2012/8/7"/>
    <hyperlink ref="B210" r:id="rId209" display="http://www.opentraintimes.com/schedule/W39715/2012/8/7"/>
    <hyperlink ref="B211" r:id="rId210" display="http://www.opentraintimes.com/schedule/W30227/2012/8/7"/>
    <hyperlink ref="B212" r:id="rId211" display="http://www.opentraintimes.com/schedule/W39525/2012/8/7"/>
    <hyperlink ref="B213" r:id="rId212" display="http://www.opentraintimes.com/schedule/W39717/2012/8/7"/>
    <hyperlink ref="B214" r:id="rId213" display="http://www.opentraintimes.com/schedule/W30655/2012/8/7"/>
    <hyperlink ref="B215" r:id="rId214" display="http://www.opentraintimes.com/schedule/W39527/2012/8/7"/>
    <hyperlink ref="B216" r:id="rId215" display="http://www.opentraintimes.com/schedule/W39529/2012/8/7"/>
    <hyperlink ref="B217" r:id="rId216" display="http://www.opentraintimes.com/schedule/W30651/2012/8/7"/>
    <hyperlink ref="B218" r:id="rId217" display="http://www.opentraintimes.com/schedule/W30231/2012/8/7"/>
    <hyperlink ref="B219" r:id="rId218" display="http://www.opentraintimes.com/schedule/W39721/2012/8/7"/>
    <hyperlink ref="B220" r:id="rId219" display="http://www.opentraintimes.com/schedule/W39719/2012/8/7"/>
    <hyperlink ref="B221" r:id="rId220" display="http://www.opentraintimes.com/schedule/W39423/2012/8/7"/>
    <hyperlink ref="B222" r:id="rId221" display="http://www.opentraintimes.com/schedule/W39425/2012/8/7"/>
    <hyperlink ref="B223" r:id="rId222" display="http://www.opentraintimes.com/schedule/W30658/2012/8/7"/>
    <hyperlink ref="B224" r:id="rId223" display="http://www.opentraintimes.com/schedule/W30661/2012/8/7"/>
    <hyperlink ref="B225" r:id="rId224" display="http://www.opentraintimes.com/schedule/W39531/2012/8/7"/>
    <hyperlink ref="B226" r:id="rId225" display="http://www.opentraintimes.com/schedule/W39723/2012/8/7"/>
    <hyperlink ref="B227" r:id="rId226" display="http://www.opentraintimes.com/schedule/W30239/2012/8/7"/>
    <hyperlink ref="B228" r:id="rId227" display="http://www.opentraintimes.com/schedule/W39533/2012/8/7"/>
    <hyperlink ref="B229" r:id="rId228" display="http://www.opentraintimes.com/schedule/W39725/2012/8/7"/>
    <hyperlink ref="B230" r:id="rId229" display="http://www.opentraintimes.com/schedule/W30668/2012/8/7"/>
    <hyperlink ref="B231" r:id="rId230" display="http://www.opentraintimes.com/schedule/W39535/2012/8/7"/>
    <hyperlink ref="B232" r:id="rId231" display="http://www.opentraintimes.com/schedule/W39537/2012/8/7"/>
    <hyperlink ref="B233" r:id="rId232" display="http://www.opentraintimes.com/schedule/W30664/2012/8/7"/>
    <hyperlink ref="B234" r:id="rId233" display="http://www.opentraintimes.com/schedule/W30244/2012/8/7"/>
    <hyperlink ref="B235" r:id="rId234" display="http://www.opentraintimes.com/schedule/W39729/2012/8/7"/>
    <hyperlink ref="B236" r:id="rId235" display="http://www.opentraintimes.com/schedule/W39727/2012/8/7"/>
    <hyperlink ref="B237" r:id="rId236" display="http://www.opentraintimes.com/schedule/W39427/2012/8/7"/>
    <hyperlink ref="B238" r:id="rId237" display="http://www.opentraintimes.com/schedule/W39429/2012/8/7"/>
    <hyperlink ref="B239" r:id="rId238" display="http://www.opentraintimes.com/schedule/W30671/2012/8/7"/>
    <hyperlink ref="B240" r:id="rId239" display="http://www.opentraintimes.com/schedule/W30674/2012/8/7"/>
    <hyperlink ref="B241" r:id="rId240" display="http://www.opentraintimes.com/schedule/W39539/2012/8/7"/>
    <hyperlink ref="B242" r:id="rId241" display="http://www.opentraintimes.com/schedule/W39731/2012/8/7"/>
    <hyperlink ref="B243" r:id="rId242" display="http://www.opentraintimes.com/schedule/W30254/2012/8/7"/>
    <hyperlink ref="B244" r:id="rId243" display="http://www.opentraintimes.com/schedule/W39541/2012/8/7"/>
    <hyperlink ref="B245" r:id="rId244" display="http://www.opentraintimes.com/schedule/W39733/2012/8/7"/>
    <hyperlink ref="B246" r:id="rId245" display="http://www.opentraintimes.com/schedule/W30680/2012/8/7"/>
    <hyperlink ref="B247" r:id="rId246" display="http://www.opentraintimes.com/schedule/W39543/2012/8/7"/>
    <hyperlink ref="B248" r:id="rId247" display="http://www.opentraintimes.com/schedule/W39545/2012/8/7"/>
    <hyperlink ref="B249" r:id="rId248" display="http://www.opentraintimes.com/schedule/W30677/2012/8/7"/>
    <hyperlink ref="B250" r:id="rId249" display="http://www.opentraintimes.com/schedule/W30259/2012/8/7"/>
    <hyperlink ref="B251" r:id="rId250" display="http://www.opentraintimes.com/schedule/W39737/2012/8/7"/>
    <hyperlink ref="B252" r:id="rId251" display="http://www.opentraintimes.com/schedule/W39735/2012/8/7"/>
    <hyperlink ref="B253" r:id="rId252" display="http://www.opentraintimes.com/schedule/W39295/2012/8/7"/>
    <hyperlink ref="B254" r:id="rId253" display="http://www.opentraintimes.com/schedule/W39431/2012/8/7"/>
    <hyperlink ref="B255" r:id="rId254" display="http://www.opentraintimes.com/schedule/W30683/2012/8/7"/>
    <hyperlink ref="B256" r:id="rId255" display="http://www.opentraintimes.com/schedule/W30686/2012/8/7"/>
    <hyperlink ref="B257" r:id="rId256" display="http://www.opentraintimes.com/schedule/W39547/2012/8/7"/>
    <hyperlink ref="B258" r:id="rId257" display="http://www.opentraintimes.com/schedule/W39739/2012/8/7"/>
    <hyperlink ref="B259" r:id="rId258" display="http://www.opentraintimes.com/schedule/W30268/2012/8/7"/>
    <hyperlink ref="B260" r:id="rId259" display="http://www.opentraintimes.com/schedule/W39549/2012/8/7"/>
    <hyperlink ref="B261" r:id="rId260" display="http://www.opentraintimes.com/schedule/W39741/2012/8/7"/>
    <hyperlink ref="B262" r:id="rId261" display="http://www.opentraintimes.com/schedule/W30692/2012/8/7"/>
    <hyperlink ref="B263" r:id="rId262" display="http://www.opentraintimes.com/schedule/W39551/2012/8/7"/>
    <hyperlink ref="B264" r:id="rId263" display="http://www.opentraintimes.com/schedule/W39553/2012/8/7"/>
    <hyperlink ref="B265" r:id="rId264" display="http://www.opentraintimes.com/schedule/W30689/2012/8/7"/>
    <hyperlink ref="B266" r:id="rId265" display="http://www.opentraintimes.com/schedule/W30271/2012/8/7"/>
    <hyperlink ref="B267" r:id="rId266" display="http://www.opentraintimes.com/schedule/W39745/2012/8/7"/>
    <hyperlink ref="B268" r:id="rId267" display="http://www.opentraintimes.com/schedule/W39743/2012/8/7"/>
    <hyperlink ref="B269" r:id="rId268" display="http://www.opentraintimes.com/schedule/W39433/2012/8/7"/>
    <hyperlink ref="B270" r:id="rId269" display="http://www.opentraintimes.com/schedule/W39435/2012/8/7"/>
    <hyperlink ref="B271" r:id="rId270" display="http://www.opentraintimes.com/schedule/W30695/2012/8/7"/>
    <hyperlink ref="B272" r:id="rId271" display="http://www.opentraintimes.com/schedule/W30698/2012/8/7"/>
    <hyperlink ref="B273" r:id="rId272" display="http://www.opentraintimes.com/schedule/W39555/2012/8/7"/>
    <hyperlink ref="B274" r:id="rId273" display="http://www.opentraintimes.com/schedule/W39747/2012/8/7"/>
    <hyperlink ref="B275" r:id="rId274" display="http://www.opentraintimes.com/schedule/W30279/2012/8/7"/>
    <hyperlink ref="B276" r:id="rId275" display="http://www.opentraintimes.com/schedule/W39557/2012/8/7"/>
    <hyperlink ref="B277" r:id="rId276" display="http://www.opentraintimes.com/schedule/W39749/2012/8/7"/>
    <hyperlink ref="B278" r:id="rId277" display="http://www.opentraintimes.com/schedule/W30704/2012/8/7"/>
    <hyperlink ref="B279" r:id="rId278" display="http://www.opentraintimes.com/schedule/W39559/2012/8/7"/>
    <hyperlink ref="B280" r:id="rId279" display="http://www.opentraintimes.com/schedule/W39561/2012/8/7"/>
    <hyperlink ref="B281" r:id="rId280" display="http://www.opentraintimes.com/schedule/W30701/2012/8/7"/>
    <hyperlink ref="B282" r:id="rId281" display="http://www.opentraintimes.com/schedule/W30282/2012/8/7"/>
    <hyperlink ref="B283" r:id="rId282" display="http://www.opentraintimes.com/schedule/W39753/2012/8/7"/>
    <hyperlink ref="B284" r:id="rId283" display="http://www.opentraintimes.com/schedule/W39751/2012/8/7"/>
    <hyperlink ref="B285" r:id="rId284" display="http://www.opentraintimes.com/schedule/W39437/2012/8/7"/>
    <hyperlink ref="B286" r:id="rId285" display="http://www.opentraintimes.com/schedule/W39439/2012/8/7"/>
    <hyperlink ref="B287" r:id="rId286" display="http://www.opentraintimes.com/schedule/W30707/2012/8/7"/>
    <hyperlink ref="B288" r:id="rId287" display="http://www.opentraintimes.com/schedule/W30710/2012/8/7"/>
    <hyperlink ref="B289" r:id="rId288" display="http://www.opentraintimes.com/schedule/W39563/2012/8/7"/>
    <hyperlink ref="B290" r:id="rId289" display="http://www.opentraintimes.com/schedule/W39755/2012/8/7"/>
    <hyperlink ref="B291" r:id="rId290" display="http://www.opentraintimes.com/schedule/W30292/2012/8/7"/>
    <hyperlink ref="B292" r:id="rId291" display="http://www.opentraintimes.com/schedule/W39565/2012/8/7"/>
    <hyperlink ref="B293" r:id="rId292" display="http://www.opentraintimes.com/schedule/W39757/2012/8/7"/>
    <hyperlink ref="B294" r:id="rId293" display="http://www.opentraintimes.com/schedule/W30716/2012/8/7"/>
    <hyperlink ref="B295" r:id="rId294" display="http://www.opentraintimes.com/schedule/W39567/2012/8/7"/>
    <hyperlink ref="B296" r:id="rId295" display="http://www.opentraintimes.com/schedule/W39569/2012/8/7"/>
    <hyperlink ref="B297" r:id="rId296" display="http://www.opentraintimes.com/schedule/W30713/2012/8/7"/>
    <hyperlink ref="B298" r:id="rId297" display="http://www.opentraintimes.com/schedule/W30296/2012/8/7"/>
    <hyperlink ref="B299" r:id="rId298" display="http://www.opentraintimes.com/schedule/W39761/2012/8/7"/>
    <hyperlink ref="B300" r:id="rId299" display="http://www.opentraintimes.com/schedule/W39759/2012/8/7"/>
    <hyperlink ref="B301" r:id="rId300" display="http://www.opentraintimes.com/schedule/W39441/2012/8/7"/>
    <hyperlink ref="B302" r:id="rId301" display="http://www.opentraintimes.com/schedule/W39297/2012/8/7"/>
    <hyperlink ref="B303" r:id="rId302" display="http://www.opentraintimes.com/schedule/W30719/2012/8/7"/>
    <hyperlink ref="B304" r:id="rId303" display="http://www.opentraintimes.com/schedule/W30722/2012/8/7"/>
    <hyperlink ref="B305" r:id="rId304" display="http://www.opentraintimes.com/schedule/W39571/2012/8/7"/>
    <hyperlink ref="B306" r:id="rId305" display="http://www.opentraintimes.com/schedule/W39763/2012/8/7"/>
    <hyperlink ref="B307" r:id="rId306" display="http://www.opentraintimes.com/schedule/W30306/2012/8/7"/>
    <hyperlink ref="B308" r:id="rId307" display="http://www.opentraintimes.com/schedule/W39573/2012/8/7"/>
    <hyperlink ref="B309" r:id="rId308" display="http://www.opentraintimes.com/schedule/W39765/2012/8/7"/>
    <hyperlink ref="B310" r:id="rId309" display="http://www.opentraintimes.com/schedule/W00663/2012/8/7"/>
    <hyperlink ref="B311" r:id="rId310" display="http://www.opentraintimes.com/schedule/W39575/2012/8/7"/>
    <hyperlink ref="B312" r:id="rId311" display="http://www.opentraintimes.com/schedule/W39577/2012/8/7"/>
    <hyperlink ref="B313" r:id="rId312" display="http://www.opentraintimes.com/schedule/W30725/2012/8/7"/>
    <hyperlink ref="B314" r:id="rId313" display="http://www.opentraintimes.com/schedule/W39767/2012/8/7"/>
    <hyperlink ref="B315" r:id="rId314" display="http://www.opentraintimes.com/schedule/W39769/2012/8/7"/>
    <hyperlink ref="B316" r:id="rId315" display="http://www.opentraintimes.com/schedule/W39769/2012/8/7"/>
    <hyperlink ref="B317" r:id="rId316" display="http://www.opentraintimes.com/schedule/W39771/2012/8/7"/>
    <hyperlink ref="B318" r:id="rId317" display="http://www.opentraintimes.com/schedule/W39299/2012/8/7"/>
    <hyperlink ref="B319" r:id="rId318" display="http://www.opentraintimes.com/schedule/W39581/2012/8/7"/>
    <hyperlink ref="B320" r:id="rId319" display="http://www.opentraintimes.com/schedule/W30734/2012/8/7"/>
    <hyperlink ref="B321" r:id="rId320" display="http://www.opentraintimes.com/schedule/W30731/2012/8/7"/>
    <hyperlink ref="B322" r:id="rId321" display="http://www.opentraintimes.com/schedule/W39579/2012/8/7"/>
    <hyperlink ref="B323" r:id="rId322" display="http://www.opentraintimes.com/schedule/W39775/2012/8/7"/>
    <hyperlink ref="B324" r:id="rId323" display="http://www.opentraintimes.com/schedule/W30321/2012/8/7"/>
    <hyperlink ref="B325" r:id="rId324" display="http://www.opentraintimes.com/schedule/W39779/2012/8/7"/>
    <hyperlink ref="B326" r:id="rId325" display="http://www.opentraintimes.com/schedule/W39773/2012/8/7"/>
    <hyperlink ref="B327" r:id="rId326" display="http://www.opentraintimes.com/schedule/W39777/2012/8/7"/>
    <hyperlink ref="B328" r:id="rId327" display="http://www.opentraintimes.com/schedule/W39587/2012/8/7"/>
    <hyperlink ref="B329" r:id="rId328" display="http://www.opentraintimes.com/schedule/W39583/2012/8/7"/>
    <hyperlink ref="B330" r:id="rId329" display="http://www.opentraintimes.com/schedule/W30737/2012/8/7"/>
    <hyperlink ref="B331" r:id="rId330" display="http://www.opentraintimes.com/schedule/W30740/2012/8/7"/>
    <hyperlink ref="B332" r:id="rId331" display="http://www.opentraintimes.com/schedule/W39585/2012/8/7"/>
    <hyperlink ref="B333" r:id="rId332" display="http://www.opentraintimes.com/schedule/W39783/2012/8/7"/>
    <hyperlink ref="B334" r:id="rId333" display="http://www.opentraintimes.com/schedule/W39781/2012/8/7"/>
    <hyperlink ref="B335" r:id="rId334" display="http://www.opentraintimes.com/schedule/W39787/2012/8/7"/>
    <hyperlink ref="B336" r:id="rId335" display="http://www.opentraintimes.com/schedule/W39785/2012/8/7"/>
    <hyperlink ref="B337" r:id="rId336" display="http://www.opentraintimes.com/schedule/W39589/2012/8/7"/>
    <hyperlink ref="B338" r:id="rId337" display="http://www.opentraintimes.com/schedule/W48442/2012/8/7"/>
    <hyperlink ref="B339" r:id="rId338" display="http://www.opentraintimes.com/schedule/W36738/2012/8/7"/>
    <hyperlink ref="B340" r:id="rId339" display="http://www.opentraintimes.com/schedule/W30743/2012/8/7"/>
    <hyperlink ref="B341" r:id="rId340" display="http://www.opentraintimes.com/schedule/W39789/2012/8/7"/>
    <hyperlink ref="B342" r:id="rId341" display="http://www.opentraintimes.com/schedule/W39593/2012/8/7"/>
    <hyperlink ref="B343" r:id="rId342" display="http://www.opentraintimes.com/schedule/W39793/2012/8/7"/>
    <hyperlink ref="B344" r:id="rId343" display="http://www.opentraintimes.com/schedule/W39597/2012/8/7"/>
    <hyperlink ref="B345" r:id="rId344" display="http://www.opentraintimes.com/schedule/W36740/2012/8/7"/>
    <hyperlink ref="B346" r:id="rId345" display="http://www.opentraintimes.com/schedule/W39791/2012/8/7"/>
  </hyperlinks>
  <pageMargins left="0.7" right="0.7" top="0.75" bottom="0.75" header="0.3" footer="0.3"/>
  <pageSetup paperSize="9" orientation="portrait" horizontalDpi="0" verticalDpi="0" r:id="rId3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073"/>
  <sheetViews>
    <sheetView zoomScaleNormal="100" workbookViewId="0">
      <pane ySplit="1" topLeftCell="A2" activePane="bottomLeft" state="frozen"/>
      <selection activeCell="C1" sqref="C1"/>
      <selection pane="bottomLeft" activeCell="Q3" sqref="Q3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9.7109375" customWidth="1"/>
    <col min="5" max="5" width="14.140625" customWidth="1"/>
    <col min="6" max="6" width="19.42578125" customWidth="1"/>
    <col min="7" max="7" width="14.42578125" customWidth="1"/>
    <col min="8" max="8" width="7.140625" style="13" customWidth="1"/>
    <col min="9" max="9" width="8.140625" style="13" customWidth="1"/>
    <col min="10" max="11" width="10.140625" customWidth="1"/>
    <col min="12" max="12" width="10.140625" hidden="1" customWidth="1"/>
    <col min="13" max="13" width="9" style="9" customWidth="1"/>
    <col min="14" max="14" width="19" customWidth="1"/>
    <col min="15" max="15" width="20.28515625" style="15" customWidth="1"/>
    <col min="16" max="16" width="23" customWidth="1"/>
    <col min="17" max="17" width="18.42578125" customWidth="1"/>
    <col min="18" max="18" width="17.140625" customWidth="1"/>
    <col min="19" max="19" width="18.85546875" customWidth="1"/>
    <col min="20" max="20" width="16.28515625" customWidth="1"/>
    <col min="21" max="21" width="17.5703125" customWidth="1"/>
    <col min="22" max="22" width="21.140625" customWidth="1"/>
    <col min="23" max="32" width="22.5703125" customWidth="1"/>
  </cols>
  <sheetData>
    <row r="1" spans="1:31" s="1" customFormat="1" ht="30" customHeight="1" x14ac:dyDescent="0.25">
      <c r="A1" s="11" t="s">
        <v>1879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2" t="s">
        <v>178</v>
      </c>
      <c r="I1" s="12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4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  <c r="W1" s="1" t="s">
        <v>2984</v>
      </c>
      <c r="X1" s="1" t="s">
        <v>2985</v>
      </c>
      <c r="Y1" s="1" t="s">
        <v>2986</v>
      </c>
      <c r="Z1" s="1" t="s">
        <v>2987</v>
      </c>
      <c r="AA1" s="1" t="s">
        <v>2988</v>
      </c>
      <c r="AB1" s="1" t="s">
        <v>2989</v>
      </c>
      <c r="AC1" s="1" t="s">
        <v>2990</v>
      </c>
      <c r="AD1" s="1" t="s">
        <v>2991</v>
      </c>
      <c r="AE1" s="1" t="s">
        <v>2992</v>
      </c>
    </row>
    <row r="2" spans="1:31" s="4" customFormat="1" ht="15" customHeight="1" x14ac:dyDescent="0.25">
      <c r="A2" s="10"/>
      <c r="B2" s="3" t="s">
        <v>1036</v>
      </c>
      <c r="C2" s="1"/>
      <c r="D2" s="1" t="s">
        <v>1037</v>
      </c>
      <c r="E2" s="1" t="s">
        <v>1038</v>
      </c>
      <c r="F2" s="2" t="s">
        <v>1039</v>
      </c>
      <c r="G2" s="1" t="s">
        <v>248</v>
      </c>
      <c r="H2" s="12" t="s">
        <v>1040</v>
      </c>
      <c r="I2" s="13" t="str">
        <f t="shared" ref="I2:I61" si="0">LEFT(B2,2)</f>
        <v>2Y</v>
      </c>
      <c r="J2" t="str">
        <f>LEFT(C2,5)</f>
        <v/>
      </c>
      <c r="K2" t="str">
        <f>LEFT(G2,5)</f>
        <v xml:space="preserve">0001 </v>
      </c>
      <c r="L2" t="str">
        <f>LEFT(E2,6)</f>
        <v>Plat 1</v>
      </c>
      <c r="M2" s="8" t="str">
        <f>RIGHT(L2,2)</f>
        <v xml:space="preserve"> 1</v>
      </c>
      <c r="N2" s="4" t="s">
        <v>3010</v>
      </c>
      <c r="O2" s="15" t="s">
        <v>3011</v>
      </c>
    </row>
    <row r="3" spans="1:31" s="4" customFormat="1" ht="15" customHeight="1" x14ac:dyDescent="0.25">
      <c r="A3" s="10"/>
      <c r="B3" s="3" t="s">
        <v>1041</v>
      </c>
      <c r="C3" s="1" t="s">
        <v>1042</v>
      </c>
      <c r="D3" s="2" t="s">
        <v>1372</v>
      </c>
      <c r="E3" s="1" t="s">
        <v>1043</v>
      </c>
      <c r="F3" s="2" t="s">
        <v>1044</v>
      </c>
      <c r="G3" s="1" t="s">
        <v>1045</v>
      </c>
      <c r="H3" s="12" t="s">
        <v>1046</v>
      </c>
      <c r="I3" s="13" t="str">
        <f t="shared" si="0"/>
        <v>2W</v>
      </c>
      <c r="J3" t="str">
        <f t="shared" ref="J3:J52" si="1">LEFT(C3,5)</f>
        <v>2358½</v>
      </c>
      <c r="K3" t="str">
        <f t="shared" ref="K3:K52" si="2">LEFT(G3,5)</f>
        <v>0003½</v>
      </c>
      <c r="L3" t="str">
        <f t="shared" ref="L3:L52" si="3">LEFT(E3,6)</f>
        <v>Plat 8</v>
      </c>
      <c r="M3" s="8" t="str">
        <f t="shared" ref="M3:M65" si="4">RIGHT(L3,2)</f>
        <v xml:space="preserve"> 8</v>
      </c>
      <c r="N3" s="4" t="s">
        <v>3012</v>
      </c>
      <c r="O3" s="4" t="s">
        <v>3013</v>
      </c>
      <c r="P3" s="4" t="s">
        <v>1181</v>
      </c>
      <c r="Q3" s="4" t="s">
        <v>3014</v>
      </c>
      <c r="R3" s="4" t="s">
        <v>3015</v>
      </c>
      <c r="S3" s="4" t="s">
        <v>3016</v>
      </c>
      <c r="T3" s="4" t="s">
        <v>3004</v>
      </c>
      <c r="U3" s="4" t="s">
        <v>1161</v>
      </c>
      <c r="V3" s="4" t="s">
        <v>3017</v>
      </c>
      <c r="W3" s="4" t="s">
        <v>3018</v>
      </c>
      <c r="X3" s="4" t="s">
        <v>1044</v>
      </c>
    </row>
    <row r="4" spans="1:31" s="4" customFormat="1" ht="15" customHeight="1" x14ac:dyDescent="0.25">
      <c r="A4" s="10"/>
      <c r="B4" s="3" t="s">
        <v>1048</v>
      </c>
      <c r="C4" s="1" t="s">
        <v>1049</v>
      </c>
      <c r="D4" s="2" t="s">
        <v>1039</v>
      </c>
      <c r="E4" s="1" t="s">
        <v>1050</v>
      </c>
      <c r="F4" s="1" t="s">
        <v>1051</v>
      </c>
      <c r="G4" s="1"/>
      <c r="H4" s="12" t="s">
        <v>1040</v>
      </c>
      <c r="I4" s="13" t="str">
        <f t="shared" si="0"/>
        <v>2L</v>
      </c>
      <c r="J4" t="str">
        <f t="shared" si="1"/>
        <v xml:space="preserve">0004 </v>
      </c>
      <c r="K4" t="str">
        <f t="shared" si="2"/>
        <v/>
      </c>
      <c r="L4" t="str">
        <f t="shared" si="3"/>
        <v>Plat 1</v>
      </c>
      <c r="M4" s="8" t="str">
        <f t="shared" si="4"/>
        <v xml:space="preserve"> 1</v>
      </c>
    </row>
    <row r="5" spans="1:31" s="4" customFormat="1" ht="15" customHeight="1" x14ac:dyDescent="0.25">
      <c r="A5" s="10"/>
      <c r="B5" s="3" t="s">
        <v>1052</v>
      </c>
      <c r="C5" s="1" t="s">
        <v>1053</v>
      </c>
      <c r="D5" s="2" t="s">
        <v>1044</v>
      </c>
      <c r="E5" s="1" t="s">
        <v>1054</v>
      </c>
      <c r="F5" s="2" t="s">
        <v>1372</v>
      </c>
      <c r="G5" s="1" t="s">
        <v>1055</v>
      </c>
      <c r="H5" s="12" t="s">
        <v>1046</v>
      </c>
      <c r="I5" s="13" t="str">
        <f t="shared" si="0"/>
        <v>2W</v>
      </c>
      <c r="J5" t="str">
        <f t="shared" si="1"/>
        <v xml:space="preserve">0002 </v>
      </c>
      <c r="K5" t="str">
        <f t="shared" si="2"/>
        <v xml:space="preserve">0004 </v>
      </c>
      <c r="L5" t="str">
        <f t="shared" si="3"/>
        <v>Plat 5</v>
      </c>
      <c r="M5" s="8" t="str">
        <f t="shared" si="4"/>
        <v xml:space="preserve"> 5</v>
      </c>
      <c r="N5" s="4" t="s">
        <v>1372</v>
      </c>
    </row>
    <row r="6" spans="1:31" s="4" customFormat="1" ht="15" customHeight="1" x14ac:dyDescent="0.25">
      <c r="A6" s="10"/>
      <c r="B6" s="3" t="s">
        <v>1056</v>
      </c>
      <c r="C6" s="1" t="s">
        <v>1057</v>
      </c>
      <c r="D6" s="2" t="s">
        <v>1372</v>
      </c>
      <c r="E6" s="1" t="s">
        <v>1156</v>
      </c>
      <c r="F6" s="2" t="s">
        <v>1058</v>
      </c>
      <c r="G6" s="1" t="s">
        <v>1059</v>
      </c>
      <c r="H6" s="12" t="s">
        <v>1046</v>
      </c>
      <c r="I6" s="13" t="str">
        <f t="shared" si="0"/>
        <v>1K</v>
      </c>
      <c r="J6" t="str">
        <f t="shared" si="1"/>
        <v xml:space="preserve">0003 </v>
      </c>
      <c r="K6" t="str">
        <f t="shared" si="2"/>
        <v xml:space="preserve">0007 </v>
      </c>
      <c r="L6" t="str">
        <f t="shared" si="3"/>
        <v>Plat10</v>
      </c>
      <c r="M6" s="8" t="str">
        <f t="shared" si="4"/>
        <v>10</v>
      </c>
      <c r="N6" s="4" t="s">
        <v>1044</v>
      </c>
      <c r="O6" s="4" t="s">
        <v>3019</v>
      </c>
      <c r="P6" s="4" t="s">
        <v>3020</v>
      </c>
      <c r="Q6" s="4" t="s">
        <v>3021</v>
      </c>
      <c r="R6" s="4" t="s">
        <v>3022</v>
      </c>
      <c r="S6" s="4" t="s">
        <v>3023</v>
      </c>
      <c r="T6" s="4" t="s">
        <v>3024</v>
      </c>
      <c r="U6" s="4" t="s">
        <v>3025</v>
      </c>
      <c r="V6" s="4" t="s">
        <v>1058</v>
      </c>
    </row>
    <row r="7" spans="1:31" s="4" customFormat="1" ht="15" customHeight="1" x14ac:dyDescent="0.25">
      <c r="A7" s="10"/>
      <c r="B7" s="3" t="s">
        <v>1060</v>
      </c>
      <c r="C7" s="1"/>
      <c r="D7" s="1" t="s">
        <v>1037</v>
      </c>
      <c r="E7" s="1" t="s">
        <v>1061</v>
      </c>
      <c r="F7" s="2" t="s">
        <v>1062</v>
      </c>
      <c r="G7" s="1" t="s">
        <v>1059</v>
      </c>
      <c r="H7" s="12" t="s">
        <v>1040</v>
      </c>
      <c r="I7" s="13" t="str">
        <f t="shared" si="0"/>
        <v>2N</v>
      </c>
      <c r="J7" t="str">
        <f t="shared" si="1"/>
        <v/>
      </c>
      <c r="K7" t="str">
        <f t="shared" si="2"/>
        <v xml:space="preserve">0007 </v>
      </c>
      <c r="L7" t="str">
        <f t="shared" si="3"/>
        <v>Plat 2</v>
      </c>
      <c r="M7" s="8" t="str">
        <f t="shared" si="4"/>
        <v xml:space="preserve"> 2</v>
      </c>
      <c r="N7" s="4" t="s">
        <v>3010</v>
      </c>
      <c r="O7" s="15" t="s">
        <v>3011</v>
      </c>
    </row>
    <row r="8" spans="1:31" s="4" customFormat="1" ht="15" customHeight="1" x14ac:dyDescent="0.25">
      <c r="A8" s="10"/>
      <c r="B8" s="3" t="s">
        <v>1063</v>
      </c>
      <c r="C8" s="1" t="s">
        <v>1064</v>
      </c>
      <c r="D8" s="2" t="s">
        <v>1058</v>
      </c>
      <c r="E8" s="1" t="s">
        <v>1054</v>
      </c>
      <c r="F8" s="2" t="s">
        <v>1372</v>
      </c>
      <c r="G8" s="1" t="s">
        <v>257</v>
      </c>
      <c r="H8" s="12" t="s">
        <v>1046</v>
      </c>
      <c r="I8" s="13" t="str">
        <f t="shared" si="0"/>
        <v>1K</v>
      </c>
      <c r="J8" t="str">
        <f t="shared" si="1"/>
        <v xml:space="preserve">0006 </v>
      </c>
      <c r="K8" t="str">
        <f t="shared" si="2"/>
        <v xml:space="preserve">0008 </v>
      </c>
      <c r="L8" t="str">
        <f t="shared" si="3"/>
        <v>Plat 5</v>
      </c>
      <c r="M8" s="8" t="str">
        <f t="shared" si="4"/>
        <v xml:space="preserve"> 5</v>
      </c>
      <c r="N8" s="4" t="s">
        <v>1372</v>
      </c>
    </row>
    <row r="9" spans="1:31" s="4" customFormat="1" ht="15" customHeight="1" x14ac:dyDescent="0.25">
      <c r="A9" s="10"/>
      <c r="B9" s="3" t="s">
        <v>1065</v>
      </c>
      <c r="C9" s="1" t="s">
        <v>1059</v>
      </c>
      <c r="D9" s="2" t="s">
        <v>1372</v>
      </c>
      <c r="E9" s="1" t="s">
        <v>1156</v>
      </c>
      <c r="F9" s="2" t="s">
        <v>1066</v>
      </c>
      <c r="G9" s="1" t="s">
        <v>1067</v>
      </c>
      <c r="H9" s="12" t="s">
        <v>1046</v>
      </c>
      <c r="I9" s="13" t="str">
        <f t="shared" si="0"/>
        <v>1P</v>
      </c>
      <c r="J9" t="str">
        <f t="shared" si="1"/>
        <v xml:space="preserve">0007 </v>
      </c>
      <c r="K9" t="str">
        <f t="shared" si="2"/>
        <v>0010½</v>
      </c>
      <c r="L9" t="str">
        <f t="shared" si="3"/>
        <v>Plat10</v>
      </c>
      <c r="M9" s="8" t="str">
        <f t="shared" si="4"/>
        <v>10</v>
      </c>
      <c r="N9" t="s">
        <v>1473</v>
      </c>
      <c r="O9" t="s">
        <v>1091</v>
      </c>
      <c r="P9" t="s">
        <v>3006</v>
      </c>
      <c r="Q9" t="s">
        <v>1242</v>
      </c>
      <c r="R9" t="s">
        <v>1501</v>
      </c>
      <c r="S9" t="s">
        <v>3052</v>
      </c>
      <c r="T9" t="s">
        <v>1066</v>
      </c>
    </row>
    <row r="10" spans="1:31" s="4" customFormat="1" ht="15" customHeight="1" x14ac:dyDescent="0.25">
      <c r="A10" s="10"/>
      <c r="B10" s="3" t="s">
        <v>1068</v>
      </c>
      <c r="C10" s="1"/>
      <c r="D10" s="1" t="s">
        <v>1037</v>
      </c>
      <c r="E10" s="1" t="s">
        <v>1054</v>
      </c>
      <c r="F10" s="2" t="s">
        <v>1372</v>
      </c>
      <c r="G10" s="1" t="s">
        <v>258</v>
      </c>
      <c r="H10" s="12" t="s">
        <v>1046</v>
      </c>
      <c r="I10" s="13" t="str">
        <f t="shared" si="0"/>
        <v>2C</v>
      </c>
      <c r="J10" t="str">
        <f t="shared" si="1"/>
        <v/>
      </c>
      <c r="K10" t="str">
        <f t="shared" si="2"/>
        <v xml:space="preserve">0012 </v>
      </c>
      <c r="L10" t="str">
        <f t="shared" si="3"/>
        <v>Plat 5</v>
      </c>
      <c r="M10" s="8" t="str">
        <f t="shared" si="4"/>
        <v xml:space="preserve"> 5</v>
      </c>
      <c r="N10" s="4" t="s">
        <v>1372</v>
      </c>
    </row>
    <row r="11" spans="1:31" s="4" customFormat="1" ht="15" customHeight="1" x14ac:dyDescent="0.25">
      <c r="A11" s="10"/>
      <c r="B11" s="3" t="s">
        <v>1069</v>
      </c>
      <c r="C11" s="1" t="s">
        <v>1070</v>
      </c>
      <c r="D11" s="2" t="s">
        <v>1372</v>
      </c>
      <c r="E11" s="1" t="s">
        <v>1043</v>
      </c>
      <c r="F11" s="2" t="s">
        <v>1044</v>
      </c>
      <c r="G11" s="1" t="s">
        <v>1071</v>
      </c>
      <c r="H11" s="12" t="s">
        <v>1046</v>
      </c>
      <c r="I11" s="13" t="str">
        <f t="shared" si="0"/>
        <v>2W</v>
      </c>
      <c r="J11" t="str">
        <f t="shared" si="1"/>
        <v>0008½</v>
      </c>
      <c r="K11" t="str">
        <f t="shared" si="2"/>
        <v>0013½</v>
      </c>
      <c r="L11" t="str">
        <f t="shared" si="3"/>
        <v>Plat 8</v>
      </c>
      <c r="M11" s="8" t="str">
        <f t="shared" si="4"/>
        <v xml:space="preserve"> 8</v>
      </c>
      <c r="N11" s="4" t="s">
        <v>3012</v>
      </c>
      <c r="O11" s="4" t="s">
        <v>3013</v>
      </c>
      <c r="P11" s="4" t="s">
        <v>1181</v>
      </c>
      <c r="Q11" s="4" t="s">
        <v>3014</v>
      </c>
      <c r="R11" s="4" t="s">
        <v>3015</v>
      </c>
      <c r="S11" s="4" t="s">
        <v>3016</v>
      </c>
      <c r="T11" s="4" t="s">
        <v>3004</v>
      </c>
      <c r="U11" s="4" t="s">
        <v>1161</v>
      </c>
      <c r="V11" s="4" t="s">
        <v>3017</v>
      </c>
      <c r="W11" s="4" t="s">
        <v>3018</v>
      </c>
      <c r="X11" s="4" t="s">
        <v>1044</v>
      </c>
    </row>
    <row r="12" spans="1:31" s="4" customFormat="1" ht="15" customHeight="1" x14ac:dyDescent="0.25">
      <c r="A12" s="10"/>
      <c r="B12" s="3" t="s">
        <v>1072</v>
      </c>
      <c r="C12" s="1" t="s">
        <v>1073</v>
      </c>
      <c r="D12" s="2" t="s">
        <v>1074</v>
      </c>
      <c r="E12" s="1" t="s">
        <v>1075</v>
      </c>
      <c r="F12" s="1" t="s">
        <v>1051</v>
      </c>
      <c r="G12" s="1"/>
      <c r="H12" s="12" t="s">
        <v>1040</v>
      </c>
      <c r="I12" s="13" t="str">
        <f t="shared" si="0"/>
        <v>2N</v>
      </c>
      <c r="J12" t="str">
        <f t="shared" si="1"/>
        <v xml:space="preserve">0014 </v>
      </c>
      <c r="K12" t="str">
        <f t="shared" si="2"/>
        <v/>
      </c>
      <c r="L12" t="str">
        <f t="shared" si="3"/>
        <v>Plat 2</v>
      </c>
      <c r="M12" s="8" t="str">
        <f t="shared" si="4"/>
        <v xml:space="preserve"> 2</v>
      </c>
    </row>
    <row r="13" spans="1:31" s="4" customFormat="1" ht="15" customHeight="1" x14ac:dyDescent="0.25">
      <c r="A13" s="10"/>
      <c r="B13" s="3" t="s">
        <v>1076</v>
      </c>
      <c r="C13" s="1"/>
      <c r="D13" s="1" t="s">
        <v>1037</v>
      </c>
      <c r="E13" s="1" t="s">
        <v>1038</v>
      </c>
      <c r="F13" s="2" t="s">
        <v>1077</v>
      </c>
      <c r="G13" s="1" t="s">
        <v>261</v>
      </c>
      <c r="H13" s="12" t="s">
        <v>1040</v>
      </c>
      <c r="I13" s="13" t="str">
        <f t="shared" si="0"/>
        <v>2M</v>
      </c>
      <c r="J13" t="str">
        <f t="shared" si="1"/>
        <v/>
      </c>
      <c r="K13" t="str">
        <f t="shared" si="2"/>
        <v xml:space="preserve">0015 </v>
      </c>
      <c r="L13" t="str">
        <f t="shared" si="3"/>
        <v>Plat 1</v>
      </c>
      <c r="M13" s="8" t="str">
        <f t="shared" si="4"/>
        <v xml:space="preserve"> 1</v>
      </c>
      <c r="N13" s="4" t="s">
        <v>3010</v>
      </c>
      <c r="O13" s="15" t="s">
        <v>3011</v>
      </c>
    </row>
    <row r="14" spans="1:31" s="4" customFormat="1" ht="15" customHeight="1" x14ac:dyDescent="0.25">
      <c r="A14" s="10"/>
      <c r="B14" s="3" t="s">
        <v>1078</v>
      </c>
      <c r="C14" s="1"/>
      <c r="D14" s="1" t="s">
        <v>1037</v>
      </c>
      <c r="E14" s="1" t="s">
        <v>2148</v>
      </c>
      <c r="F14" s="2" t="s">
        <v>1079</v>
      </c>
      <c r="G14" s="1" t="s">
        <v>261</v>
      </c>
      <c r="H14" s="12" t="s">
        <v>1046</v>
      </c>
      <c r="I14" s="13" t="str">
        <f t="shared" si="0"/>
        <v>2O</v>
      </c>
      <c r="J14" t="str">
        <f t="shared" si="1"/>
        <v/>
      </c>
      <c r="K14" t="str">
        <f t="shared" si="2"/>
        <v xml:space="preserve">0015 </v>
      </c>
      <c r="L14" t="str">
        <f t="shared" si="3"/>
        <v>Plat11</v>
      </c>
      <c r="M14" s="8" t="str">
        <f t="shared" si="4"/>
        <v>11</v>
      </c>
      <c r="N14" t="s">
        <v>2975</v>
      </c>
      <c r="O14" t="s">
        <v>2976</v>
      </c>
      <c r="P14" t="s">
        <v>2977</v>
      </c>
      <c r="Q14" t="s">
        <v>3040</v>
      </c>
      <c r="R14" t="s">
        <v>3042</v>
      </c>
      <c r="S14" t="s">
        <v>2978</v>
      </c>
      <c r="T14" t="s">
        <v>1298</v>
      </c>
      <c r="U14" t="s">
        <v>3049</v>
      </c>
      <c r="V14" t="s">
        <v>3050</v>
      </c>
      <c r="W14" t="s">
        <v>3051</v>
      </c>
      <c r="X14" t="s">
        <v>1079</v>
      </c>
    </row>
    <row r="15" spans="1:31" s="4" customFormat="1" ht="15" customHeight="1" x14ac:dyDescent="0.25">
      <c r="A15" s="10"/>
      <c r="B15" s="3" t="s">
        <v>1080</v>
      </c>
      <c r="C15" s="1" t="s">
        <v>1081</v>
      </c>
      <c r="D15" s="2" t="s">
        <v>1039</v>
      </c>
      <c r="E15" s="1" t="s">
        <v>1050</v>
      </c>
      <c r="F15" s="1" t="s">
        <v>1051</v>
      </c>
      <c r="G15" s="1"/>
      <c r="H15" s="12" t="s">
        <v>1040</v>
      </c>
      <c r="I15" s="13" t="str">
        <f t="shared" si="0"/>
        <v>2L</v>
      </c>
      <c r="J15" t="str">
        <f t="shared" si="1"/>
        <v xml:space="preserve">0019 </v>
      </c>
      <c r="K15" t="str">
        <f t="shared" si="2"/>
        <v/>
      </c>
      <c r="L15" t="str">
        <f t="shared" si="3"/>
        <v>Plat 1</v>
      </c>
      <c r="M15" s="8" t="str">
        <f t="shared" si="4"/>
        <v xml:space="preserve"> 1</v>
      </c>
    </row>
    <row r="16" spans="1:31" s="4" customFormat="1" ht="15" customHeight="1" x14ac:dyDescent="0.25">
      <c r="A16" s="10"/>
      <c r="B16" s="3" t="s">
        <v>1082</v>
      </c>
      <c r="C16" s="1" t="s">
        <v>1083</v>
      </c>
      <c r="D16" s="2" t="s">
        <v>1044</v>
      </c>
      <c r="E16" s="1" t="s">
        <v>1054</v>
      </c>
      <c r="F16" s="2" t="s">
        <v>1372</v>
      </c>
      <c r="G16" s="1" t="s">
        <v>265</v>
      </c>
      <c r="H16" s="12" t="s">
        <v>1046</v>
      </c>
      <c r="I16" s="13" t="str">
        <f t="shared" si="0"/>
        <v>2W</v>
      </c>
      <c r="J16" t="str">
        <f t="shared" si="1"/>
        <v xml:space="preserve">0017 </v>
      </c>
      <c r="K16" t="str">
        <f t="shared" si="2"/>
        <v xml:space="preserve">0020 </v>
      </c>
      <c r="L16" t="str">
        <f t="shared" si="3"/>
        <v>Plat 5</v>
      </c>
      <c r="M16" s="8" t="str">
        <f t="shared" si="4"/>
        <v xml:space="preserve"> 5</v>
      </c>
      <c r="N16" s="4" t="s">
        <v>1372</v>
      </c>
    </row>
    <row r="17" spans="1:29" s="4" customFormat="1" ht="15" customHeight="1" x14ac:dyDescent="0.25">
      <c r="A17" s="10"/>
      <c r="B17" s="3" t="s">
        <v>1084</v>
      </c>
      <c r="C17" s="1"/>
      <c r="D17" s="1" t="s">
        <v>1037</v>
      </c>
      <c r="E17" s="1" t="s">
        <v>1061</v>
      </c>
      <c r="F17" s="2" t="s">
        <v>1062</v>
      </c>
      <c r="G17" s="1" t="s">
        <v>1085</v>
      </c>
      <c r="H17" s="12" t="s">
        <v>1040</v>
      </c>
      <c r="I17" s="13" t="str">
        <f t="shared" si="0"/>
        <v>2N</v>
      </c>
      <c r="J17" t="str">
        <f t="shared" si="1"/>
        <v/>
      </c>
      <c r="K17" t="str">
        <f t="shared" si="2"/>
        <v xml:space="preserve">0022 </v>
      </c>
      <c r="L17" t="str">
        <f t="shared" si="3"/>
        <v>Plat 2</v>
      </c>
      <c r="M17" s="8" t="str">
        <f t="shared" si="4"/>
        <v xml:space="preserve"> 2</v>
      </c>
      <c r="N17" s="4" t="s">
        <v>3010</v>
      </c>
      <c r="O17" s="15" t="s">
        <v>3011</v>
      </c>
    </row>
    <row r="18" spans="1:29" s="4" customFormat="1" ht="15" customHeight="1" x14ac:dyDescent="0.25">
      <c r="A18" s="10"/>
      <c r="B18" s="3" t="s">
        <v>1086</v>
      </c>
      <c r="C18" s="1" t="s">
        <v>1087</v>
      </c>
      <c r="D18" s="2" t="s">
        <v>1372</v>
      </c>
      <c r="E18" s="1" t="s">
        <v>1043</v>
      </c>
      <c r="F18" s="2" t="s">
        <v>1044</v>
      </c>
      <c r="G18" s="1" t="s">
        <v>1088</v>
      </c>
      <c r="H18" s="12" t="s">
        <v>1046</v>
      </c>
      <c r="I18" s="13" t="str">
        <f t="shared" si="0"/>
        <v>2W</v>
      </c>
      <c r="J18" t="str">
        <f t="shared" si="1"/>
        <v>0018½</v>
      </c>
      <c r="K18" t="str">
        <f t="shared" si="2"/>
        <v>0023½</v>
      </c>
      <c r="L18" t="str">
        <f t="shared" si="3"/>
        <v>Plat 8</v>
      </c>
      <c r="M18" s="8" t="str">
        <f t="shared" si="4"/>
        <v xml:space="preserve"> 8</v>
      </c>
      <c r="N18" s="4" t="s">
        <v>3012</v>
      </c>
      <c r="O18" s="4" t="s">
        <v>3013</v>
      </c>
      <c r="P18" s="4" t="s">
        <v>1181</v>
      </c>
      <c r="Q18" s="4" t="s">
        <v>3014</v>
      </c>
      <c r="R18" s="4" t="s">
        <v>3015</v>
      </c>
      <c r="S18" s="4" t="s">
        <v>3016</v>
      </c>
      <c r="T18" s="4" t="s">
        <v>3004</v>
      </c>
      <c r="U18" s="4" t="s">
        <v>1161</v>
      </c>
      <c r="V18" s="4" t="s">
        <v>3017</v>
      </c>
      <c r="W18" s="4" t="s">
        <v>3018</v>
      </c>
      <c r="X18" s="4" t="s">
        <v>1044</v>
      </c>
    </row>
    <row r="19" spans="1:29" s="4" customFormat="1" ht="15" customHeight="1" x14ac:dyDescent="0.25">
      <c r="A19" s="10"/>
      <c r="B19" s="3" t="s">
        <v>1089</v>
      </c>
      <c r="C19" s="1" t="s">
        <v>1090</v>
      </c>
      <c r="D19" s="2" t="s">
        <v>1372</v>
      </c>
      <c r="E19" s="1" t="s">
        <v>1156</v>
      </c>
      <c r="F19" s="2" t="s">
        <v>1091</v>
      </c>
      <c r="G19" s="1" t="s">
        <v>1092</v>
      </c>
      <c r="H19" s="12" t="s">
        <v>1046</v>
      </c>
      <c r="I19" s="13" t="str">
        <f t="shared" si="0"/>
        <v>1F</v>
      </c>
      <c r="J19" t="str">
        <f t="shared" si="1"/>
        <v>0019½</v>
      </c>
      <c r="K19" t="str">
        <f t="shared" si="2"/>
        <v>0024½</v>
      </c>
      <c r="L19" t="str">
        <f t="shared" si="3"/>
        <v>Plat10</v>
      </c>
      <c r="M19" s="8" t="str">
        <f t="shared" si="4"/>
        <v>10</v>
      </c>
      <c r="N19" s="4" t="s">
        <v>1044</v>
      </c>
      <c r="O19" s="4" t="s">
        <v>2999</v>
      </c>
      <c r="P19" s="4" t="s">
        <v>1473</v>
      </c>
      <c r="Q19" s="4" t="s">
        <v>3000</v>
      </c>
      <c r="R19" s="4" t="s">
        <v>3001</v>
      </c>
      <c r="S19" s="4" t="s">
        <v>3002</v>
      </c>
      <c r="T19" s="4" t="s">
        <v>3003</v>
      </c>
      <c r="U19" s="4" t="s">
        <v>1091</v>
      </c>
    </row>
    <row r="20" spans="1:29" s="4" customFormat="1" ht="15" customHeight="1" x14ac:dyDescent="0.25">
      <c r="A20" s="10"/>
      <c r="B20" s="3" t="s">
        <v>1093</v>
      </c>
      <c r="C20" s="1" t="s">
        <v>273</v>
      </c>
      <c r="D20" s="2" t="s">
        <v>1372</v>
      </c>
      <c r="E20" s="1" t="s">
        <v>1156</v>
      </c>
      <c r="F20" s="2" t="s">
        <v>1058</v>
      </c>
      <c r="G20" s="1" t="s">
        <v>274</v>
      </c>
      <c r="H20" s="12" t="s">
        <v>1046</v>
      </c>
      <c r="I20" s="13" t="str">
        <f t="shared" si="0"/>
        <v>1K</v>
      </c>
      <c r="J20" t="str">
        <f t="shared" si="1"/>
        <v xml:space="preserve">0023 </v>
      </c>
      <c r="K20" t="str">
        <f t="shared" si="2"/>
        <v xml:space="preserve">0027 </v>
      </c>
      <c r="L20" t="str">
        <f t="shared" si="3"/>
        <v>Plat10</v>
      </c>
      <c r="M20" s="8" t="str">
        <f t="shared" si="4"/>
        <v>10</v>
      </c>
      <c r="N20" s="4" t="s">
        <v>1044</v>
      </c>
      <c r="O20" s="4" t="s">
        <v>3019</v>
      </c>
      <c r="P20" s="4" t="s">
        <v>3020</v>
      </c>
      <c r="Q20" s="4" t="s">
        <v>3021</v>
      </c>
      <c r="R20" s="4" t="s">
        <v>3022</v>
      </c>
      <c r="S20" s="4" t="s">
        <v>3023</v>
      </c>
      <c r="T20" s="4" t="s">
        <v>3024</v>
      </c>
      <c r="U20" s="4" t="s">
        <v>3025</v>
      </c>
      <c r="V20" s="4" t="s">
        <v>1058</v>
      </c>
    </row>
    <row r="21" spans="1:29" s="4" customFormat="1" ht="15" customHeight="1" x14ac:dyDescent="0.25">
      <c r="A21" s="10"/>
      <c r="B21" s="3" t="s">
        <v>1094</v>
      </c>
      <c r="C21" s="1" t="s">
        <v>1095</v>
      </c>
      <c r="D21" s="2" t="s">
        <v>1074</v>
      </c>
      <c r="E21" s="1" t="s">
        <v>1075</v>
      </c>
      <c r="F21" s="1" t="s">
        <v>1051</v>
      </c>
      <c r="G21" s="1"/>
      <c r="H21" s="12" t="s">
        <v>1040</v>
      </c>
      <c r="I21" s="13" t="str">
        <f t="shared" si="0"/>
        <v>2N</v>
      </c>
      <c r="J21" t="str">
        <f t="shared" si="1"/>
        <v xml:space="preserve">0029 </v>
      </c>
      <c r="K21" t="str">
        <f t="shared" si="2"/>
        <v/>
      </c>
      <c r="L21" t="str">
        <f t="shared" si="3"/>
        <v>Plat 2</v>
      </c>
      <c r="M21" s="8" t="str">
        <f t="shared" si="4"/>
        <v xml:space="preserve"> 2</v>
      </c>
    </row>
    <row r="22" spans="1:29" s="4" customFormat="1" ht="15" customHeight="1" x14ac:dyDescent="0.25">
      <c r="A22" s="10"/>
      <c r="B22" s="3" t="s">
        <v>1096</v>
      </c>
      <c r="C22" s="1" t="s">
        <v>184</v>
      </c>
      <c r="D22" s="2" t="s">
        <v>1372</v>
      </c>
      <c r="E22" s="1" t="s">
        <v>2272</v>
      </c>
      <c r="F22" s="2" t="s">
        <v>1097</v>
      </c>
      <c r="G22" s="1" t="s">
        <v>182</v>
      </c>
      <c r="H22" s="12" t="s">
        <v>1046</v>
      </c>
      <c r="I22" s="13" t="str">
        <f t="shared" si="0"/>
        <v>2H</v>
      </c>
      <c r="J22" t="str">
        <f t="shared" si="1"/>
        <v>0026½</v>
      </c>
      <c r="K22" t="str">
        <f t="shared" si="2"/>
        <v xml:space="preserve">0030 </v>
      </c>
      <c r="L22" t="str">
        <f t="shared" si="3"/>
        <v>Plat12</v>
      </c>
      <c r="M22" s="8" t="str">
        <f t="shared" si="4"/>
        <v>12</v>
      </c>
      <c r="N22" t="s">
        <v>2975</v>
      </c>
      <c r="O22" t="s">
        <v>2978</v>
      </c>
      <c r="P22" t="s">
        <v>1298</v>
      </c>
      <c r="Q22" t="s">
        <v>2979</v>
      </c>
      <c r="R22" t="s">
        <v>2980</v>
      </c>
      <c r="S22" t="s">
        <v>2981</v>
      </c>
      <c r="T22" t="s">
        <v>2982</v>
      </c>
      <c r="U22" t="s">
        <v>1254</v>
      </c>
      <c r="V22" t="s">
        <v>2983</v>
      </c>
      <c r="W22" t="s">
        <v>2993</v>
      </c>
      <c r="X22" t="s">
        <v>2994</v>
      </c>
      <c r="Y22" t="s">
        <v>2995</v>
      </c>
      <c r="Z22" t="s">
        <v>2996</v>
      </c>
      <c r="AA22" t="s">
        <v>2997</v>
      </c>
      <c r="AB22" t="s">
        <v>2998</v>
      </c>
      <c r="AC22" t="s">
        <v>1097</v>
      </c>
    </row>
    <row r="23" spans="1:29" s="4" customFormat="1" ht="15" customHeight="1" x14ac:dyDescent="0.25">
      <c r="A23" s="10"/>
      <c r="B23" s="3" t="s">
        <v>1098</v>
      </c>
      <c r="C23" s="1"/>
      <c r="D23" s="1" t="s">
        <v>1037</v>
      </c>
      <c r="E23" s="1" t="s">
        <v>1054</v>
      </c>
      <c r="F23" s="2" t="s">
        <v>1372</v>
      </c>
      <c r="G23" s="1" t="s">
        <v>182</v>
      </c>
      <c r="H23" s="12" t="s">
        <v>1046</v>
      </c>
      <c r="I23" s="13" t="str">
        <f t="shared" si="0"/>
        <v>2C</v>
      </c>
      <c r="J23" t="str">
        <f t="shared" si="1"/>
        <v/>
      </c>
      <c r="K23" t="str">
        <f t="shared" si="2"/>
        <v xml:space="preserve">0030 </v>
      </c>
      <c r="L23" t="str">
        <f t="shared" si="3"/>
        <v>Plat 5</v>
      </c>
      <c r="M23" s="8" t="str">
        <f t="shared" si="4"/>
        <v xml:space="preserve"> 5</v>
      </c>
      <c r="N23" s="4" t="s">
        <v>1372</v>
      </c>
    </row>
    <row r="24" spans="1:29" s="4" customFormat="1" ht="15" customHeight="1" x14ac:dyDescent="0.25">
      <c r="A24" s="10"/>
      <c r="B24" s="3" t="s">
        <v>1099</v>
      </c>
      <c r="C24" s="1"/>
      <c r="D24" s="1" t="s">
        <v>1037</v>
      </c>
      <c r="E24" s="1" t="s">
        <v>1038</v>
      </c>
      <c r="F24" s="2" t="s">
        <v>1077</v>
      </c>
      <c r="G24" s="1" t="s">
        <v>1100</v>
      </c>
      <c r="H24" s="12" t="s">
        <v>1040</v>
      </c>
      <c r="I24" s="13" t="str">
        <f t="shared" si="0"/>
        <v>2M</v>
      </c>
      <c r="J24" t="str">
        <f t="shared" si="1"/>
        <v/>
      </c>
      <c r="K24" t="str">
        <f t="shared" si="2"/>
        <v xml:space="preserve">0032 </v>
      </c>
      <c r="L24" t="str">
        <f t="shared" si="3"/>
        <v>Plat 1</v>
      </c>
      <c r="M24" s="8" t="str">
        <f t="shared" si="4"/>
        <v xml:space="preserve"> 1</v>
      </c>
      <c r="N24" s="4" t="s">
        <v>3010</v>
      </c>
      <c r="O24" s="15" t="s">
        <v>3011</v>
      </c>
    </row>
    <row r="25" spans="1:29" s="4" customFormat="1" ht="15" customHeight="1" x14ac:dyDescent="0.25">
      <c r="A25" s="10"/>
      <c r="B25" s="3" t="s">
        <v>1101</v>
      </c>
      <c r="C25" s="1" t="s">
        <v>1102</v>
      </c>
      <c r="D25" s="2" t="s">
        <v>1372</v>
      </c>
      <c r="E25" s="1" t="s">
        <v>1043</v>
      </c>
      <c r="F25" s="2" t="s">
        <v>1044</v>
      </c>
      <c r="G25" s="1" t="s">
        <v>1103</v>
      </c>
      <c r="H25" s="12" t="s">
        <v>1046</v>
      </c>
      <c r="I25" s="13" t="str">
        <f t="shared" si="0"/>
        <v>2W</v>
      </c>
      <c r="J25" t="str">
        <f t="shared" si="1"/>
        <v>0028½</v>
      </c>
      <c r="K25" t="str">
        <f t="shared" si="2"/>
        <v>0033½</v>
      </c>
      <c r="L25" t="str">
        <f t="shared" si="3"/>
        <v>Plat 8</v>
      </c>
      <c r="M25" s="8" t="str">
        <f t="shared" si="4"/>
        <v xml:space="preserve"> 8</v>
      </c>
      <c r="N25" s="4" t="s">
        <v>3012</v>
      </c>
      <c r="O25" s="4" t="s">
        <v>3013</v>
      </c>
      <c r="P25" s="4" t="s">
        <v>1181</v>
      </c>
      <c r="Q25" s="4" t="s">
        <v>3014</v>
      </c>
      <c r="R25" s="4" t="s">
        <v>3015</v>
      </c>
      <c r="S25" s="4" t="s">
        <v>3016</v>
      </c>
      <c r="T25" s="4" t="s">
        <v>3004</v>
      </c>
      <c r="U25" s="4" t="s">
        <v>1161</v>
      </c>
      <c r="V25" s="4" t="s">
        <v>3017</v>
      </c>
      <c r="W25" s="4" t="s">
        <v>3018</v>
      </c>
      <c r="X25" s="4" t="s">
        <v>1044</v>
      </c>
    </row>
    <row r="26" spans="1:29" s="4" customFormat="1" ht="15" customHeight="1" x14ac:dyDescent="0.25">
      <c r="A26" s="10"/>
      <c r="B26" s="3" t="s">
        <v>1104</v>
      </c>
      <c r="C26" s="1" t="s">
        <v>1105</v>
      </c>
      <c r="D26" s="2" t="s">
        <v>1039</v>
      </c>
      <c r="E26" s="1" t="s">
        <v>1050</v>
      </c>
      <c r="F26" s="1" t="s">
        <v>1051</v>
      </c>
      <c r="G26" s="1"/>
      <c r="H26" s="12" t="s">
        <v>1040</v>
      </c>
      <c r="I26" s="13" t="str">
        <f t="shared" si="0"/>
        <v>2L</v>
      </c>
      <c r="J26" t="str">
        <f t="shared" si="1"/>
        <v xml:space="preserve">0035 </v>
      </c>
      <c r="K26" t="str">
        <f t="shared" si="2"/>
        <v/>
      </c>
      <c r="L26" t="str">
        <f t="shared" si="3"/>
        <v>Plat 1</v>
      </c>
      <c r="M26" s="8" t="str">
        <f t="shared" si="4"/>
        <v xml:space="preserve"> 1</v>
      </c>
    </row>
    <row r="27" spans="1:29" s="4" customFormat="1" ht="15" customHeight="1" x14ac:dyDescent="0.25">
      <c r="A27" s="10"/>
      <c r="B27" s="3" t="s">
        <v>1106</v>
      </c>
      <c r="C27" s="1"/>
      <c r="D27" s="1" t="s">
        <v>1037</v>
      </c>
      <c r="E27" s="1" t="s">
        <v>1061</v>
      </c>
      <c r="F27" s="2" t="s">
        <v>1062</v>
      </c>
      <c r="G27" s="1" t="s">
        <v>1107</v>
      </c>
      <c r="H27" s="12" t="s">
        <v>1040</v>
      </c>
      <c r="I27" s="13" t="str">
        <f t="shared" si="0"/>
        <v>2N</v>
      </c>
      <c r="J27" t="str">
        <f t="shared" si="1"/>
        <v/>
      </c>
      <c r="K27" t="str">
        <f t="shared" si="2"/>
        <v xml:space="preserve">0037 </v>
      </c>
      <c r="L27" t="str">
        <f t="shared" si="3"/>
        <v>Plat 2</v>
      </c>
      <c r="M27" s="8" t="str">
        <f t="shared" si="4"/>
        <v xml:space="preserve"> 2</v>
      </c>
      <c r="N27" s="4" t="s">
        <v>3010</v>
      </c>
      <c r="O27" s="15" t="s">
        <v>3011</v>
      </c>
    </row>
    <row r="28" spans="1:29" s="4" customFormat="1" ht="15" customHeight="1" x14ac:dyDescent="0.25">
      <c r="A28" s="10"/>
      <c r="B28" s="3" t="s">
        <v>1108</v>
      </c>
      <c r="C28" s="1" t="s">
        <v>1100</v>
      </c>
      <c r="D28" s="2" t="s">
        <v>1044</v>
      </c>
      <c r="E28" s="1" t="s">
        <v>1054</v>
      </c>
      <c r="F28" s="2" t="s">
        <v>1372</v>
      </c>
      <c r="G28" s="1" t="s">
        <v>193</v>
      </c>
      <c r="H28" s="12" t="s">
        <v>1046</v>
      </c>
      <c r="I28" s="13" t="str">
        <f t="shared" si="0"/>
        <v>2W</v>
      </c>
      <c r="J28" t="str">
        <f t="shared" si="1"/>
        <v xml:space="preserve">0032 </v>
      </c>
      <c r="K28" t="str">
        <f t="shared" si="2"/>
        <v xml:space="preserve">0040 </v>
      </c>
      <c r="L28" t="str">
        <f t="shared" si="3"/>
        <v>Plat 5</v>
      </c>
      <c r="M28" s="8" t="str">
        <f t="shared" si="4"/>
        <v xml:space="preserve"> 5</v>
      </c>
      <c r="N28" s="4" t="s">
        <v>1372</v>
      </c>
    </row>
    <row r="29" spans="1:29" s="4" customFormat="1" ht="15" customHeight="1" x14ac:dyDescent="0.25">
      <c r="A29" s="10"/>
      <c r="B29" s="3" t="s">
        <v>1109</v>
      </c>
      <c r="C29" s="1" t="s">
        <v>195</v>
      </c>
      <c r="D29" s="2" t="s">
        <v>1372</v>
      </c>
      <c r="E29" s="1" t="s">
        <v>1156</v>
      </c>
      <c r="F29" s="2" t="s">
        <v>1066</v>
      </c>
      <c r="G29" s="1" t="s">
        <v>1110</v>
      </c>
      <c r="H29" s="12" t="s">
        <v>1046</v>
      </c>
      <c r="I29" s="13" t="str">
        <f t="shared" si="0"/>
        <v>1P</v>
      </c>
      <c r="J29" t="str">
        <f t="shared" si="1"/>
        <v xml:space="preserve">0038 </v>
      </c>
      <c r="K29" t="str">
        <f t="shared" si="2"/>
        <v>0040½</v>
      </c>
      <c r="L29" t="str">
        <f t="shared" si="3"/>
        <v>Plat10</v>
      </c>
      <c r="M29" s="8" t="str">
        <f t="shared" si="4"/>
        <v>10</v>
      </c>
      <c r="N29" t="s">
        <v>1473</v>
      </c>
      <c r="O29" t="s">
        <v>1091</v>
      </c>
      <c r="P29" t="s">
        <v>3006</v>
      </c>
      <c r="Q29" t="s">
        <v>1242</v>
      </c>
      <c r="R29" t="s">
        <v>1501</v>
      </c>
      <c r="S29" t="s">
        <v>3052</v>
      </c>
      <c r="T29" t="s">
        <v>1066</v>
      </c>
    </row>
    <row r="30" spans="1:29" s="4" customFormat="1" ht="15" customHeight="1" x14ac:dyDescent="0.25">
      <c r="A30" s="10"/>
      <c r="B30" s="3" t="s">
        <v>1111</v>
      </c>
      <c r="C30" s="1" t="s">
        <v>1112</v>
      </c>
      <c r="D30" s="2" t="s">
        <v>1372</v>
      </c>
      <c r="E30" s="1" t="s">
        <v>1043</v>
      </c>
      <c r="F30" s="2" t="s">
        <v>1044</v>
      </c>
      <c r="G30" s="1" t="s">
        <v>1113</v>
      </c>
      <c r="H30" s="12" t="s">
        <v>1046</v>
      </c>
      <c r="I30" s="13" t="str">
        <f t="shared" si="0"/>
        <v>2W</v>
      </c>
      <c r="J30" t="str">
        <f t="shared" si="1"/>
        <v>0038½</v>
      </c>
      <c r="K30" t="str">
        <f t="shared" si="2"/>
        <v>0043½</v>
      </c>
      <c r="L30" t="str">
        <f t="shared" si="3"/>
        <v>Plat 8</v>
      </c>
      <c r="M30" s="8" t="str">
        <f t="shared" si="4"/>
        <v xml:space="preserve"> 8</v>
      </c>
      <c r="N30" s="4" t="s">
        <v>3012</v>
      </c>
      <c r="O30" s="4" t="s">
        <v>3013</v>
      </c>
      <c r="P30" s="4" t="s">
        <v>1181</v>
      </c>
      <c r="Q30" s="4" t="s">
        <v>3014</v>
      </c>
      <c r="R30" s="4" t="s">
        <v>3015</v>
      </c>
      <c r="S30" s="4" t="s">
        <v>3016</v>
      </c>
      <c r="T30" s="4" t="s">
        <v>3004</v>
      </c>
      <c r="U30" s="4" t="s">
        <v>1161</v>
      </c>
      <c r="V30" s="4" t="s">
        <v>3017</v>
      </c>
      <c r="W30" s="4" t="s">
        <v>3018</v>
      </c>
      <c r="X30" s="4" t="s">
        <v>1044</v>
      </c>
    </row>
    <row r="31" spans="1:29" s="4" customFormat="1" ht="15" customHeight="1" x14ac:dyDescent="0.25">
      <c r="A31" s="10"/>
      <c r="B31" s="3" t="s">
        <v>1114</v>
      </c>
      <c r="C31" s="1" t="s">
        <v>1115</v>
      </c>
      <c r="D31" s="2" t="s">
        <v>1074</v>
      </c>
      <c r="E31" s="1" t="s">
        <v>1075</v>
      </c>
      <c r="F31" s="1" t="s">
        <v>1051</v>
      </c>
      <c r="G31" s="1"/>
      <c r="H31" s="12" t="s">
        <v>1040</v>
      </c>
      <c r="I31" s="13" t="str">
        <f t="shared" si="0"/>
        <v>2N</v>
      </c>
      <c r="J31" t="str">
        <f t="shared" si="1"/>
        <v xml:space="preserve">0044 </v>
      </c>
      <c r="K31" t="str">
        <f t="shared" si="2"/>
        <v/>
      </c>
      <c r="L31" t="str">
        <f t="shared" si="3"/>
        <v>Plat 2</v>
      </c>
      <c r="M31" s="8" t="str">
        <f t="shared" si="4"/>
        <v xml:space="preserve"> 2</v>
      </c>
    </row>
    <row r="32" spans="1:29" ht="15" customHeight="1" x14ac:dyDescent="0.25">
      <c r="A32" s="10"/>
      <c r="B32" s="3" t="s">
        <v>1114</v>
      </c>
      <c r="C32" s="1" t="s">
        <v>1115</v>
      </c>
      <c r="D32" s="2" t="s">
        <v>1074</v>
      </c>
      <c r="E32" s="1" t="s">
        <v>1075</v>
      </c>
      <c r="F32" s="1" t="s">
        <v>1051</v>
      </c>
      <c r="G32" s="1"/>
      <c r="H32" s="12" t="s">
        <v>1040</v>
      </c>
      <c r="I32" s="13" t="str">
        <f t="shared" si="0"/>
        <v>2N</v>
      </c>
      <c r="J32" t="str">
        <f t="shared" si="1"/>
        <v xml:space="preserve">0044 </v>
      </c>
      <c r="K32" t="str">
        <f t="shared" si="2"/>
        <v/>
      </c>
      <c r="L32" t="str">
        <f t="shared" si="3"/>
        <v>Plat 2</v>
      </c>
      <c r="M32" s="8" t="str">
        <f t="shared" si="4"/>
        <v xml:space="preserve"> 2</v>
      </c>
      <c r="O32"/>
    </row>
    <row r="33" spans="1:24" ht="15" customHeight="1" x14ac:dyDescent="0.25">
      <c r="A33" s="10"/>
      <c r="B33" s="3" t="s">
        <v>1116</v>
      </c>
      <c r="C33" s="1"/>
      <c r="D33" s="1" t="s">
        <v>1037</v>
      </c>
      <c r="E33" s="1" t="s">
        <v>1038</v>
      </c>
      <c r="F33" s="2" t="s">
        <v>1077</v>
      </c>
      <c r="G33" s="1" t="s">
        <v>199</v>
      </c>
      <c r="H33" s="12" t="s">
        <v>1040</v>
      </c>
      <c r="I33" s="13" t="str">
        <f t="shared" si="0"/>
        <v>2M</v>
      </c>
      <c r="J33" t="str">
        <f t="shared" si="1"/>
        <v/>
      </c>
      <c r="K33" t="str">
        <f t="shared" si="2"/>
        <v xml:space="preserve">0045 </v>
      </c>
      <c r="L33" t="str">
        <f t="shared" si="3"/>
        <v>Plat 1</v>
      </c>
      <c r="M33" s="8" t="str">
        <f t="shared" si="4"/>
        <v xml:space="preserve"> 1</v>
      </c>
      <c r="N33" s="4" t="s">
        <v>3010</v>
      </c>
      <c r="O33" s="15" t="s">
        <v>3011</v>
      </c>
    </row>
    <row r="34" spans="1:24" ht="15" customHeight="1" x14ac:dyDescent="0.25">
      <c r="A34" s="10"/>
      <c r="B34" s="3" t="s">
        <v>1117</v>
      </c>
      <c r="C34" s="1" t="s">
        <v>1118</v>
      </c>
      <c r="D34" s="2" t="s">
        <v>1039</v>
      </c>
      <c r="E34" s="1" t="s">
        <v>1050</v>
      </c>
      <c r="F34" s="1" t="s">
        <v>1051</v>
      </c>
      <c r="G34" s="1"/>
      <c r="H34" s="12" t="s">
        <v>1040</v>
      </c>
      <c r="I34" s="13" t="str">
        <f t="shared" si="0"/>
        <v>2L</v>
      </c>
      <c r="J34" t="str">
        <f t="shared" si="1"/>
        <v xml:space="preserve">0049 </v>
      </c>
      <c r="K34" t="str">
        <f t="shared" si="2"/>
        <v/>
      </c>
      <c r="L34" t="str">
        <f t="shared" si="3"/>
        <v>Plat 1</v>
      </c>
      <c r="M34" s="8" t="str">
        <f t="shared" si="4"/>
        <v xml:space="preserve"> 1</v>
      </c>
      <c r="O34"/>
    </row>
    <row r="35" spans="1:24" ht="15" customHeight="1" x14ac:dyDescent="0.25">
      <c r="A35" s="10"/>
      <c r="B35" s="3" t="s">
        <v>1117</v>
      </c>
      <c r="C35" s="1" t="s">
        <v>1118</v>
      </c>
      <c r="D35" s="2" t="s">
        <v>1039</v>
      </c>
      <c r="E35" s="1" t="s">
        <v>1050</v>
      </c>
      <c r="F35" s="1" t="s">
        <v>1051</v>
      </c>
      <c r="G35" s="1"/>
      <c r="H35" s="12" t="s">
        <v>1040</v>
      </c>
      <c r="I35" s="13" t="str">
        <f t="shared" si="0"/>
        <v>2L</v>
      </c>
      <c r="J35" t="str">
        <f t="shared" si="1"/>
        <v xml:space="preserve">0049 </v>
      </c>
      <c r="K35" t="str">
        <f t="shared" si="2"/>
        <v/>
      </c>
      <c r="L35" t="str">
        <f t="shared" si="3"/>
        <v>Plat 1</v>
      </c>
      <c r="M35" s="8" t="str">
        <f t="shared" si="4"/>
        <v xml:space="preserve"> 1</v>
      </c>
      <c r="O35"/>
    </row>
    <row r="36" spans="1:24" ht="15" customHeight="1" x14ac:dyDescent="0.25">
      <c r="A36" s="10"/>
      <c r="B36" s="3" t="s">
        <v>1119</v>
      </c>
      <c r="C36" s="1" t="s">
        <v>1120</v>
      </c>
      <c r="D36" s="2" t="s">
        <v>1044</v>
      </c>
      <c r="E36" s="1" t="s">
        <v>1054</v>
      </c>
      <c r="F36" s="2" t="s">
        <v>1372</v>
      </c>
      <c r="G36" s="1" t="s">
        <v>203</v>
      </c>
      <c r="H36" s="12" t="s">
        <v>1046</v>
      </c>
      <c r="I36" s="13" t="str">
        <f t="shared" si="0"/>
        <v>2W</v>
      </c>
      <c r="J36" t="str">
        <f t="shared" si="1"/>
        <v xml:space="preserve">0047 </v>
      </c>
      <c r="K36" t="str">
        <f t="shared" si="2"/>
        <v xml:space="preserve">0050 </v>
      </c>
      <c r="L36" t="str">
        <f t="shared" si="3"/>
        <v>Plat 5</v>
      </c>
      <c r="M36" s="8" t="str">
        <f t="shared" si="4"/>
        <v xml:space="preserve"> 5</v>
      </c>
      <c r="N36" s="4" t="s">
        <v>1372</v>
      </c>
      <c r="O36"/>
    </row>
    <row r="37" spans="1:24" ht="15" customHeight="1" x14ac:dyDescent="0.25">
      <c r="A37" s="10"/>
      <c r="B37" s="3" t="s">
        <v>1121</v>
      </c>
      <c r="C37" s="1" t="s">
        <v>1122</v>
      </c>
      <c r="D37" s="2" t="s">
        <v>1372</v>
      </c>
      <c r="E37" s="1" t="s">
        <v>1156</v>
      </c>
      <c r="F37" s="2" t="s">
        <v>1058</v>
      </c>
      <c r="G37" s="1" t="s">
        <v>1123</v>
      </c>
      <c r="H37" s="12" t="s">
        <v>1046</v>
      </c>
      <c r="I37" s="13" t="str">
        <f t="shared" si="0"/>
        <v>1K</v>
      </c>
      <c r="J37" t="str">
        <f t="shared" si="1"/>
        <v xml:space="preserve">0048 </v>
      </c>
      <c r="K37" t="str">
        <f t="shared" si="2"/>
        <v xml:space="preserve">0052 </v>
      </c>
      <c r="L37" t="str">
        <f t="shared" si="3"/>
        <v>Plat10</v>
      </c>
      <c r="M37" s="8" t="str">
        <f t="shared" si="4"/>
        <v>10</v>
      </c>
      <c r="N37" s="4" t="s">
        <v>1044</v>
      </c>
      <c r="O37" s="4" t="s">
        <v>3019</v>
      </c>
      <c r="P37" s="4" t="s">
        <v>3020</v>
      </c>
      <c r="Q37" s="4" t="s">
        <v>3021</v>
      </c>
      <c r="R37" s="4" t="s">
        <v>3022</v>
      </c>
      <c r="S37" s="4" t="s">
        <v>3023</v>
      </c>
      <c r="T37" s="4" t="s">
        <v>3024</v>
      </c>
      <c r="U37" s="4" t="s">
        <v>3025</v>
      </c>
      <c r="V37" s="4" t="s">
        <v>1058</v>
      </c>
    </row>
    <row r="38" spans="1:24" ht="15" customHeight="1" x14ac:dyDescent="0.25">
      <c r="A38" s="10"/>
      <c r="B38" s="3" t="s">
        <v>1124</v>
      </c>
      <c r="C38" s="1"/>
      <c r="D38" s="1" t="s">
        <v>1037</v>
      </c>
      <c r="E38" s="1" t="s">
        <v>1061</v>
      </c>
      <c r="F38" s="2" t="s">
        <v>1062</v>
      </c>
      <c r="G38" s="1" t="s">
        <v>1123</v>
      </c>
      <c r="H38" s="12" t="s">
        <v>1040</v>
      </c>
      <c r="I38" s="13" t="str">
        <f t="shared" si="0"/>
        <v>2N</v>
      </c>
      <c r="J38" t="str">
        <f t="shared" si="1"/>
        <v/>
      </c>
      <c r="K38" t="str">
        <f t="shared" si="2"/>
        <v xml:space="preserve">0052 </v>
      </c>
      <c r="L38" t="str">
        <f t="shared" si="3"/>
        <v>Plat 2</v>
      </c>
      <c r="M38" s="8" t="str">
        <f t="shared" si="4"/>
        <v xml:space="preserve"> 2</v>
      </c>
      <c r="N38" s="4" t="s">
        <v>3010</v>
      </c>
      <c r="O38" s="15" t="s">
        <v>3011</v>
      </c>
    </row>
    <row r="39" spans="1:24" ht="15" customHeight="1" x14ac:dyDescent="0.25">
      <c r="A39" s="10"/>
      <c r="B39" s="3" t="s">
        <v>1125</v>
      </c>
      <c r="C39" s="1" t="s">
        <v>1126</v>
      </c>
      <c r="D39" s="2" t="s">
        <v>1372</v>
      </c>
      <c r="E39" s="1" t="s">
        <v>1043</v>
      </c>
      <c r="F39" s="2" t="s">
        <v>1044</v>
      </c>
      <c r="G39" s="1" t="s">
        <v>1127</v>
      </c>
      <c r="H39" s="12" t="s">
        <v>1046</v>
      </c>
      <c r="I39" s="13" t="str">
        <f t="shared" si="0"/>
        <v>2W</v>
      </c>
      <c r="J39" t="str">
        <f t="shared" si="1"/>
        <v>0048½</v>
      </c>
      <c r="K39" t="str">
        <f t="shared" si="2"/>
        <v>0053½</v>
      </c>
      <c r="L39" t="str">
        <f t="shared" si="3"/>
        <v>Plat 8</v>
      </c>
      <c r="M39" s="8" t="str">
        <f t="shared" si="4"/>
        <v xml:space="preserve"> 8</v>
      </c>
      <c r="N39" s="4" t="s">
        <v>3012</v>
      </c>
      <c r="O39" s="4" t="s">
        <v>3013</v>
      </c>
      <c r="P39" s="4" t="s">
        <v>1181</v>
      </c>
      <c r="Q39" s="4" t="s">
        <v>3014</v>
      </c>
      <c r="R39" s="4" t="s">
        <v>3015</v>
      </c>
      <c r="S39" s="4" t="s">
        <v>3016</v>
      </c>
      <c r="T39" s="4" t="s">
        <v>3004</v>
      </c>
      <c r="U39" s="4" t="s">
        <v>1161</v>
      </c>
      <c r="V39" s="4" t="s">
        <v>3017</v>
      </c>
      <c r="W39" s="4" t="s">
        <v>3018</v>
      </c>
      <c r="X39" s="4" t="s">
        <v>1044</v>
      </c>
    </row>
    <row r="40" spans="1:24" ht="15" customHeight="1" x14ac:dyDescent="0.25">
      <c r="A40" s="10"/>
      <c r="B40" s="3" t="s">
        <v>1128</v>
      </c>
      <c r="C40" s="1" t="s">
        <v>1129</v>
      </c>
      <c r="D40" s="2" t="s">
        <v>1074</v>
      </c>
      <c r="E40" s="1" t="s">
        <v>1075</v>
      </c>
      <c r="F40" s="1" t="s">
        <v>1051</v>
      </c>
      <c r="G40" s="1"/>
      <c r="H40" s="12" t="s">
        <v>1040</v>
      </c>
      <c r="I40" s="13" t="str">
        <f t="shared" si="0"/>
        <v>2N</v>
      </c>
      <c r="J40" t="str">
        <f t="shared" si="1"/>
        <v xml:space="preserve">0059 </v>
      </c>
      <c r="K40" t="str">
        <f t="shared" si="2"/>
        <v/>
      </c>
      <c r="L40" t="str">
        <f t="shared" si="3"/>
        <v>Plat 2</v>
      </c>
      <c r="M40" s="8" t="str">
        <f t="shared" si="4"/>
        <v xml:space="preserve"> 2</v>
      </c>
      <c r="O40"/>
    </row>
    <row r="41" spans="1:24" ht="15" customHeight="1" x14ac:dyDescent="0.25">
      <c r="A41" s="10"/>
      <c r="B41" s="3" t="s">
        <v>1130</v>
      </c>
      <c r="C41" s="1"/>
      <c r="D41" s="1" t="s">
        <v>1037</v>
      </c>
      <c r="E41" s="1" t="s">
        <v>1038</v>
      </c>
      <c r="F41" s="2" t="s">
        <v>1077</v>
      </c>
      <c r="G41" s="1" t="s">
        <v>215</v>
      </c>
      <c r="H41" s="12" t="s">
        <v>1040</v>
      </c>
      <c r="I41" s="13" t="str">
        <f t="shared" si="0"/>
        <v>2M</v>
      </c>
      <c r="J41" t="str">
        <f t="shared" si="1"/>
        <v/>
      </c>
      <c r="K41" t="str">
        <f t="shared" si="2"/>
        <v xml:space="preserve">0100 </v>
      </c>
      <c r="L41" t="str">
        <f t="shared" si="3"/>
        <v>Plat 1</v>
      </c>
      <c r="M41" s="8" t="str">
        <f t="shared" si="4"/>
        <v xml:space="preserve"> 1</v>
      </c>
      <c r="N41" s="4" t="s">
        <v>3010</v>
      </c>
      <c r="O41" s="15" t="s">
        <v>3011</v>
      </c>
    </row>
    <row r="42" spans="1:24" ht="15" customHeight="1" x14ac:dyDescent="0.25">
      <c r="A42" s="10"/>
      <c r="B42" s="3" t="s">
        <v>1131</v>
      </c>
      <c r="C42" s="1" t="s">
        <v>1132</v>
      </c>
      <c r="D42" s="2" t="s">
        <v>1372</v>
      </c>
      <c r="E42" s="1" t="s">
        <v>1156</v>
      </c>
      <c r="F42" s="2" t="s">
        <v>1091</v>
      </c>
      <c r="G42" s="1" t="s">
        <v>215</v>
      </c>
      <c r="H42" s="12" t="s">
        <v>1046</v>
      </c>
      <c r="I42" s="13" t="str">
        <f t="shared" si="0"/>
        <v>1F</v>
      </c>
      <c r="J42" t="str">
        <f t="shared" si="1"/>
        <v>0054½</v>
      </c>
      <c r="K42" t="str">
        <f t="shared" si="2"/>
        <v xml:space="preserve">0100 </v>
      </c>
      <c r="L42" t="str">
        <f t="shared" si="3"/>
        <v>Plat10</v>
      </c>
      <c r="M42" s="8" t="str">
        <f t="shared" si="4"/>
        <v>10</v>
      </c>
      <c r="N42" s="4" t="s">
        <v>1044</v>
      </c>
      <c r="O42" s="4" t="s">
        <v>2999</v>
      </c>
      <c r="P42" s="4" t="s">
        <v>1473</v>
      </c>
      <c r="Q42" s="4" t="s">
        <v>3000</v>
      </c>
      <c r="R42" s="4" t="s">
        <v>3001</v>
      </c>
      <c r="S42" s="4" t="s">
        <v>3002</v>
      </c>
      <c r="T42" s="4" t="s">
        <v>3003</v>
      </c>
      <c r="U42" s="4" t="s">
        <v>1091</v>
      </c>
    </row>
    <row r="43" spans="1:24" ht="15" customHeight="1" x14ac:dyDescent="0.25">
      <c r="A43" s="10"/>
      <c r="B43" s="3" t="s">
        <v>1133</v>
      </c>
      <c r="C43" s="1"/>
      <c r="D43" s="1" t="s">
        <v>1037</v>
      </c>
      <c r="E43" s="1" t="s">
        <v>1054</v>
      </c>
      <c r="F43" s="2" t="s">
        <v>1372</v>
      </c>
      <c r="G43" s="1" t="s">
        <v>215</v>
      </c>
      <c r="H43" s="12" t="s">
        <v>1046</v>
      </c>
      <c r="I43" s="13" t="str">
        <f t="shared" si="0"/>
        <v>2C</v>
      </c>
      <c r="J43" t="str">
        <f t="shared" si="1"/>
        <v/>
      </c>
      <c r="K43" t="str">
        <f t="shared" si="2"/>
        <v xml:space="preserve">0100 </v>
      </c>
      <c r="L43" t="str">
        <f t="shared" si="3"/>
        <v>Plat 5</v>
      </c>
      <c r="M43" s="8" t="str">
        <f t="shared" si="4"/>
        <v xml:space="preserve"> 5</v>
      </c>
      <c r="N43" s="4" t="s">
        <v>1372</v>
      </c>
      <c r="O43"/>
    </row>
    <row r="44" spans="1:24" ht="15" customHeight="1" x14ac:dyDescent="0.25">
      <c r="A44" s="10"/>
      <c r="B44" s="3" t="s">
        <v>1134</v>
      </c>
      <c r="C44" s="1" t="s">
        <v>1135</v>
      </c>
      <c r="D44" s="2" t="s">
        <v>1372</v>
      </c>
      <c r="E44" s="1" t="s">
        <v>1043</v>
      </c>
      <c r="F44" s="2" t="s">
        <v>1044</v>
      </c>
      <c r="G44" s="1" t="s">
        <v>1136</v>
      </c>
      <c r="H44" s="12" t="s">
        <v>1046</v>
      </c>
      <c r="I44" s="13" t="str">
        <f t="shared" si="0"/>
        <v>2W</v>
      </c>
      <c r="J44" t="str">
        <f t="shared" si="1"/>
        <v>0058½</v>
      </c>
      <c r="K44" t="str">
        <f t="shared" si="2"/>
        <v>0103½</v>
      </c>
      <c r="L44" t="str">
        <f t="shared" si="3"/>
        <v>Plat 8</v>
      </c>
      <c r="M44" s="8" t="str">
        <f t="shared" si="4"/>
        <v xml:space="preserve"> 8</v>
      </c>
      <c r="N44" s="4" t="s">
        <v>3012</v>
      </c>
      <c r="O44" s="4" t="s">
        <v>3013</v>
      </c>
      <c r="P44" s="4" t="s">
        <v>1181</v>
      </c>
      <c r="Q44" s="4" t="s">
        <v>3014</v>
      </c>
      <c r="R44" s="4" t="s">
        <v>3015</v>
      </c>
      <c r="S44" s="4" t="s">
        <v>3016</v>
      </c>
      <c r="T44" s="4" t="s">
        <v>3004</v>
      </c>
      <c r="U44" s="4" t="s">
        <v>1161</v>
      </c>
      <c r="V44" s="4" t="s">
        <v>3017</v>
      </c>
      <c r="W44" s="4" t="s">
        <v>3018</v>
      </c>
      <c r="X44" s="4" t="s">
        <v>1044</v>
      </c>
    </row>
    <row r="45" spans="1:24" ht="15" customHeight="1" x14ac:dyDescent="0.25">
      <c r="A45" s="10"/>
      <c r="B45" s="3" t="s">
        <v>1137</v>
      </c>
      <c r="C45" s="1" t="s">
        <v>1138</v>
      </c>
      <c r="D45" s="2" t="s">
        <v>1039</v>
      </c>
      <c r="E45" s="1" t="s">
        <v>1050</v>
      </c>
      <c r="F45" s="1" t="s">
        <v>1051</v>
      </c>
      <c r="G45" s="1"/>
      <c r="H45" s="12" t="s">
        <v>1040</v>
      </c>
      <c r="I45" s="13" t="str">
        <f t="shared" si="0"/>
        <v>2L</v>
      </c>
      <c r="J45" t="str">
        <f t="shared" si="1"/>
        <v xml:space="preserve">0104 </v>
      </c>
      <c r="K45" t="str">
        <f t="shared" si="2"/>
        <v/>
      </c>
      <c r="L45" t="str">
        <f t="shared" si="3"/>
        <v>Plat 1</v>
      </c>
      <c r="M45" s="8" t="str">
        <f t="shared" si="4"/>
        <v xml:space="preserve"> 1</v>
      </c>
      <c r="O45"/>
    </row>
    <row r="46" spans="1:24" ht="15" customHeight="1" x14ac:dyDescent="0.25">
      <c r="A46" s="10"/>
      <c r="B46" s="3" t="s">
        <v>1139</v>
      </c>
      <c r="C46" s="1" t="s">
        <v>1140</v>
      </c>
      <c r="D46" s="2" t="s">
        <v>1044</v>
      </c>
      <c r="E46" s="1" t="s">
        <v>1054</v>
      </c>
      <c r="F46" s="2" t="s">
        <v>1372</v>
      </c>
      <c r="G46" s="1" t="s">
        <v>227</v>
      </c>
      <c r="H46" s="12" t="s">
        <v>1046</v>
      </c>
      <c r="I46" s="13" t="str">
        <f t="shared" si="0"/>
        <v>2W</v>
      </c>
      <c r="J46" t="str">
        <f t="shared" si="1"/>
        <v xml:space="preserve">0102 </v>
      </c>
      <c r="K46" t="str">
        <f t="shared" si="2"/>
        <v xml:space="preserve">0110 </v>
      </c>
      <c r="L46" t="str">
        <f t="shared" si="3"/>
        <v>Plat 5</v>
      </c>
      <c r="M46" s="8" t="str">
        <f t="shared" si="4"/>
        <v xml:space="preserve"> 5</v>
      </c>
      <c r="N46" s="4" t="s">
        <v>1372</v>
      </c>
      <c r="O46"/>
    </row>
    <row r="47" spans="1:24" ht="15" customHeight="1" x14ac:dyDescent="0.25">
      <c r="A47" s="10"/>
      <c r="B47" s="3" t="s">
        <v>1141</v>
      </c>
      <c r="C47" s="1" t="s">
        <v>1142</v>
      </c>
      <c r="D47" s="2" t="s">
        <v>1372</v>
      </c>
      <c r="E47" s="1" t="s">
        <v>1043</v>
      </c>
      <c r="F47" s="2" t="s">
        <v>1044</v>
      </c>
      <c r="G47" s="1" t="s">
        <v>1143</v>
      </c>
      <c r="H47" s="12" t="s">
        <v>1046</v>
      </c>
      <c r="I47" s="13" t="str">
        <f t="shared" si="0"/>
        <v>2W</v>
      </c>
      <c r="J47" t="str">
        <f t="shared" si="1"/>
        <v>0108½</v>
      </c>
      <c r="K47" t="str">
        <f t="shared" si="2"/>
        <v>0113½</v>
      </c>
      <c r="L47" t="str">
        <f t="shared" si="3"/>
        <v>Plat 8</v>
      </c>
      <c r="M47" s="8" t="str">
        <f t="shared" si="4"/>
        <v xml:space="preserve"> 8</v>
      </c>
      <c r="N47" s="4" t="s">
        <v>3012</v>
      </c>
      <c r="O47" s="4" t="s">
        <v>3013</v>
      </c>
      <c r="P47" s="4" t="s">
        <v>1181</v>
      </c>
      <c r="Q47" s="4" t="s">
        <v>3014</v>
      </c>
      <c r="R47" s="4" t="s">
        <v>3015</v>
      </c>
      <c r="S47" s="4" t="s">
        <v>3016</v>
      </c>
      <c r="T47" s="4" t="s">
        <v>3004</v>
      </c>
      <c r="U47" s="4" t="s">
        <v>1161</v>
      </c>
      <c r="V47" s="4" t="s">
        <v>3017</v>
      </c>
      <c r="W47" s="4" t="s">
        <v>3018</v>
      </c>
      <c r="X47" s="4" t="s">
        <v>1044</v>
      </c>
    </row>
    <row r="48" spans="1:24" ht="15" customHeight="1" x14ac:dyDescent="0.25">
      <c r="A48" s="10"/>
      <c r="B48" s="3" t="s">
        <v>1144</v>
      </c>
      <c r="C48" s="1" t="s">
        <v>1145</v>
      </c>
      <c r="D48" s="2" t="s">
        <v>1044</v>
      </c>
      <c r="E48" s="1" t="s">
        <v>1054</v>
      </c>
      <c r="F48" s="2" t="s">
        <v>1372</v>
      </c>
      <c r="G48" s="1" t="s">
        <v>1146</v>
      </c>
      <c r="H48" s="12" t="s">
        <v>1046</v>
      </c>
      <c r="I48" s="13" t="str">
        <f t="shared" si="0"/>
        <v>2W</v>
      </c>
      <c r="J48" t="str">
        <f t="shared" si="1"/>
        <v xml:space="preserve">0117 </v>
      </c>
      <c r="K48" t="str">
        <f t="shared" si="2"/>
        <v xml:space="preserve">0120 </v>
      </c>
      <c r="L48" t="str">
        <f t="shared" si="3"/>
        <v>Plat 5</v>
      </c>
      <c r="M48" s="8" t="str">
        <f t="shared" si="4"/>
        <v xml:space="preserve"> 5</v>
      </c>
      <c r="N48" s="4" t="s">
        <v>1372</v>
      </c>
      <c r="O48"/>
    </row>
    <row r="49" spans="1:31" ht="15" customHeight="1" x14ac:dyDescent="0.25">
      <c r="A49" s="10"/>
      <c r="B49" s="3" t="s">
        <v>1147</v>
      </c>
      <c r="C49" s="1" t="s">
        <v>238</v>
      </c>
      <c r="D49" s="2" t="s">
        <v>1372</v>
      </c>
      <c r="E49" s="1" t="s">
        <v>1156</v>
      </c>
      <c r="F49" s="2" t="s">
        <v>1058</v>
      </c>
      <c r="G49" s="1" t="s">
        <v>239</v>
      </c>
      <c r="H49" s="12" t="s">
        <v>1046</v>
      </c>
      <c r="I49" s="13" t="str">
        <f t="shared" si="0"/>
        <v>1K</v>
      </c>
      <c r="J49" t="str">
        <f t="shared" si="1"/>
        <v xml:space="preserve">0118 </v>
      </c>
      <c r="K49" t="str">
        <f t="shared" si="2"/>
        <v xml:space="preserve">0122 </v>
      </c>
      <c r="L49" t="str">
        <f t="shared" si="3"/>
        <v>Plat10</v>
      </c>
      <c r="M49" s="8" t="str">
        <f t="shared" si="4"/>
        <v>10</v>
      </c>
      <c r="N49" s="4" t="s">
        <v>1044</v>
      </c>
      <c r="O49" s="4" t="s">
        <v>3019</v>
      </c>
      <c r="P49" s="4" t="s">
        <v>3020</v>
      </c>
      <c r="Q49" s="4" t="s">
        <v>3021</v>
      </c>
      <c r="R49" s="4" t="s">
        <v>3022</v>
      </c>
      <c r="S49" s="4" t="s">
        <v>3023</v>
      </c>
      <c r="T49" s="4" t="s">
        <v>3024</v>
      </c>
      <c r="U49" s="4" t="s">
        <v>3025</v>
      </c>
      <c r="V49" s="4" t="s">
        <v>1058</v>
      </c>
    </row>
    <row r="50" spans="1:31" ht="15" customHeight="1" x14ac:dyDescent="0.25">
      <c r="B50" s="3" t="s">
        <v>1148</v>
      </c>
      <c r="C50" s="1" t="s">
        <v>1149</v>
      </c>
      <c r="D50" s="2" t="s">
        <v>1372</v>
      </c>
      <c r="E50" s="1" t="s">
        <v>1043</v>
      </c>
      <c r="F50" s="2" t="s">
        <v>1044</v>
      </c>
      <c r="G50" s="1" t="s">
        <v>1150</v>
      </c>
      <c r="H50" s="12" t="s">
        <v>1046</v>
      </c>
      <c r="I50" s="13" t="str">
        <f t="shared" si="0"/>
        <v>2W</v>
      </c>
      <c r="J50" t="str">
        <f t="shared" si="1"/>
        <v>0118½</v>
      </c>
      <c r="K50" t="str">
        <f t="shared" si="2"/>
        <v>0123½</v>
      </c>
      <c r="L50" t="str">
        <f t="shared" si="3"/>
        <v>Plat 8</v>
      </c>
      <c r="M50" s="8" t="str">
        <f t="shared" si="4"/>
        <v xml:space="preserve"> 8</v>
      </c>
      <c r="N50" s="4" t="s">
        <v>3012</v>
      </c>
      <c r="O50" s="4" t="s">
        <v>3013</v>
      </c>
      <c r="P50" s="4" t="s">
        <v>1181</v>
      </c>
      <c r="Q50" s="4" t="s">
        <v>3014</v>
      </c>
      <c r="R50" s="4" t="s">
        <v>3015</v>
      </c>
      <c r="S50" s="4" t="s">
        <v>3016</v>
      </c>
      <c r="T50" s="4" t="s">
        <v>3004</v>
      </c>
      <c r="U50" s="4" t="s">
        <v>1161</v>
      </c>
      <c r="V50" s="4" t="s">
        <v>3017</v>
      </c>
      <c r="W50" s="4" t="s">
        <v>3018</v>
      </c>
      <c r="X50" s="4" t="s">
        <v>1044</v>
      </c>
    </row>
    <row r="51" spans="1:31" ht="15" customHeight="1" x14ac:dyDescent="0.25">
      <c r="B51" s="3" t="s">
        <v>1151</v>
      </c>
      <c r="C51" s="1"/>
      <c r="D51" s="1" t="s">
        <v>1037</v>
      </c>
      <c r="E51" s="1" t="s">
        <v>1054</v>
      </c>
      <c r="F51" s="2" t="s">
        <v>1372</v>
      </c>
      <c r="G51" s="1" t="s">
        <v>1152</v>
      </c>
      <c r="H51" s="12" t="s">
        <v>1046</v>
      </c>
      <c r="I51" s="13" t="str">
        <f t="shared" si="0"/>
        <v>2C</v>
      </c>
      <c r="J51" t="str">
        <f t="shared" si="1"/>
        <v/>
      </c>
      <c r="K51" t="str">
        <f t="shared" si="2"/>
        <v xml:space="preserve">0130 </v>
      </c>
      <c r="L51" t="str">
        <f t="shared" si="3"/>
        <v>Plat 5</v>
      </c>
      <c r="M51" s="8" t="str">
        <f t="shared" si="4"/>
        <v xml:space="preserve"> 5</v>
      </c>
      <c r="N51" s="4" t="s">
        <v>1372</v>
      </c>
      <c r="O51"/>
    </row>
    <row r="52" spans="1:31" ht="15" customHeight="1" x14ac:dyDescent="0.25">
      <c r="B52" s="3" t="s">
        <v>1153</v>
      </c>
      <c r="C52" s="1" t="s">
        <v>1154</v>
      </c>
      <c r="D52" s="2" t="s">
        <v>1372</v>
      </c>
      <c r="E52" s="1" t="s">
        <v>1043</v>
      </c>
      <c r="F52" s="2" t="s">
        <v>1044</v>
      </c>
      <c r="G52" s="1" t="s">
        <v>1155</v>
      </c>
      <c r="H52" s="12" t="s">
        <v>1046</v>
      </c>
      <c r="I52" s="13" t="str">
        <f t="shared" si="0"/>
        <v>2W</v>
      </c>
      <c r="J52" t="str">
        <f t="shared" si="1"/>
        <v>0128½</v>
      </c>
      <c r="K52" t="str">
        <f t="shared" si="2"/>
        <v>0133½</v>
      </c>
      <c r="L52" t="str">
        <f t="shared" si="3"/>
        <v>Plat 8</v>
      </c>
      <c r="M52" s="8" t="str">
        <f t="shared" si="4"/>
        <v xml:space="preserve"> 8</v>
      </c>
      <c r="N52" s="4" t="s">
        <v>3012</v>
      </c>
      <c r="O52" s="4" t="s">
        <v>3013</v>
      </c>
      <c r="P52" s="4" t="s">
        <v>1181</v>
      </c>
      <c r="Q52" s="4" t="s">
        <v>3014</v>
      </c>
      <c r="R52" s="4" t="s">
        <v>3015</v>
      </c>
      <c r="S52" s="4" t="s">
        <v>3016</v>
      </c>
      <c r="T52" s="4" t="s">
        <v>3004</v>
      </c>
      <c r="U52" s="4" t="s">
        <v>1161</v>
      </c>
      <c r="V52" s="4" t="s">
        <v>3017</v>
      </c>
      <c r="W52" s="4" t="s">
        <v>3018</v>
      </c>
      <c r="X52" s="4" t="s">
        <v>1044</v>
      </c>
    </row>
    <row r="53" spans="1:31" ht="15" customHeight="1" x14ac:dyDescent="0.25">
      <c r="B53" s="3" t="s">
        <v>1157</v>
      </c>
      <c r="C53" s="1"/>
      <c r="D53" s="1" t="s">
        <v>1037</v>
      </c>
      <c r="E53" s="1" t="s">
        <v>1054</v>
      </c>
      <c r="F53" s="2" t="s">
        <v>1372</v>
      </c>
      <c r="G53" s="1" t="s">
        <v>1158</v>
      </c>
      <c r="H53" s="12" t="s">
        <v>1046</v>
      </c>
      <c r="I53" s="13" t="str">
        <f t="shared" si="0"/>
        <v>2C</v>
      </c>
      <c r="J53" t="str">
        <f t="shared" ref="J53:J71" si="5">LEFT(C53,5)</f>
        <v/>
      </c>
      <c r="K53" t="str">
        <f t="shared" ref="K53:K71" si="6">LEFT(G53,5)</f>
        <v xml:space="preserve">0140 </v>
      </c>
      <c r="L53" t="str">
        <f t="shared" ref="L53:L71" si="7">LEFT(E53,6)</f>
        <v>Plat 5</v>
      </c>
      <c r="M53" s="8" t="str">
        <f t="shared" si="4"/>
        <v xml:space="preserve"> 5</v>
      </c>
      <c r="N53" s="4" t="s">
        <v>1372</v>
      </c>
      <c r="O53"/>
    </row>
    <row r="54" spans="1:31" ht="15" customHeight="1" x14ac:dyDescent="0.25">
      <c r="B54" s="3" t="s">
        <v>1159</v>
      </c>
      <c r="C54" s="1" t="s">
        <v>1160</v>
      </c>
      <c r="D54" s="2" t="s">
        <v>1372</v>
      </c>
      <c r="E54" s="1" t="s">
        <v>1043</v>
      </c>
      <c r="F54" s="2" t="s">
        <v>1161</v>
      </c>
      <c r="G54" s="1" t="s">
        <v>1162</v>
      </c>
      <c r="H54" s="12" t="s">
        <v>1046</v>
      </c>
      <c r="I54" s="13" t="str">
        <f t="shared" si="0"/>
        <v>2C</v>
      </c>
      <c r="J54" t="str">
        <f t="shared" si="5"/>
        <v>0138½</v>
      </c>
      <c r="K54" t="str">
        <f t="shared" si="6"/>
        <v>0143½</v>
      </c>
      <c r="L54" t="str">
        <f t="shared" si="7"/>
        <v>Plat 8</v>
      </c>
      <c r="M54" s="8" t="str">
        <f t="shared" si="4"/>
        <v xml:space="preserve"> 8</v>
      </c>
      <c r="N54" t="s">
        <v>3012</v>
      </c>
      <c r="O54" t="s">
        <v>3013</v>
      </c>
      <c r="P54" t="s">
        <v>1181</v>
      </c>
      <c r="Q54" t="s">
        <v>3014</v>
      </c>
      <c r="R54" t="s">
        <v>3015</v>
      </c>
      <c r="S54" t="s">
        <v>3016</v>
      </c>
      <c r="T54" t="s">
        <v>3004</v>
      </c>
      <c r="U54" t="s">
        <v>1161</v>
      </c>
    </row>
    <row r="55" spans="1:31" ht="15" customHeight="1" x14ac:dyDescent="0.25">
      <c r="B55" s="3" t="s">
        <v>1163</v>
      </c>
      <c r="C55" s="1"/>
      <c r="D55" s="1" t="s">
        <v>1037</v>
      </c>
      <c r="E55" s="1" t="s">
        <v>1054</v>
      </c>
      <c r="F55" s="2" t="s">
        <v>1372</v>
      </c>
      <c r="G55" s="1" t="s">
        <v>18</v>
      </c>
      <c r="H55" s="12" t="s">
        <v>1046</v>
      </c>
      <c r="I55" s="13" t="str">
        <f t="shared" si="0"/>
        <v>2C</v>
      </c>
      <c r="J55" t="str">
        <f t="shared" si="5"/>
        <v/>
      </c>
      <c r="K55" t="str">
        <f t="shared" si="6"/>
        <v xml:space="preserve">0150 </v>
      </c>
      <c r="L55" t="str">
        <f t="shared" si="7"/>
        <v>Plat 5</v>
      </c>
      <c r="M55" s="8" t="str">
        <f t="shared" si="4"/>
        <v xml:space="preserve"> 5</v>
      </c>
      <c r="N55" s="4" t="s">
        <v>1372</v>
      </c>
      <c r="O55"/>
    </row>
    <row r="56" spans="1:31" ht="15" customHeight="1" x14ac:dyDescent="0.25">
      <c r="B56" s="3" t="s">
        <v>1164</v>
      </c>
      <c r="C56" s="1" t="s">
        <v>1165</v>
      </c>
      <c r="D56" s="2" t="s">
        <v>1372</v>
      </c>
      <c r="E56" s="1" t="s">
        <v>1043</v>
      </c>
      <c r="F56" s="2" t="s">
        <v>1044</v>
      </c>
      <c r="G56" s="1" t="s">
        <v>1166</v>
      </c>
      <c r="H56" s="12" t="s">
        <v>1046</v>
      </c>
      <c r="I56" s="13" t="str">
        <f t="shared" si="0"/>
        <v>2W</v>
      </c>
      <c r="J56" t="str">
        <f t="shared" si="5"/>
        <v>0148½</v>
      </c>
      <c r="K56" t="str">
        <f t="shared" si="6"/>
        <v>0153½</v>
      </c>
      <c r="L56" t="str">
        <f t="shared" si="7"/>
        <v>Plat 8</v>
      </c>
      <c r="M56" s="8" t="str">
        <f t="shared" si="4"/>
        <v xml:space="preserve"> 8</v>
      </c>
      <c r="N56" s="4" t="s">
        <v>3012</v>
      </c>
      <c r="O56" s="4" t="s">
        <v>3013</v>
      </c>
      <c r="P56" s="4" t="s">
        <v>1181</v>
      </c>
      <c r="Q56" s="4" t="s">
        <v>3014</v>
      </c>
      <c r="R56" s="4" t="s">
        <v>3015</v>
      </c>
      <c r="S56" s="4" t="s">
        <v>3016</v>
      </c>
      <c r="T56" s="4" t="s">
        <v>3004</v>
      </c>
      <c r="U56" s="4" t="s">
        <v>1161</v>
      </c>
      <c r="V56" s="4" t="s">
        <v>3017</v>
      </c>
      <c r="W56" s="4" t="s">
        <v>3018</v>
      </c>
      <c r="X56" s="4" t="s">
        <v>1044</v>
      </c>
    </row>
    <row r="57" spans="1:31" ht="15" customHeight="1" x14ac:dyDescent="0.25">
      <c r="B57" s="3" t="s">
        <v>1167</v>
      </c>
      <c r="C57" s="1" t="s">
        <v>1168</v>
      </c>
      <c r="D57" s="2" t="s">
        <v>1372</v>
      </c>
      <c r="E57" s="1" t="s">
        <v>1043</v>
      </c>
      <c r="F57" s="2" t="s">
        <v>1161</v>
      </c>
      <c r="G57" s="1" t="s">
        <v>1169</v>
      </c>
      <c r="H57" s="12" t="s">
        <v>1046</v>
      </c>
      <c r="I57" s="13" t="str">
        <f t="shared" si="0"/>
        <v>2C</v>
      </c>
      <c r="J57" t="str">
        <f t="shared" si="5"/>
        <v>0158½</v>
      </c>
      <c r="K57" t="str">
        <f t="shared" si="6"/>
        <v>0203½</v>
      </c>
      <c r="L57" t="str">
        <f t="shared" si="7"/>
        <v>Plat 8</v>
      </c>
      <c r="M57" s="8" t="str">
        <f t="shared" si="4"/>
        <v xml:space="preserve"> 8</v>
      </c>
      <c r="N57" t="s">
        <v>3012</v>
      </c>
      <c r="O57" t="s">
        <v>3013</v>
      </c>
      <c r="P57" t="s">
        <v>1181</v>
      </c>
      <c r="Q57" t="s">
        <v>3014</v>
      </c>
      <c r="R57" t="s">
        <v>3015</v>
      </c>
      <c r="S57" t="s">
        <v>3016</v>
      </c>
      <c r="T57" t="s">
        <v>3004</v>
      </c>
      <c r="U57" t="s">
        <v>1161</v>
      </c>
    </row>
    <row r="58" spans="1:31" ht="15" customHeight="1" x14ac:dyDescent="0.25">
      <c r="B58" s="3" t="s">
        <v>1170</v>
      </c>
      <c r="C58" s="1" t="s">
        <v>1171</v>
      </c>
      <c r="D58" s="2" t="s">
        <v>1372</v>
      </c>
      <c r="E58" s="1" t="s">
        <v>1043</v>
      </c>
      <c r="F58" s="2" t="s">
        <v>1044</v>
      </c>
      <c r="G58" s="1" t="s">
        <v>1172</v>
      </c>
      <c r="H58" s="12" t="s">
        <v>1046</v>
      </c>
      <c r="I58" s="13" t="str">
        <f t="shared" si="0"/>
        <v>2W</v>
      </c>
      <c r="J58" t="str">
        <f t="shared" si="5"/>
        <v>0208½</v>
      </c>
      <c r="K58" t="str">
        <f t="shared" si="6"/>
        <v>0213½</v>
      </c>
      <c r="L58" t="str">
        <f t="shared" si="7"/>
        <v>Plat 8</v>
      </c>
      <c r="M58" s="8" t="str">
        <f t="shared" si="4"/>
        <v xml:space="preserve"> 8</v>
      </c>
      <c r="N58" s="4" t="s">
        <v>3012</v>
      </c>
      <c r="O58" s="4" t="s">
        <v>3013</v>
      </c>
      <c r="P58" s="4" t="s">
        <v>1181</v>
      </c>
      <c r="Q58" s="4" t="s">
        <v>3014</v>
      </c>
      <c r="R58" s="4" t="s">
        <v>3015</v>
      </c>
      <c r="S58" s="4" t="s">
        <v>3016</v>
      </c>
      <c r="T58" s="4" t="s">
        <v>3004</v>
      </c>
      <c r="U58" s="4" t="s">
        <v>1161</v>
      </c>
      <c r="V58" s="4" t="s">
        <v>3017</v>
      </c>
      <c r="W58" s="4" t="s">
        <v>3018</v>
      </c>
      <c r="X58" s="4" t="s">
        <v>1044</v>
      </c>
    </row>
    <row r="59" spans="1:31" ht="15" customHeight="1" x14ac:dyDescent="0.25">
      <c r="B59" s="3" t="s">
        <v>1173</v>
      </c>
      <c r="C59" s="1" t="s">
        <v>1174</v>
      </c>
      <c r="D59" s="2" t="s">
        <v>1372</v>
      </c>
      <c r="E59" s="1" t="s">
        <v>1156</v>
      </c>
      <c r="F59" s="2" t="s">
        <v>1161</v>
      </c>
      <c r="G59" s="1" t="s">
        <v>1175</v>
      </c>
      <c r="H59" s="12" t="s">
        <v>1046</v>
      </c>
      <c r="I59" s="13" t="str">
        <f t="shared" si="0"/>
        <v>2C</v>
      </c>
      <c r="J59" t="str">
        <f t="shared" si="5"/>
        <v>0218½</v>
      </c>
      <c r="K59" t="str">
        <f t="shared" si="6"/>
        <v>0223½</v>
      </c>
      <c r="L59" t="str">
        <f t="shared" si="7"/>
        <v>Plat10</v>
      </c>
      <c r="M59" s="8" t="str">
        <f t="shared" si="4"/>
        <v>10</v>
      </c>
      <c r="N59" t="s">
        <v>3012</v>
      </c>
      <c r="O59" t="s">
        <v>3013</v>
      </c>
      <c r="P59" t="s">
        <v>1181</v>
      </c>
      <c r="Q59" t="s">
        <v>3014</v>
      </c>
      <c r="R59" t="s">
        <v>3015</v>
      </c>
      <c r="S59" t="s">
        <v>3016</v>
      </c>
      <c r="T59" t="s">
        <v>3004</v>
      </c>
      <c r="U59" t="s">
        <v>1161</v>
      </c>
    </row>
    <row r="60" spans="1:31" ht="15" customHeight="1" x14ac:dyDescent="0.25">
      <c r="B60" s="3" t="s">
        <v>1176</v>
      </c>
      <c r="C60" s="1" t="s">
        <v>1177</v>
      </c>
      <c r="D60" s="2" t="s">
        <v>1058</v>
      </c>
      <c r="E60" s="1" t="s">
        <v>1054</v>
      </c>
      <c r="F60" s="2" t="s">
        <v>1372</v>
      </c>
      <c r="G60" s="1" t="s">
        <v>1178</v>
      </c>
      <c r="H60" s="12" t="s">
        <v>1046</v>
      </c>
      <c r="I60" s="13" t="str">
        <f t="shared" si="0"/>
        <v>2K</v>
      </c>
      <c r="J60" t="str">
        <f t="shared" si="5"/>
        <v>0509½</v>
      </c>
      <c r="K60" t="str">
        <f t="shared" si="6"/>
        <v>0510½</v>
      </c>
      <c r="L60" t="str">
        <f t="shared" si="7"/>
        <v>Plat 5</v>
      </c>
      <c r="M60" s="8" t="str">
        <f t="shared" si="4"/>
        <v xml:space="preserve"> 5</v>
      </c>
      <c r="N60" s="4" t="s">
        <v>1372</v>
      </c>
      <c r="O60"/>
    </row>
    <row r="61" spans="1:31" ht="15" customHeight="1" x14ac:dyDescent="0.25">
      <c r="B61" s="3" t="s">
        <v>1179</v>
      </c>
      <c r="C61" s="1" t="s">
        <v>1180</v>
      </c>
      <c r="D61" s="2" t="s">
        <v>1181</v>
      </c>
      <c r="E61" s="1" t="s">
        <v>1054</v>
      </c>
      <c r="F61" s="2" t="s">
        <v>1372</v>
      </c>
      <c r="G61" s="1" t="s">
        <v>1182</v>
      </c>
      <c r="H61" s="12" t="s">
        <v>1046</v>
      </c>
      <c r="I61" s="13" t="str">
        <f t="shared" si="0"/>
        <v>2C</v>
      </c>
      <c r="J61" t="str">
        <f t="shared" si="5"/>
        <v xml:space="preserve">0517 </v>
      </c>
      <c r="K61" t="str">
        <f t="shared" si="6"/>
        <v>0518½</v>
      </c>
      <c r="L61" t="str">
        <f t="shared" si="7"/>
        <v>Plat 5</v>
      </c>
      <c r="M61" s="8" t="str">
        <f t="shared" si="4"/>
        <v xml:space="preserve"> 5</v>
      </c>
      <c r="N61" s="4" t="s">
        <v>1372</v>
      </c>
      <c r="O61"/>
    </row>
    <row r="62" spans="1:31" ht="15" customHeight="1" x14ac:dyDescent="0.25">
      <c r="B62" s="3" t="s">
        <v>1183</v>
      </c>
      <c r="C62" s="1" t="s">
        <v>1184</v>
      </c>
      <c r="D62" s="2" t="s">
        <v>1372</v>
      </c>
      <c r="E62" s="1" t="s">
        <v>1156</v>
      </c>
      <c r="F62" s="2" t="s">
        <v>1185</v>
      </c>
      <c r="G62" s="1" t="s">
        <v>1186</v>
      </c>
      <c r="H62" s="12" t="s">
        <v>1046</v>
      </c>
      <c r="I62" s="13" t="str">
        <f t="shared" ref="I62:I71" si="8">LEFT(B62,2)</f>
        <v>2N</v>
      </c>
      <c r="J62" t="str">
        <f t="shared" si="5"/>
        <v>0529½</v>
      </c>
      <c r="K62" t="str">
        <f t="shared" si="6"/>
        <v xml:space="preserve">0530 </v>
      </c>
      <c r="L62" t="str">
        <f t="shared" si="7"/>
        <v>Plat10</v>
      </c>
      <c r="M62" s="8" t="str">
        <f t="shared" si="4"/>
        <v>10</v>
      </c>
      <c r="N62" t="s">
        <v>3004</v>
      </c>
      <c r="O62" t="s">
        <v>1044</v>
      </c>
      <c r="P62" t="s">
        <v>2999</v>
      </c>
      <c r="Q62" t="s">
        <v>1473</v>
      </c>
      <c r="R62" t="s">
        <v>3000</v>
      </c>
      <c r="S62" t="s">
        <v>3001</v>
      </c>
      <c r="T62" t="s">
        <v>3002</v>
      </c>
      <c r="U62" t="s">
        <v>3003</v>
      </c>
      <c r="V62" t="s">
        <v>1091</v>
      </c>
      <c r="W62" t="s">
        <v>3031</v>
      </c>
      <c r="X62" t="s">
        <v>3046</v>
      </c>
      <c r="Y62" t="s">
        <v>3047</v>
      </c>
    </row>
    <row r="63" spans="1:31" ht="15" customHeight="1" x14ac:dyDescent="0.25">
      <c r="B63" s="3" t="s">
        <v>1187</v>
      </c>
      <c r="C63" s="1" t="s">
        <v>1188</v>
      </c>
      <c r="D63" s="2" t="s">
        <v>1372</v>
      </c>
      <c r="E63" s="1" t="s">
        <v>1043</v>
      </c>
      <c r="F63" s="2" t="s">
        <v>1058</v>
      </c>
      <c r="G63" s="1" t="s">
        <v>1189</v>
      </c>
      <c r="H63" s="12" t="s">
        <v>1046</v>
      </c>
      <c r="I63" s="13" t="str">
        <f t="shared" si="8"/>
        <v>2K</v>
      </c>
      <c r="J63" t="str">
        <f t="shared" si="5"/>
        <v>0534½</v>
      </c>
      <c r="K63" t="str">
        <f t="shared" si="6"/>
        <v xml:space="preserve">0535 </v>
      </c>
      <c r="L63" t="str">
        <f t="shared" si="7"/>
        <v>Plat 8</v>
      </c>
      <c r="M63" s="8" t="str">
        <f t="shared" si="4"/>
        <v xml:space="preserve"> 8</v>
      </c>
      <c r="N63" t="s">
        <v>3013</v>
      </c>
      <c r="O63" t="s">
        <v>1181</v>
      </c>
      <c r="P63" t="s">
        <v>3014</v>
      </c>
      <c r="Q63" t="s">
        <v>3015</v>
      </c>
      <c r="R63" t="s">
        <v>3016</v>
      </c>
      <c r="S63" t="s">
        <v>3004</v>
      </c>
      <c r="T63" t="s">
        <v>1161</v>
      </c>
      <c r="U63" t="s">
        <v>3017</v>
      </c>
      <c r="V63" t="s">
        <v>3018</v>
      </c>
      <c r="W63" t="s">
        <v>1044</v>
      </c>
      <c r="X63" t="s">
        <v>3019</v>
      </c>
      <c r="Y63" t="s">
        <v>3020</v>
      </c>
      <c r="Z63" t="s">
        <v>3021</v>
      </c>
      <c r="AA63" t="s">
        <v>3022</v>
      </c>
      <c r="AB63" t="s">
        <v>3023</v>
      </c>
      <c r="AC63" t="s">
        <v>3024</v>
      </c>
      <c r="AD63" t="s">
        <v>3025</v>
      </c>
      <c r="AE63" t="s">
        <v>1058</v>
      </c>
    </row>
    <row r="64" spans="1:31" ht="15" customHeight="1" x14ac:dyDescent="0.25">
      <c r="B64" s="3" t="s">
        <v>1190</v>
      </c>
      <c r="C64" s="1" t="s">
        <v>1191</v>
      </c>
      <c r="D64" s="2" t="s">
        <v>1058</v>
      </c>
      <c r="E64" s="1" t="s">
        <v>1054</v>
      </c>
      <c r="F64" s="2" t="s">
        <v>1372</v>
      </c>
      <c r="G64" s="1" t="s">
        <v>1192</v>
      </c>
      <c r="H64" s="12" t="s">
        <v>1046</v>
      </c>
      <c r="I64" s="13" t="str">
        <f t="shared" si="8"/>
        <v>2K</v>
      </c>
      <c r="J64" t="str">
        <f t="shared" si="5"/>
        <v>0539½</v>
      </c>
      <c r="K64" t="str">
        <f t="shared" si="6"/>
        <v>0540½</v>
      </c>
      <c r="L64" t="str">
        <f t="shared" si="7"/>
        <v>Plat 5</v>
      </c>
      <c r="M64" s="8" t="str">
        <f t="shared" si="4"/>
        <v xml:space="preserve"> 5</v>
      </c>
      <c r="N64" s="4" t="s">
        <v>1372</v>
      </c>
      <c r="O64"/>
    </row>
    <row r="65" spans="2:26" ht="15" customHeight="1" x14ac:dyDescent="0.25">
      <c r="B65" s="3" t="s">
        <v>1193</v>
      </c>
      <c r="C65" s="1" t="s">
        <v>1194</v>
      </c>
      <c r="D65" s="2" t="s">
        <v>1091</v>
      </c>
      <c r="E65" s="1" t="s">
        <v>1047</v>
      </c>
      <c r="F65" s="2" t="s">
        <v>1372</v>
      </c>
      <c r="G65" s="1" t="s">
        <v>54</v>
      </c>
      <c r="H65" s="12" t="s">
        <v>1046</v>
      </c>
      <c r="I65" s="13" t="str">
        <f t="shared" si="8"/>
        <v>2F</v>
      </c>
      <c r="J65" t="str">
        <f t="shared" si="5"/>
        <v>0541½</v>
      </c>
      <c r="K65" t="str">
        <f t="shared" si="6"/>
        <v xml:space="preserve">0542 </v>
      </c>
      <c r="L65" t="str">
        <f t="shared" si="7"/>
        <v>Plat 9</v>
      </c>
      <c r="M65" s="8" t="str">
        <f t="shared" si="4"/>
        <v xml:space="preserve"> 9</v>
      </c>
      <c r="N65" s="4" t="s">
        <v>1372</v>
      </c>
      <c r="O65"/>
    </row>
    <row r="66" spans="2:26" ht="15" customHeight="1" x14ac:dyDescent="0.25">
      <c r="B66" s="3" t="s">
        <v>1195</v>
      </c>
      <c r="C66" s="1" t="s">
        <v>56</v>
      </c>
      <c r="D66" s="2" t="s">
        <v>1372</v>
      </c>
      <c r="E66" s="1" t="s">
        <v>1043</v>
      </c>
      <c r="F66" s="2" t="s">
        <v>1044</v>
      </c>
      <c r="G66" s="1" t="s">
        <v>1196</v>
      </c>
      <c r="H66" s="12" t="s">
        <v>1046</v>
      </c>
      <c r="I66" s="13" t="str">
        <f t="shared" si="8"/>
        <v>2W</v>
      </c>
      <c r="J66" t="str">
        <f t="shared" si="5"/>
        <v>0543½</v>
      </c>
      <c r="K66" t="str">
        <f t="shared" si="6"/>
        <v>0545½</v>
      </c>
      <c r="L66" t="str">
        <f t="shared" si="7"/>
        <v>Plat 8</v>
      </c>
      <c r="M66" s="8" t="str">
        <f t="shared" ref="M66:M121" si="9">RIGHT(L66,2)</f>
        <v xml:space="preserve"> 8</v>
      </c>
      <c r="N66" s="4" t="s">
        <v>3012</v>
      </c>
      <c r="O66" s="4" t="s">
        <v>3013</v>
      </c>
      <c r="P66" s="4" t="s">
        <v>1181</v>
      </c>
      <c r="Q66" s="4" t="s">
        <v>3014</v>
      </c>
      <c r="R66" s="4" t="s">
        <v>3015</v>
      </c>
      <c r="S66" s="4" t="s">
        <v>3016</v>
      </c>
      <c r="T66" s="4" t="s">
        <v>3004</v>
      </c>
      <c r="U66" s="4" t="s">
        <v>1161</v>
      </c>
      <c r="V66" s="4" t="s">
        <v>3017</v>
      </c>
      <c r="W66" s="4" t="s">
        <v>3018</v>
      </c>
      <c r="X66" s="4" t="s">
        <v>1044</v>
      </c>
    </row>
    <row r="67" spans="2:26" ht="15" customHeight="1" x14ac:dyDescent="0.25">
      <c r="B67" s="3" t="s">
        <v>1197</v>
      </c>
      <c r="C67" s="1"/>
      <c r="D67" s="1" t="s">
        <v>1037</v>
      </c>
      <c r="E67" s="1" t="s">
        <v>1061</v>
      </c>
      <c r="F67" s="2" t="s">
        <v>1074</v>
      </c>
      <c r="G67" s="1" t="s">
        <v>1198</v>
      </c>
      <c r="H67" s="12" t="s">
        <v>1040</v>
      </c>
      <c r="I67" s="13" t="str">
        <f t="shared" si="8"/>
        <v>2N</v>
      </c>
      <c r="J67" t="str">
        <f t="shared" si="5"/>
        <v/>
      </c>
      <c r="K67" t="str">
        <f t="shared" si="6"/>
        <v xml:space="preserve">0547 </v>
      </c>
      <c r="L67" t="str">
        <f t="shared" si="7"/>
        <v>Plat 2</v>
      </c>
      <c r="M67" s="8" t="str">
        <f t="shared" si="9"/>
        <v xml:space="preserve"> 2</v>
      </c>
      <c r="N67" s="4" t="s">
        <v>3010</v>
      </c>
      <c r="O67" s="15" t="s">
        <v>3011</v>
      </c>
    </row>
    <row r="68" spans="2:26" ht="15" customHeight="1" x14ac:dyDescent="0.25">
      <c r="B68" s="3" t="s">
        <v>1199</v>
      </c>
      <c r="C68" s="1" t="s">
        <v>1200</v>
      </c>
      <c r="D68" s="2" t="s">
        <v>1181</v>
      </c>
      <c r="E68" s="1" t="s">
        <v>1054</v>
      </c>
      <c r="F68" s="2" t="s">
        <v>1372</v>
      </c>
      <c r="G68" s="1" t="s">
        <v>1201</v>
      </c>
      <c r="H68" s="12" t="s">
        <v>1046</v>
      </c>
      <c r="I68" s="13" t="str">
        <f t="shared" si="8"/>
        <v>2C</v>
      </c>
      <c r="J68" t="str">
        <f t="shared" si="5"/>
        <v>0546½</v>
      </c>
      <c r="K68" t="str">
        <f t="shared" si="6"/>
        <v>0548½</v>
      </c>
      <c r="L68" t="str">
        <f t="shared" si="7"/>
        <v>Plat 5</v>
      </c>
      <c r="M68" s="8" t="str">
        <f t="shared" si="9"/>
        <v xml:space="preserve"> 5</v>
      </c>
      <c r="N68" s="4" t="s">
        <v>1372</v>
      </c>
      <c r="O68"/>
    </row>
    <row r="69" spans="2:26" ht="15" customHeight="1" x14ac:dyDescent="0.25">
      <c r="B69" s="3" t="s">
        <v>1202</v>
      </c>
      <c r="C69" s="1" t="s">
        <v>1203</v>
      </c>
      <c r="D69" s="2" t="s">
        <v>1058</v>
      </c>
      <c r="E69" s="1" t="s">
        <v>1047</v>
      </c>
      <c r="F69" s="2" t="s">
        <v>1372</v>
      </c>
      <c r="G69" s="1" t="s">
        <v>1204</v>
      </c>
      <c r="H69" s="12" t="s">
        <v>1046</v>
      </c>
      <c r="I69" s="13" t="str">
        <f t="shared" si="8"/>
        <v>1K</v>
      </c>
      <c r="J69" t="str">
        <f t="shared" si="5"/>
        <v xml:space="preserve">0549 </v>
      </c>
      <c r="K69" t="str">
        <f t="shared" si="6"/>
        <v>0549½</v>
      </c>
      <c r="L69" t="str">
        <f t="shared" si="7"/>
        <v>Plat 9</v>
      </c>
      <c r="M69" s="8" t="str">
        <f t="shared" si="9"/>
        <v xml:space="preserve"> 9</v>
      </c>
      <c r="N69" s="4" t="s">
        <v>1372</v>
      </c>
      <c r="O69"/>
    </row>
    <row r="70" spans="2:26" ht="15" customHeight="1" x14ac:dyDescent="0.25">
      <c r="B70" s="3" t="s">
        <v>1205</v>
      </c>
      <c r="C70" s="1" t="s">
        <v>1206</v>
      </c>
      <c r="D70" s="2" t="s">
        <v>1097</v>
      </c>
      <c r="E70" s="1" t="s">
        <v>2871</v>
      </c>
      <c r="F70" s="2" t="s">
        <v>1372</v>
      </c>
      <c r="G70" s="1" t="s">
        <v>1207</v>
      </c>
      <c r="H70" s="12" t="s">
        <v>1046</v>
      </c>
      <c r="I70" s="13" t="str">
        <f t="shared" si="8"/>
        <v>2H</v>
      </c>
      <c r="J70" t="str">
        <f t="shared" si="5"/>
        <v xml:space="preserve">0559 </v>
      </c>
      <c r="K70" t="str">
        <f t="shared" si="6"/>
        <v>0559½</v>
      </c>
      <c r="L70" t="str">
        <f t="shared" si="7"/>
        <v>Plat11</v>
      </c>
      <c r="M70" s="8" t="str">
        <f t="shared" si="9"/>
        <v>11</v>
      </c>
      <c r="N70" s="4" t="s">
        <v>1372</v>
      </c>
      <c r="O70"/>
    </row>
    <row r="71" spans="2:26" ht="15" customHeight="1" x14ac:dyDescent="0.25">
      <c r="B71" s="3" t="s">
        <v>1208</v>
      </c>
      <c r="C71" s="1"/>
      <c r="D71" s="1" t="s">
        <v>1037</v>
      </c>
      <c r="E71" s="1" t="s">
        <v>1061</v>
      </c>
      <c r="F71" s="2" t="s">
        <v>1039</v>
      </c>
      <c r="G71" s="1" t="s">
        <v>1209</v>
      </c>
      <c r="H71" s="12" t="s">
        <v>1040</v>
      </c>
      <c r="I71" s="13" t="str">
        <f t="shared" si="8"/>
        <v>2Y</v>
      </c>
      <c r="J71" t="str">
        <f t="shared" si="5"/>
        <v/>
      </c>
      <c r="K71" t="str">
        <f t="shared" si="6"/>
        <v xml:space="preserve">0600 </v>
      </c>
      <c r="L71" t="str">
        <f t="shared" si="7"/>
        <v>Plat 2</v>
      </c>
      <c r="M71" s="8" t="str">
        <f t="shared" si="9"/>
        <v xml:space="preserve"> 2</v>
      </c>
      <c r="N71" s="4" t="s">
        <v>3010</v>
      </c>
      <c r="O71" s="15" t="s">
        <v>3011</v>
      </c>
    </row>
    <row r="72" spans="2:26" ht="15" customHeight="1" x14ac:dyDescent="0.25">
      <c r="B72" s="3" t="s">
        <v>1210</v>
      </c>
      <c r="C72" s="1" t="s">
        <v>1211</v>
      </c>
      <c r="D72" s="2" t="s">
        <v>1372</v>
      </c>
      <c r="E72" s="1" t="s">
        <v>1156</v>
      </c>
      <c r="F72" s="2" t="s">
        <v>1058</v>
      </c>
      <c r="G72" s="1" t="s">
        <v>1212</v>
      </c>
      <c r="H72" s="12" t="s">
        <v>1046</v>
      </c>
      <c r="I72" s="13" t="str">
        <f t="shared" ref="I72:I127" si="10">LEFT(B72,2)</f>
        <v>1K</v>
      </c>
      <c r="J72" t="str">
        <f t="shared" ref="J72:J127" si="11">LEFT(C72,5)</f>
        <v>0601½</v>
      </c>
      <c r="K72" t="str">
        <f t="shared" ref="K72:K127" si="12">LEFT(G72,5)</f>
        <v xml:space="preserve">0602 </v>
      </c>
      <c r="L72" t="str">
        <f t="shared" ref="L72:L127" si="13">LEFT(E72,6)</f>
        <v>Plat10</v>
      </c>
      <c r="M72" s="8" t="str">
        <f t="shared" si="9"/>
        <v>10</v>
      </c>
      <c r="N72" s="4" t="s">
        <v>1044</v>
      </c>
      <c r="O72" s="4" t="s">
        <v>3019</v>
      </c>
      <c r="P72" s="4" t="s">
        <v>3020</v>
      </c>
      <c r="Q72" s="4" t="s">
        <v>3021</v>
      </c>
      <c r="R72" s="4" t="s">
        <v>3022</v>
      </c>
      <c r="S72" s="4" t="s">
        <v>3023</v>
      </c>
      <c r="T72" s="4" t="s">
        <v>3024</v>
      </c>
      <c r="U72" s="4" t="s">
        <v>3025</v>
      </c>
      <c r="V72" s="4" t="s">
        <v>1058</v>
      </c>
    </row>
    <row r="73" spans="2:26" ht="15" customHeight="1" x14ac:dyDescent="0.25">
      <c r="B73" s="3" t="s">
        <v>1213</v>
      </c>
      <c r="C73" s="1" t="s">
        <v>1214</v>
      </c>
      <c r="D73" s="2" t="s">
        <v>1372</v>
      </c>
      <c r="E73" s="1" t="s">
        <v>2272</v>
      </c>
      <c r="F73" s="2" t="s">
        <v>1079</v>
      </c>
      <c r="G73" s="1" t="s">
        <v>1215</v>
      </c>
      <c r="H73" s="12" t="s">
        <v>1046</v>
      </c>
      <c r="I73" s="13" t="str">
        <f t="shared" si="10"/>
        <v>2O</v>
      </c>
      <c r="J73" t="str">
        <f t="shared" si="11"/>
        <v xml:space="preserve">0601 </v>
      </c>
      <c r="K73" t="str">
        <f t="shared" si="12"/>
        <v xml:space="preserve">0603 </v>
      </c>
      <c r="L73" t="str">
        <f t="shared" si="13"/>
        <v>Plat12</v>
      </c>
      <c r="M73" s="8" t="str">
        <f t="shared" si="9"/>
        <v>12</v>
      </c>
      <c r="N73" t="s">
        <v>2975</v>
      </c>
      <c r="O73" t="s">
        <v>3039</v>
      </c>
      <c r="P73" t="s">
        <v>3041</v>
      </c>
      <c r="Q73" t="s">
        <v>3040</v>
      </c>
      <c r="R73" t="s">
        <v>2978</v>
      </c>
      <c r="S73" t="s">
        <v>1298</v>
      </c>
      <c r="T73" t="s">
        <v>3049</v>
      </c>
      <c r="U73" t="s">
        <v>3050</v>
      </c>
      <c r="V73" t="s">
        <v>3051</v>
      </c>
      <c r="W73" t="s">
        <v>1079</v>
      </c>
    </row>
    <row r="74" spans="2:26" ht="15" customHeight="1" x14ac:dyDescent="0.25">
      <c r="B74" s="3" t="s">
        <v>1216</v>
      </c>
      <c r="C74" s="1" t="s">
        <v>1212</v>
      </c>
      <c r="D74" s="2" t="s">
        <v>1044</v>
      </c>
      <c r="E74" s="1" t="s">
        <v>1054</v>
      </c>
      <c r="F74" s="2" t="s">
        <v>1372</v>
      </c>
      <c r="G74" s="1" t="s">
        <v>1217</v>
      </c>
      <c r="H74" s="12" t="s">
        <v>1046</v>
      </c>
      <c r="I74" s="13" t="str">
        <f t="shared" si="10"/>
        <v>2W</v>
      </c>
      <c r="J74" t="str">
        <f t="shared" si="11"/>
        <v xml:space="preserve">0602 </v>
      </c>
      <c r="K74" t="str">
        <f t="shared" si="12"/>
        <v xml:space="preserve">0604 </v>
      </c>
      <c r="L74" t="str">
        <f t="shared" si="13"/>
        <v>Plat 5</v>
      </c>
      <c r="M74" s="8" t="str">
        <f t="shared" si="9"/>
        <v xml:space="preserve"> 5</v>
      </c>
      <c r="N74" s="4" t="s">
        <v>1372</v>
      </c>
      <c r="O74"/>
    </row>
    <row r="75" spans="2:26" ht="15" customHeight="1" x14ac:dyDescent="0.25">
      <c r="B75" s="3" t="s">
        <v>1218</v>
      </c>
      <c r="C75" s="1"/>
      <c r="D75" s="1" t="s">
        <v>1037</v>
      </c>
      <c r="E75" s="1" t="s">
        <v>1038</v>
      </c>
      <c r="F75" s="2" t="s">
        <v>1074</v>
      </c>
      <c r="G75" s="1" t="s">
        <v>1219</v>
      </c>
      <c r="H75" s="12" t="s">
        <v>1040</v>
      </c>
      <c r="I75" s="13" t="str">
        <f t="shared" si="10"/>
        <v>2N</v>
      </c>
      <c r="J75" t="str">
        <f t="shared" si="11"/>
        <v/>
      </c>
      <c r="K75" t="str">
        <f t="shared" si="12"/>
        <v xml:space="preserve">0607 </v>
      </c>
      <c r="L75" t="str">
        <f t="shared" si="13"/>
        <v>Plat 1</v>
      </c>
      <c r="M75" s="8" t="str">
        <f t="shared" si="9"/>
        <v xml:space="preserve"> 1</v>
      </c>
      <c r="N75" s="4" t="s">
        <v>3010</v>
      </c>
      <c r="O75" s="15" t="s">
        <v>3011</v>
      </c>
    </row>
    <row r="76" spans="2:26" ht="15" customHeight="1" x14ac:dyDescent="0.25">
      <c r="B76" s="3" t="s">
        <v>1220</v>
      </c>
      <c r="C76" s="1" t="s">
        <v>1219</v>
      </c>
      <c r="D76" s="2" t="s">
        <v>1091</v>
      </c>
      <c r="E76" s="1" t="s">
        <v>1047</v>
      </c>
      <c r="F76" s="2" t="s">
        <v>1372</v>
      </c>
      <c r="G76" s="1" t="s">
        <v>1221</v>
      </c>
      <c r="H76" s="12" t="s">
        <v>1046</v>
      </c>
      <c r="I76" s="13" t="str">
        <f t="shared" si="10"/>
        <v>1F</v>
      </c>
      <c r="J76" t="str">
        <f t="shared" si="11"/>
        <v xml:space="preserve">0607 </v>
      </c>
      <c r="K76" t="str">
        <f t="shared" si="12"/>
        <v>0607½</v>
      </c>
      <c r="L76" t="str">
        <f t="shared" si="13"/>
        <v>Plat 9</v>
      </c>
      <c r="M76" s="8" t="str">
        <f t="shared" si="9"/>
        <v xml:space="preserve"> 9</v>
      </c>
      <c r="N76" s="4" t="s">
        <v>1372</v>
      </c>
      <c r="O76"/>
    </row>
    <row r="77" spans="2:26" ht="15" customHeight="1" x14ac:dyDescent="0.25">
      <c r="B77" s="3" t="s">
        <v>1222</v>
      </c>
      <c r="C77" s="1" t="s">
        <v>1223</v>
      </c>
      <c r="D77" s="2" t="s">
        <v>1372</v>
      </c>
      <c r="E77" s="1" t="s">
        <v>1043</v>
      </c>
      <c r="F77" s="2" t="s">
        <v>1044</v>
      </c>
      <c r="G77" s="1" t="s">
        <v>1224</v>
      </c>
      <c r="H77" s="12" t="s">
        <v>1046</v>
      </c>
      <c r="I77" s="13" t="str">
        <f t="shared" si="10"/>
        <v>2W</v>
      </c>
      <c r="J77" t="str">
        <f t="shared" si="11"/>
        <v>0606½</v>
      </c>
      <c r="K77" t="str">
        <f t="shared" si="12"/>
        <v>0608½</v>
      </c>
      <c r="L77" t="str">
        <f t="shared" si="13"/>
        <v>Plat 8</v>
      </c>
      <c r="M77" s="8" t="str">
        <f t="shared" si="9"/>
        <v xml:space="preserve"> 8</v>
      </c>
      <c r="N77" s="4" t="s">
        <v>3012</v>
      </c>
      <c r="O77" s="4" t="s">
        <v>3013</v>
      </c>
      <c r="P77" s="4" t="s">
        <v>1181</v>
      </c>
      <c r="Q77" s="4" t="s">
        <v>3014</v>
      </c>
      <c r="R77" s="4" t="s">
        <v>3015</v>
      </c>
      <c r="S77" s="4" t="s">
        <v>3016</v>
      </c>
      <c r="T77" s="4" t="s">
        <v>3004</v>
      </c>
      <c r="U77" s="4" t="s">
        <v>1161</v>
      </c>
      <c r="V77" s="4" t="s">
        <v>3017</v>
      </c>
      <c r="W77" s="4" t="s">
        <v>3018</v>
      </c>
      <c r="X77" s="4" t="s">
        <v>1044</v>
      </c>
    </row>
    <row r="78" spans="2:26" ht="15" customHeight="1" x14ac:dyDescent="0.25">
      <c r="B78" s="3" t="s">
        <v>24</v>
      </c>
      <c r="C78" s="1" t="s">
        <v>1225</v>
      </c>
      <c r="D78" s="2" t="s">
        <v>1372</v>
      </c>
      <c r="E78" s="1" t="s">
        <v>1156</v>
      </c>
      <c r="F78" s="2" t="s">
        <v>1185</v>
      </c>
      <c r="G78" s="1" t="s">
        <v>1226</v>
      </c>
      <c r="H78" s="12" t="s">
        <v>1046</v>
      </c>
      <c r="I78" s="13" t="str">
        <f t="shared" si="10"/>
        <v>1N</v>
      </c>
      <c r="J78" t="str">
        <f t="shared" si="11"/>
        <v>0608½</v>
      </c>
      <c r="K78" t="str">
        <f t="shared" si="12"/>
        <v xml:space="preserve">0609 </v>
      </c>
      <c r="L78" t="str">
        <f t="shared" si="13"/>
        <v>Plat10</v>
      </c>
      <c r="M78" s="8" t="str">
        <f t="shared" si="9"/>
        <v>10</v>
      </c>
      <c r="N78" t="s">
        <v>1044</v>
      </c>
      <c r="O78" t="s">
        <v>1473</v>
      </c>
      <c r="P78" t="s">
        <v>3001</v>
      </c>
      <c r="Q78" t="s">
        <v>3002</v>
      </c>
      <c r="R78" t="s">
        <v>3003</v>
      </c>
      <c r="S78" t="s">
        <v>1091</v>
      </c>
      <c r="T78" t="s">
        <v>3048</v>
      </c>
      <c r="U78" t="s">
        <v>3031</v>
      </c>
      <c r="V78" t="s">
        <v>3032</v>
      </c>
      <c r="W78" t="s">
        <v>3033</v>
      </c>
      <c r="X78" t="s">
        <v>3034</v>
      </c>
      <c r="Y78" t="s">
        <v>3046</v>
      </c>
      <c r="Z78" t="s">
        <v>3047</v>
      </c>
    </row>
    <row r="79" spans="2:26" ht="15" customHeight="1" x14ac:dyDescent="0.25">
      <c r="B79" s="3" t="s">
        <v>1227</v>
      </c>
      <c r="C79" s="1" t="s">
        <v>59</v>
      </c>
      <c r="D79" s="2" t="s">
        <v>1058</v>
      </c>
      <c r="E79" s="1" t="s">
        <v>1047</v>
      </c>
      <c r="F79" s="2" t="s">
        <v>1372</v>
      </c>
      <c r="G79" s="1" t="s">
        <v>1228</v>
      </c>
      <c r="H79" s="12" t="s">
        <v>1046</v>
      </c>
      <c r="I79" s="13" t="str">
        <f t="shared" si="10"/>
        <v>1K</v>
      </c>
      <c r="J79" t="str">
        <f t="shared" si="11"/>
        <v xml:space="preserve">0610 </v>
      </c>
      <c r="K79" t="str">
        <f t="shared" si="12"/>
        <v>0610½</v>
      </c>
      <c r="L79" t="str">
        <f t="shared" si="13"/>
        <v>Plat 9</v>
      </c>
      <c r="M79" s="8" t="str">
        <f t="shared" si="9"/>
        <v xml:space="preserve"> 9</v>
      </c>
      <c r="N79" s="4" t="s">
        <v>1372</v>
      </c>
      <c r="O79"/>
    </row>
    <row r="80" spans="2:26" ht="15" customHeight="1" x14ac:dyDescent="0.25">
      <c r="B80" s="3" t="s">
        <v>1229</v>
      </c>
      <c r="C80" s="1"/>
      <c r="D80" s="1" t="s">
        <v>1037</v>
      </c>
      <c r="E80" s="1" t="s">
        <v>1061</v>
      </c>
      <c r="F80" s="2" t="s">
        <v>1039</v>
      </c>
      <c r="G80" s="1" t="s">
        <v>1230</v>
      </c>
      <c r="H80" s="12" t="s">
        <v>1040</v>
      </c>
      <c r="I80" s="13" t="str">
        <f t="shared" si="10"/>
        <v>2Y</v>
      </c>
      <c r="J80" t="str">
        <f t="shared" si="11"/>
        <v/>
      </c>
      <c r="K80" t="str">
        <f t="shared" si="12"/>
        <v xml:space="preserve">0615 </v>
      </c>
      <c r="L80" t="str">
        <f t="shared" si="13"/>
        <v>Plat 2</v>
      </c>
      <c r="M80" s="8" t="str">
        <f t="shared" si="9"/>
        <v xml:space="preserve"> 2</v>
      </c>
      <c r="N80" s="4" t="s">
        <v>3010</v>
      </c>
      <c r="O80" s="15" t="s">
        <v>3011</v>
      </c>
    </row>
    <row r="81" spans="2:24" ht="15" customHeight="1" x14ac:dyDescent="0.25">
      <c r="B81" s="3" t="s">
        <v>1231</v>
      </c>
      <c r="C81" s="1" t="s">
        <v>1232</v>
      </c>
      <c r="D81" s="2" t="s">
        <v>1372</v>
      </c>
      <c r="E81" s="1" t="s">
        <v>1043</v>
      </c>
      <c r="F81" s="2" t="s">
        <v>1044</v>
      </c>
      <c r="G81" s="1" t="s">
        <v>1233</v>
      </c>
      <c r="H81" s="12" t="s">
        <v>1046</v>
      </c>
      <c r="I81" s="13" t="str">
        <f t="shared" si="10"/>
        <v>2W</v>
      </c>
      <c r="J81" t="str">
        <f t="shared" si="11"/>
        <v>0616½</v>
      </c>
      <c r="K81" t="str">
        <f t="shared" si="12"/>
        <v>0618½</v>
      </c>
      <c r="L81" t="str">
        <f t="shared" si="13"/>
        <v>Plat 8</v>
      </c>
      <c r="M81" s="8" t="str">
        <f t="shared" si="9"/>
        <v xml:space="preserve"> 8</v>
      </c>
      <c r="N81" s="4" t="s">
        <v>3012</v>
      </c>
      <c r="O81" s="4" t="s">
        <v>3013</v>
      </c>
      <c r="P81" s="4" t="s">
        <v>1181</v>
      </c>
      <c r="Q81" s="4" t="s">
        <v>3014</v>
      </c>
      <c r="R81" s="4" t="s">
        <v>3015</v>
      </c>
      <c r="S81" s="4" t="s">
        <v>3016</v>
      </c>
      <c r="T81" s="4" t="s">
        <v>3004</v>
      </c>
      <c r="U81" s="4" t="s">
        <v>1161</v>
      </c>
      <c r="V81" s="4" t="s">
        <v>3017</v>
      </c>
      <c r="W81" s="4" t="s">
        <v>3018</v>
      </c>
      <c r="X81" s="4" t="s">
        <v>1044</v>
      </c>
    </row>
    <row r="82" spans="2:24" ht="15" customHeight="1" x14ac:dyDescent="0.25">
      <c r="B82" s="3" t="s">
        <v>1234</v>
      </c>
      <c r="C82" s="1" t="s">
        <v>63</v>
      </c>
      <c r="D82" s="2" t="s">
        <v>1044</v>
      </c>
      <c r="E82" s="1" t="s">
        <v>1054</v>
      </c>
      <c r="F82" s="2" t="s">
        <v>1372</v>
      </c>
      <c r="G82" s="1" t="s">
        <v>1235</v>
      </c>
      <c r="H82" s="12" t="s">
        <v>1046</v>
      </c>
      <c r="I82" s="13" t="str">
        <f t="shared" si="10"/>
        <v>2W</v>
      </c>
      <c r="J82" t="str">
        <f t="shared" si="11"/>
        <v xml:space="preserve">0617 </v>
      </c>
      <c r="K82" t="str">
        <f t="shared" si="12"/>
        <v xml:space="preserve">0619 </v>
      </c>
      <c r="L82" t="str">
        <f t="shared" si="13"/>
        <v>Plat 5</v>
      </c>
      <c r="M82" s="8" t="str">
        <f t="shared" si="9"/>
        <v xml:space="preserve"> 5</v>
      </c>
      <c r="N82" s="4" t="s">
        <v>1372</v>
      </c>
      <c r="O82"/>
    </row>
    <row r="83" spans="2:24" ht="15" customHeight="1" x14ac:dyDescent="0.25">
      <c r="B83" s="3" t="s">
        <v>240</v>
      </c>
      <c r="C83" s="1" t="s">
        <v>1236</v>
      </c>
      <c r="D83" s="2" t="s">
        <v>1372</v>
      </c>
      <c r="E83" s="1" t="s">
        <v>1156</v>
      </c>
      <c r="F83" s="2" t="s">
        <v>1237</v>
      </c>
      <c r="G83" s="1" t="s">
        <v>1235</v>
      </c>
      <c r="H83" s="12" t="s">
        <v>1046</v>
      </c>
      <c r="I83" s="13" t="str">
        <f t="shared" si="10"/>
        <v>1F</v>
      </c>
      <c r="J83" t="str">
        <f t="shared" si="11"/>
        <v>0618½</v>
      </c>
      <c r="K83" t="str">
        <f t="shared" si="12"/>
        <v xml:space="preserve">0619 </v>
      </c>
      <c r="L83" t="str">
        <f t="shared" si="13"/>
        <v>Plat10</v>
      </c>
      <c r="M83" s="8" t="str">
        <f t="shared" si="9"/>
        <v>10</v>
      </c>
      <c r="N83" t="s">
        <v>1044</v>
      </c>
      <c r="O83" t="s">
        <v>2999</v>
      </c>
      <c r="P83" t="s">
        <v>1473</v>
      </c>
      <c r="Q83" t="s">
        <v>3000</v>
      </c>
      <c r="R83" t="s">
        <v>3001</v>
      </c>
      <c r="S83" t="s">
        <v>3043</v>
      </c>
      <c r="T83" t="s">
        <v>3044</v>
      </c>
      <c r="U83" t="s">
        <v>3045</v>
      </c>
      <c r="V83" t="s">
        <v>1237</v>
      </c>
    </row>
    <row r="84" spans="2:24" ht="15" customHeight="1" x14ac:dyDescent="0.25">
      <c r="B84" s="3" t="s">
        <v>1238</v>
      </c>
      <c r="C84" s="1" t="s">
        <v>1239</v>
      </c>
      <c r="D84" s="2" t="s">
        <v>1372</v>
      </c>
      <c r="E84" s="1" t="s">
        <v>1156</v>
      </c>
      <c r="F84" s="2" t="s">
        <v>1058</v>
      </c>
      <c r="G84" s="1" t="s">
        <v>1240</v>
      </c>
      <c r="H84" s="12" t="s">
        <v>1046</v>
      </c>
      <c r="I84" s="13" t="str">
        <f t="shared" si="10"/>
        <v>1K</v>
      </c>
      <c r="J84" t="str">
        <f t="shared" si="11"/>
        <v>0621½</v>
      </c>
      <c r="K84" t="str">
        <f t="shared" si="12"/>
        <v xml:space="preserve">0622 </v>
      </c>
      <c r="L84" t="str">
        <f t="shared" si="13"/>
        <v>Plat10</v>
      </c>
      <c r="M84" s="8" t="str">
        <f t="shared" si="9"/>
        <v>10</v>
      </c>
      <c r="N84" s="4" t="s">
        <v>1044</v>
      </c>
      <c r="O84" s="4" t="s">
        <v>3019</v>
      </c>
      <c r="P84" s="4" t="s">
        <v>3020</v>
      </c>
      <c r="Q84" s="4" t="s">
        <v>3021</v>
      </c>
      <c r="R84" s="4" t="s">
        <v>3022</v>
      </c>
      <c r="S84" s="4" t="s">
        <v>3023</v>
      </c>
      <c r="T84" s="4" t="s">
        <v>3024</v>
      </c>
      <c r="U84" s="4" t="s">
        <v>3025</v>
      </c>
      <c r="V84" s="4" t="s">
        <v>1058</v>
      </c>
    </row>
    <row r="85" spans="2:24" ht="15" customHeight="1" x14ac:dyDescent="0.25">
      <c r="B85" s="3" t="s">
        <v>1241</v>
      </c>
      <c r="C85" s="1" t="s">
        <v>1239</v>
      </c>
      <c r="D85" s="2" t="s">
        <v>1242</v>
      </c>
      <c r="E85" s="1" t="s">
        <v>1047</v>
      </c>
      <c r="F85" s="2" t="s">
        <v>1372</v>
      </c>
      <c r="G85" s="1" t="s">
        <v>1243</v>
      </c>
      <c r="H85" s="12" t="s">
        <v>1046</v>
      </c>
      <c r="I85" s="13" t="str">
        <f t="shared" si="10"/>
        <v>1Y</v>
      </c>
      <c r="J85" t="str">
        <f t="shared" si="11"/>
        <v>0621½</v>
      </c>
      <c r="K85" t="str">
        <f t="shared" si="12"/>
        <v>0622½</v>
      </c>
      <c r="L85" t="str">
        <f t="shared" si="13"/>
        <v>Plat 9</v>
      </c>
      <c r="M85" s="8" t="str">
        <f t="shared" si="9"/>
        <v xml:space="preserve"> 9</v>
      </c>
      <c r="N85" s="4" t="s">
        <v>1372</v>
      </c>
      <c r="O85"/>
    </row>
    <row r="86" spans="2:24" ht="15" customHeight="1" x14ac:dyDescent="0.25">
      <c r="B86" s="3" t="s">
        <v>1244</v>
      </c>
      <c r="C86" s="1"/>
      <c r="D86" s="1" t="s">
        <v>1037</v>
      </c>
      <c r="E86" s="1" t="s">
        <v>1061</v>
      </c>
      <c r="F86" s="2" t="s">
        <v>1074</v>
      </c>
      <c r="G86" s="1" t="s">
        <v>1245</v>
      </c>
      <c r="H86" s="12" t="s">
        <v>1040</v>
      </c>
      <c r="I86" s="13" t="str">
        <f t="shared" si="10"/>
        <v>2N</v>
      </c>
      <c r="J86" t="str">
        <f t="shared" si="11"/>
        <v/>
      </c>
      <c r="K86" t="str">
        <f t="shared" si="12"/>
        <v xml:space="preserve">0623 </v>
      </c>
      <c r="L86" t="str">
        <f t="shared" si="13"/>
        <v>Plat 2</v>
      </c>
      <c r="M86" s="8" t="str">
        <f t="shared" si="9"/>
        <v xml:space="preserve"> 2</v>
      </c>
      <c r="N86" s="4" t="s">
        <v>3010</v>
      </c>
      <c r="O86" s="15" t="s">
        <v>3011</v>
      </c>
    </row>
    <row r="87" spans="2:24" ht="15" customHeight="1" x14ac:dyDescent="0.25">
      <c r="B87" s="3" t="s">
        <v>1246</v>
      </c>
      <c r="C87" s="1" t="s">
        <v>1247</v>
      </c>
      <c r="D87" s="2" t="s">
        <v>1372</v>
      </c>
      <c r="E87" s="1" t="s">
        <v>1043</v>
      </c>
      <c r="F87" s="2" t="s">
        <v>1044</v>
      </c>
      <c r="G87" s="1" t="s">
        <v>1248</v>
      </c>
      <c r="H87" s="12" t="s">
        <v>1046</v>
      </c>
      <c r="I87" s="13" t="str">
        <f t="shared" si="10"/>
        <v>2W</v>
      </c>
      <c r="J87" t="str">
        <f t="shared" si="11"/>
        <v>0626½</v>
      </c>
      <c r="K87" t="str">
        <f t="shared" si="12"/>
        <v>0628½</v>
      </c>
      <c r="L87" t="str">
        <f t="shared" si="13"/>
        <v>Plat 8</v>
      </c>
      <c r="M87" s="8" t="str">
        <f t="shared" si="9"/>
        <v xml:space="preserve"> 8</v>
      </c>
      <c r="N87" s="4" t="s">
        <v>3012</v>
      </c>
      <c r="O87" s="4" t="s">
        <v>3013</v>
      </c>
      <c r="P87" s="4" t="s">
        <v>1181</v>
      </c>
      <c r="Q87" s="4" t="s">
        <v>3014</v>
      </c>
      <c r="R87" s="4" t="s">
        <v>3015</v>
      </c>
      <c r="S87" s="4" t="s">
        <v>3016</v>
      </c>
      <c r="T87" s="4" t="s">
        <v>3004</v>
      </c>
      <c r="U87" s="4" t="s">
        <v>1161</v>
      </c>
      <c r="V87" s="4" t="s">
        <v>3017</v>
      </c>
      <c r="W87" s="4" t="s">
        <v>3018</v>
      </c>
      <c r="X87" s="4" t="s">
        <v>1044</v>
      </c>
    </row>
    <row r="88" spans="2:24" ht="15" customHeight="1" x14ac:dyDescent="0.25">
      <c r="B88" s="3" t="s">
        <v>1249</v>
      </c>
      <c r="C88" s="1" t="s">
        <v>1250</v>
      </c>
      <c r="D88" s="2" t="s">
        <v>1161</v>
      </c>
      <c r="E88" s="1" t="s">
        <v>1054</v>
      </c>
      <c r="F88" s="2" t="s">
        <v>1372</v>
      </c>
      <c r="G88" s="1" t="s">
        <v>1251</v>
      </c>
      <c r="H88" s="12" t="s">
        <v>1046</v>
      </c>
      <c r="I88" s="13" t="str">
        <f t="shared" si="10"/>
        <v>2C</v>
      </c>
      <c r="J88" t="str">
        <f t="shared" si="11"/>
        <v xml:space="preserve">0627 </v>
      </c>
      <c r="K88" t="str">
        <f t="shared" si="12"/>
        <v xml:space="preserve">0629 </v>
      </c>
      <c r="L88" t="str">
        <f t="shared" si="13"/>
        <v>Plat 5</v>
      </c>
      <c r="M88" s="8" t="str">
        <f t="shared" si="9"/>
        <v xml:space="preserve"> 5</v>
      </c>
      <c r="N88" s="4" t="s">
        <v>1372</v>
      </c>
      <c r="O88"/>
    </row>
    <row r="89" spans="2:24" ht="15" customHeight="1" x14ac:dyDescent="0.25">
      <c r="B89" s="3" t="s">
        <v>1252</v>
      </c>
      <c r="C89" s="1" t="s">
        <v>1253</v>
      </c>
      <c r="D89" s="2" t="s">
        <v>1254</v>
      </c>
      <c r="E89" s="1" t="s">
        <v>2148</v>
      </c>
      <c r="F89" s="1" t="s">
        <v>1051</v>
      </c>
      <c r="G89" s="1"/>
      <c r="H89" s="12" t="s">
        <v>1046</v>
      </c>
      <c r="I89" s="13" t="str">
        <f t="shared" si="10"/>
        <v>2S</v>
      </c>
      <c r="J89" t="str">
        <f t="shared" si="11"/>
        <v xml:space="preserve">0630 </v>
      </c>
      <c r="K89" t="str">
        <f t="shared" si="12"/>
        <v/>
      </c>
      <c r="L89" t="str">
        <f t="shared" si="13"/>
        <v>Plat11</v>
      </c>
      <c r="M89" s="8" t="str">
        <f t="shared" si="9"/>
        <v>11</v>
      </c>
      <c r="O89"/>
    </row>
    <row r="90" spans="2:24" ht="15" customHeight="1" x14ac:dyDescent="0.25">
      <c r="B90" s="3" t="s">
        <v>1255</v>
      </c>
      <c r="C90" s="1" t="s">
        <v>1256</v>
      </c>
      <c r="D90" s="2" t="s">
        <v>1058</v>
      </c>
      <c r="E90" s="1" t="s">
        <v>1047</v>
      </c>
      <c r="F90" s="2" t="s">
        <v>1372</v>
      </c>
      <c r="G90" s="1" t="s">
        <v>1257</v>
      </c>
      <c r="H90" s="12" t="s">
        <v>1046</v>
      </c>
      <c r="I90" s="13" t="str">
        <f t="shared" si="10"/>
        <v>1K</v>
      </c>
      <c r="J90" t="str">
        <f t="shared" si="11"/>
        <v xml:space="preserve">0631 </v>
      </c>
      <c r="K90" t="str">
        <f t="shared" si="12"/>
        <v>0631½</v>
      </c>
      <c r="L90" t="str">
        <f t="shared" si="13"/>
        <v>Plat 9</v>
      </c>
      <c r="M90" s="8" t="str">
        <f t="shared" si="9"/>
        <v xml:space="preserve"> 9</v>
      </c>
      <c r="N90" s="4" t="s">
        <v>1372</v>
      </c>
      <c r="O90"/>
    </row>
    <row r="91" spans="2:24" ht="15" customHeight="1" x14ac:dyDescent="0.25">
      <c r="B91" s="3" t="s">
        <v>1258</v>
      </c>
      <c r="C91" s="1" t="s">
        <v>1259</v>
      </c>
      <c r="D91" s="2" t="s">
        <v>1062</v>
      </c>
      <c r="E91" s="1" t="s">
        <v>1075</v>
      </c>
      <c r="F91" s="1" t="s">
        <v>1051</v>
      </c>
      <c r="G91" s="1"/>
      <c r="H91" s="12" t="s">
        <v>1040</v>
      </c>
      <c r="I91" s="13" t="str">
        <f t="shared" si="10"/>
        <v>2N</v>
      </c>
      <c r="J91" t="str">
        <f t="shared" si="11"/>
        <v xml:space="preserve">0632 </v>
      </c>
      <c r="K91" t="str">
        <f t="shared" si="12"/>
        <v/>
      </c>
      <c r="L91" t="str">
        <f t="shared" si="13"/>
        <v>Plat 2</v>
      </c>
      <c r="M91" s="8" t="str">
        <f t="shared" si="9"/>
        <v xml:space="preserve"> 2</v>
      </c>
      <c r="O91"/>
    </row>
    <row r="92" spans="2:24" ht="15" customHeight="1" x14ac:dyDescent="0.25">
      <c r="B92" s="3" t="s">
        <v>1260</v>
      </c>
      <c r="C92" s="1" t="s">
        <v>1261</v>
      </c>
      <c r="D92" s="2" t="s">
        <v>1372</v>
      </c>
      <c r="E92" s="1" t="s">
        <v>1156</v>
      </c>
      <c r="F92" s="2" t="s">
        <v>1066</v>
      </c>
      <c r="G92" s="1" t="s">
        <v>1262</v>
      </c>
      <c r="H92" s="12" t="s">
        <v>1046</v>
      </c>
      <c r="I92" s="13" t="str">
        <f t="shared" si="10"/>
        <v>1P</v>
      </c>
      <c r="J92" t="str">
        <f t="shared" si="11"/>
        <v>0632½</v>
      </c>
      <c r="K92" t="str">
        <f t="shared" si="12"/>
        <v>0633½</v>
      </c>
      <c r="L92" t="str">
        <f t="shared" si="13"/>
        <v>Plat10</v>
      </c>
      <c r="M92" s="8" t="str">
        <f t="shared" si="9"/>
        <v>10</v>
      </c>
      <c r="N92" t="s">
        <v>1473</v>
      </c>
      <c r="O92" t="s">
        <v>3001</v>
      </c>
      <c r="P92" t="s">
        <v>1091</v>
      </c>
      <c r="Q92" t="s">
        <v>3006</v>
      </c>
      <c r="R92" t="s">
        <v>1242</v>
      </c>
      <c r="S92" t="s">
        <v>1501</v>
      </c>
      <c r="T92" t="s">
        <v>3052</v>
      </c>
      <c r="U92" t="s">
        <v>1066</v>
      </c>
    </row>
    <row r="93" spans="2:24" ht="15" customHeight="1" x14ac:dyDescent="0.25">
      <c r="B93" s="3" t="s">
        <v>1263</v>
      </c>
      <c r="C93" s="1"/>
      <c r="D93" s="1" t="s">
        <v>1037</v>
      </c>
      <c r="E93" s="1" t="s">
        <v>1038</v>
      </c>
      <c r="F93" s="2" t="s">
        <v>1039</v>
      </c>
      <c r="G93" s="1" t="s">
        <v>1264</v>
      </c>
      <c r="H93" s="12" t="s">
        <v>1040</v>
      </c>
      <c r="I93" s="13" t="str">
        <f t="shared" si="10"/>
        <v>2Y</v>
      </c>
      <c r="J93" t="str">
        <f t="shared" si="11"/>
        <v/>
      </c>
      <c r="K93" t="str">
        <f t="shared" si="12"/>
        <v xml:space="preserve">0634 </v>
      </c>
      <c r="L93" t="str">
        <f t="shared" si="13"/>
        <v>Plat 1</v>
      </c>
      <c r="M93" s="8" t="str">
        <f t="shared" si="9"/>
        <v xml:space="preserve"> 1</v>
      </c>
      <c r="N93" s="4" t="s">
        <v>3010</v>
      </c>
      <c r="O93" s="15" t="s">
        <v>3011</v>
      </c>
    </row>
    <row r="94" spans="2:24" ht="15" customHeight="1" x14ac:dyDescent="0.25">
      <c r="B94" s="3" t="s">
        <v>1265</v>
      </c>
      <c r="C94" s="1"/>
      <c r="D94" s="1" t="s">
        <v>1037</v>
      </c>
      <c r="E94" s="1" t="s">
        <v>2148</v>
      </c>
      <c r="F94" s="2" t="s">
        <v>1254</v>
      </c>
      <c r="G94" s="1" t="s">
        <v>1266</v>
      </c>
      <c r="H94" s="12" t="s">
        <v>1046</v>
      </c>
      <c r="I94" s="13" t="str">
        <f t="shared" si="10"/>
        <v>2S</v>
      </c>
      <c r="J94" t="str">
        <f t="shared" si="11"/>
        <v/>
      </c>
      <c r="K94" t="str">
        <f t="shared" si="12"/>
        <v xml:space="preserve">0635 </v>
      </c>
      <c r="L94" t="str">
        <f t="shared" si="13"/>
        <v>Plat11</v>
      </c>
      <c r="M94" s="8" t="str">
        <f t="shared" si="9"/>
        <v>11</v>
      </c>
      <c r="N94" t="s">
        <v>2975</v>
      </c>
      <c r="O94" t="s">
        <v>3039</v>
      </c>
      <c r="P94" t="s">
        <v>2978</v>
      </c>
      <c r="Q94" t="s">
        <v>1298</v>
      </c>
      <c r="R94" t="s">
        <v>1254</v>
      </c>
    </row>
    <row r="95" spans="2:24" ht="15" customHeight="1" x14ac:dyDescent="0.25">
      <c r="B95" s="3" t="s">
        <v>1267</v>
      </c>
      <c r="C95" s="1" t="s">
        <v>1268</v>
      </c>
      <c r="D95" s="2" t="s">
        <v>1062</v>
      </c>
      <c r="E95" s="1" t="s">
        <v>1050</v>
      </c>
      <c r="F95" s="1" t="s">
        <v>1051</v>
      </c>
      <c r="G95" s="1"/>
      <c r="H95" s="12" t="s">
        <v>1040</v>
      </c>
      <c r="I95" s="13" t="str">
        <f t="shared" si="10"/>
        <v>2N</v>
      </c>
      <c r="J95" t="str">
        <f t="shared" si="11"/>
        <v xml:space="preserve">0636 </v>
      </c>
      <c r="K95" t="str">
        <f t="shared" si="12"/>
        <v/>
      </c>
      <c r="L95" t="str">
        <f t="shared" si="13"/>
        <v>Plat 1</v>
      </c>
      <c r="M95" s="8" t="str">
        <f t="shared" si="9"/>
        <v xml:space="preserve"> 1</v>
      </c>
      <c r="O95"/>
    </row>
    <row r="96" spans="2:24" ht="15" customHeight="1" x14ac:dyDescent="0.25">
      <c r="B96" s="3" t="s">
        <v>1269</v>
      </c>
      <c r="C96" s="1" t="s">
        <v>1270</v>
      </c>
      <c r="D96" s="2" t="s">
        <v>1372</v>
      </c>
      <c r="E96" s="1" t="s">
        <v>1043</v>
      </c>
      <c r="F96" s="2" t="s">
        <v>1044</v>
      </c>
      <c r="G96" s="1" t="s">
        <v>1271</v>
      </c>
      <c r="H96" s="12" t="s">
        <v>1046</v>
      </c>
      <c r="I96" s="13" t="str">
        <f t="shared" si="10"/>
        <v>2W</v>
      </c>
      <c r="J96" t="str">
        <f t="shared" si="11"/>
        <v>0636½</v>
      </c>
      <c r="K96" t="str">
        <f t="shared" si="12"/>
        <v>0638½</v>
      </c>
      <c r="L96" t="str">
        <f t="shared" si="13"/>
        <v>Plat 8</v>
      </c>
      <c r="M96" s="8" t="str">
        <f t="shared" si="9"/>
        <v xml:space="preserve"> 8</v>
      </c>
      <c r="N96" s="4" t="s">
        <v>3012</v>
      </c>
      <c r="O96" s="4" t="s">
        <v>3013</v>
      </c>
      <c r="P96" s="4" t="s">
        <v>1181</v>
      </c>
      <c r="Q96" s="4" t="s">
        <v>3014</v>
      </c>
      <c r="R96" s="4" t="s">
        <v>3015</v>
      </c>
      <c r="S96" s="4" t="s">
        <v>3016</v>
      </c>
      <c r="T96" s="4" t="s">
        <v>3004</v>
      </c>
      <c r="U96" s="4" t="s">
        <v>1161</v>
      </c>
      <c r="V96" s="4" t="s">
        <v>3017</v>
      </c>
      <c r="W96" s="4" t="s">
        <v>3018</v>
      </c>
      <c r="X96" s="4" t="s">
        <v>1044</v>
      </c>
    </row>
    <row r="97" spans="2:25" ht="15" customHeight="1" x14ac:dyDescent="0.25">
      <c r="B97" s="3" t="s">
        <v>1272</v>
      </c>
      <c r="C97" s="1" t="s">
        <v>67</v>
      </c>
      <c r="D97" s="2" t="s">
        <v>1044</v>
      </c>
      <c r="E97" s="1" t="s">
        <v>1054</v>
      </c>
      <c r="F97" s="2" t="s">
        <v>1372</v>
      </c>
      <c r="G97" s="1" t="s">
        <v>1273</v>
      </c>
      <c r="H97" s="12" t="s">
        <v>1046</v>
      </c>
      <c r="I97" s="13" t="str">
        <f t="shared" si="10"/>
        <v>2W</v>
      </c>
      <c r="J97" t="str">
        <f t="shared" si="11"/>
        <v xml:space="preserve">0637 </v>
      </c>
      <c r="K97" t="str">
        <f t="shared" si="12"/>
        <v xml:space="preserve">0639 </v>
      </c>
      <c r="L97" t="str">
        <f t="shared" si="13"/>
        <v>Plat 5</v>
      </c>
      <c r="M97" s="8" t="str">
        <f t="shared" si="9"/>
        <v xml:space="preserve"> 5</v>
      </c>
      <c r="N97" s="4" t="s">
        <v>1372</v>
      </c>
      <c r="O97"/>
    </row>
    <row r="98" spans="2:25" ht="15" customHeight="1" x14ac:dyDescent="0.25">
      <c r="B98" s="3" t="s">
        <v>26</v>
      </c>
      <c r="C98" s="1" t="s">
        <v>1273</v>
      </c>
      <c r="D98" s="2" t="s">
        <v>1185</v>
      </c>
      <c r="E98" s="1" t="s">
        <v>1047</v>
      </c>
      <c r="F98" s="2" t="s">
        <v>1372</v>
      </c>
      <c r="G98" s="1" t="s">
        <v>1274</v>
      </c>
      <c r="H98" s="12" t="s">
        <v>1046</v>
      </c>
      <c r="I98" s="13" t="str">
        <f t="shared" si="10"/>
        <v>1N</v>
      </c>
      <c r="J98" t="str">
        <f t="shared" si="11"/>
        <v xml:space="preserve">0639 </v>
      </c>
      <c r="K98" t="str">
        <f t="shared" si="12"/>
        <v>0639½</v>
      </c>
      <c r="L98" t="str">
        <f t="shared" si="13"/>
        <v>Plat 9</v>
      </c>
      <c r="M98" s="8" t="str">
        <f t="shared" si="9"/>
        <v xml:space="preserve"> 9</v>
      </c>
      <c r="N98" s="4" t="s">
        <v>1372</v>
      </c>
      <c r="O98"/>
    </row>
    <row r="99" spans="2:25" ht="15" customHeight="1" x14ac:dyDescent="0.25">
      <c r="B99" s="3" t="s">
        <v>1275</v>
      </c>
      <c r="C99" s="1"/>
      <c r="D99" s="1" t="s">
        <v>1037</v>
      </c>
      <c r="E99" s="1" t="s">
        <v>1061</v>
      </c>
      <c r="F99" s="2" t="s">
        <v>1074</v>
      </c>
      <c r="G99" s="1" t="s">
        <v>1276</v>
      </c>
      <c r="H99" s="12" t="s">
        <v>1040</v>
      </c>
      <c r="I99" s="13" t="str">
        <f t="shared" si="10"/>
        <v>2N</v>
      </c>
      <c r="J99" t="str">
        <f t="shared" si="11"/>
        <v/>
      </c>
      <c r="K99" t="str">
        <f t="shared" si="12"/>
        <v xml:space="preserve">0640 </v>
      </c>
      <c r="L99" t="str">
        <f t="shared" si="13"/>
        <v>Plat 2</v>
      </c>
      <c r="M99" s="8" t="str">
        <f t="shared" si="9"/>
        <v xml:space="preserve"> 2</v>
      </c>
      <c r="N99" s="4" t="s">
        <v>3010</v>
      </c>
      <c r="O99" s="15" t="s">
        <v>3011</v>
      </c>
    </row>
    <row r="100" spans="2:25" ht="15" customHeight="1" x14ac:dyDescent="0.25">
      <c r="B100" s="3" t="s">
        <v>1277</v>
      </c>
      <c r="C100" s="1" t="s">
        <v>1278</v>
      </c>
      <c r="D100" s="2" t="s">
        <v>1372</v>
      </c>
      <c r="E100" s="1" t="s">
        <v>1156</v>
      </c>
      <c r="F100" s="2" t="s">
        <v>1058</v>
      </c>
      <c r="G100" s="1" t="s">
        <v>70</v>
      </c>
      <c r="H100" s="12" t="s">
        <v>1046</v>
      </c>
      <c r="I100" s="13" t="str">
        <f t="shared" si="10"/>
        <v>1K</v>
      </c>
      <c r="J100" t="str">
        <f t="shared" si="11"/>
        <v>0641½</v>
      </c>
      <c r="K100" t="str">
        <f t="shared" si="12"/>
        <v xml:space="preserve">0642 </v>
      </c>
      <c r="L100" t="str">
        <f t="shared" si="13"/>
        <v>Plat10</v>
      </c>
      <c r="M100" s="8" t="str">
        <f t="shared" si="9"/>
        <v>10</v>
      </c>
      <c r="N100" s="4" t="s">
        <v>1044</v>
      </c>
      <c r="O100" s="4" t="s">
        <v>3019</v>
      </c>
      <c r="P100" s="4" t="s">
        <v>3020</v>
      </c>
      <c r="Q100" s="4" t="s">
        <v>3021</v>
      </c>
      <c r="R100" s="4" t="s">
        <v>3022</v>
      </c>
      <c r="S100" s="4" t="s">
        <v>3023</v>
      </c>
      <c r="T100" s="4" t="s">
        <v>3024</v>
      </c>
      <c r="U100" s="4" t="s">
        <v>3025</v>
      </c>
      <c r="V100" s="4" t="s">
        <v>1058</v>
      </c>
    </row>
    <row r="101" spans="2:25" ht="15" customHeight="1" x14ac:dyDescent="0.25">
      <c r="B101" s="3" t="s">
        <v>1279</v>
      </c>
      <c r="C101" s="1" t="s">
        <v>1280</v>
      </c>
      <c r="D101" s="2" t="s">
        <v>1077</v>
      </c>
      <c r="E101" s="1" t="s">
        <v>1075</v>
      </c>
      <c r="F101" s="1" t="s">
        <v>1051</v>
      </c>
      <c r="G101" s="1"/>
      <c r="H101" s="12" t="s">
        <v>1040</v>
      </c>
      <c r="I101" s="13" t="str">
        <f t="shared" si="10"/>
        <v>2L</v>
      </c>
      <c r="J101" t="str">
        <f t="shared" si="11"/>
        <v xml:space="preserve">0643 </v>
      </c>
      <c r="K101" t="str">
        <f t="shared" si="12"/>
        <v/>
      </c>
      <c r="L101" t="str">
        <f t="shared" si="13"/>
        <v>Plat 2</v>
      </c>
      <c r="M101" s="8" t="str">
        <f t="shared" si="9"/>
        <v xml:space="preserve"> 2</v>
      </c>
      <c r="O101"/>
    </row>
    <row r="102" spans="2:25" ht="15" customHeight="1" x14ac:dyDescent="0.25">
      <c r="B102" s="3" t="s">
        <v>1281</v>
      </c>
      <c r="C102" s="1" t="s">
        <v>1282</v>
      </c>
      <c r="D102" s="2" t="s">
        <v>1097</v>
      </c>
      <c r="E102" s="1" t="s">
        <v>2148</v>
      </c>
      <c r="F102" s="1" t="s">
        <v>1051</v>
      </c>
      <c r="G102" s="1"/>
      <c r="H102" s="12" t="s">
        <v>1046</v>
      </c>
      <c r="I102" s="13" t="str">
        <f t="shared" si="10"/>
        <v>2H</v>
      </c>
      <c r="J102" t="str">
        <f t="shared" si="11"/>
        <v xml:space="preserve">0643 </v>
      </c>
      <c r="K102" t="str">
        <f t="shared" si="12"/>
        <v/>
      </c>
      <c r="L102" t="str">
        <f t="shared" si="13"/>
        <v>Plat11</v>
      </c>
      <c r="M102" s="8" t="str">
        <f t="shared" si="9"/>
        <v>11</v>
      </c>
      <c r="O102"/>
    </row>
    <row r="103" spans="2:25" ht="15" customHeight="1" x14ac:dyDescent="0.25">
      <c r="B103" s="3" t="s">
        <v>1283</v>
      </c>
      <c r="C103" s="1" t="s">
        <v>1284</v>
      </c>
      <c r="D103" s="2" t="s">
        <v>1066</v>
      </c>
      <c r="E103" s="1" t="s">
        <v>1047</v>
      </c>
      <c r="F103" s="2" t="s">
        <v>1372</v>
      </c>
      <c r="G103" s="1" t="s">
        <v>1287</v>
      </c>
      <c r="H103" s="12" t="s">
        <v>1046</v>
      </c>
      <c r="I103" s="13" t="str">
        <f t="shared" si="10"/>
        <v>1P</v>
      </c>
      <c r="J103" t="str">
        <f t="shared" si="11"/>
        <v xml:space="preserve">0644 </v>
      </c>
      <c r="K103" t="str">
        <f t="shared" si="12"/>
        <v xml:space="preserve">0645 </v>
      </c>
      <c r="L103" t="str">
        <f t="shared" si="13"/>
        <v>Plat 9</v>
      </c>
      <c r="M103" s="8" t="str">
        <f t="shared" si="9"/>
        <v xml:space="preserve"> 9</v>
      </c>
      <c r="N103" s="4" t="s">
        <v>1372</v>
      </c>
      <c r="O103"/>
    </row>
    <row r="104" spans="2:25" ht="15" customHeight="1" x14ac:dyDescent="0.25">
      <c r="B104" s="3" t="s">
        <v>1285</v>
      </c>
      <c r="C104" s="1" t="s">
        <v>72</v>
      </c>
      <c r="D104" s="2" t="s">
        <v>1372</v>
      </c>
      <c r="E104" s="1" t="s">
        <v>1156</v>
      </c>
      <c r="F104" s="2" t="s">
        <v>1286</v>
      </c>
      <c r="G104" s="1" t="s">
        <v>1287</v>
      </c>
      <c r="H104" s="12" t="s">
        <v>1046</v>
      </c>
      <c r="I104" s="13" t="str">
        <f t="shared" si="10"/>
        <v>1A</v>
      </c>
      <c r="J104" t="str">
        <f t="shared" si="11"/>
        <v>0644½</v>
      </c>
      <c r="K104" t="str">
        <f t="shared" si="12"/>
        <v xml:space="preserve">0645 </v>
      </c>
      <c r="L104" t="str">
        <f t="shared" si="13"/>
        <v>Plat10</v>
      </c>
      <c r="M104" s="8" t="str">
        <f t="shared" si="9"/>
        <v>10</v>
      </c>
      <c r="N104" t="s">
        <v>1044</v>
      </c>
      <c r="O104" t="s">
        <v>1473</v>
      </c>
      <c r="P104" t="s">
        <v>3001</v>
      </c>
      <c r="Q104" t="s">
        <v>3002</v>
      </c>
      <c r="R104" t="s">
        <v>3003</v>
      </c>
      <c r="S104" t="s">
        <v>1091</v>
      </c>
      <c r="T104" t="s">
        <v>3006</v>
      </c>
      <c r="U104" t="s">
        <v>3007</v>
      </c>
      <c r="V104" t="s">
        <v>3008</v>
      </c>
      <c r="W104" t="s">
        <v>3005</v>
      </c>
      <c r="X104" t="s">
        <v>3009</v>
      </c>
      <c r="Y104" t="s">
        <v>1286</v>
      </c>
    </row>
    <row r="105" spans="2:25" ht="15" customHeight="1" x14ac:dyDescent="0.25">
      <c r="B105" s="3" t="s">
        <v>1288</v>
      </c>
      <c r="C105" s="1"/>
      <c r="D105" s="1" t="s">
        <v>1037</v>
      </c>
      <c r="E105" s="1" t="s">
        <v>1038</v>
      </c>
      <c r="F105" s="2" t="s">
        <v>1039</v>
      </c>
      <c r="G105" s="1" t="s">
        <v>1287</v>
      </c>
      <c r="H105" s="12" t="s">
        <v>1040</v>
      </c>
      <c r="I105" s="13" t="str">
        <f t="shared" si="10"/>
        <v>2Y</v>
      </c>
      <c r="J105" t="str">
        <f t="shared" si="11"/>
        <v/>
      </c>
      <c r="K105" t="str">
        <f t="shared" si="12"/>
        <v xml:space="preserve">0645 </v>
      </c>
      <c r="L105" t="str">
        <f t="shared" si="13"/>
        <v>Plat 1</v>
      </c>
      <c r="M105" s="8" t="str">
        <f t="shared" si="9"/>
        <v xml:space="preserve"> 1</v>
      </c>
      <c r="N105" s="4" t="s">
        <v>3010</v>
      </c>
      <c r="O105" s="15" t="s">
        <v>3011</v>
      </c>
    </row>
    <row r="106" spans="2:25" ht="15" customHeight="1" x14ac:dyDescent="0.25">
      <c r="B106" s="3" t="s">
        <v>1289</v>
      </c>
      <c r="C106" s="1" t="s">
        <v>1290</v>
      </c>
      <c r="D106" s="2" t="s">
        <v>1372</v>
      </c>
      <c r="E106" s="1" t="s">
        <v>1043</v>
      </c>
      <c r="F106" s="2" t="s">
        <v>1044</v>
      </c>
      <c r="G106" s="1" t="s">
        <v>73</v>
      </c>
      <c r="H106" s="12" t="s">
        <v>1046</v>
      </c>
      <c r="I106" s="13" t="str">
        <f t="shared" si="10"/>
        <v>2W</v>
      </c>
      <c r="J106" t="str">
        <f t="shared" si="11"/>
        <v>0646½</v>
      </c>
      <c r="K106" t="str">
        <f t="shared" si="12"/>
        <v>0648½</v>
      </c>
      <c r="L106" t="str">
        <f t="shared" si="13"/>
        <v>Plat 8</v>
      </c>
      <c r="M106" s="8" t="str">
        <f t="shared" si="9"/>
        <v xml:space="preserve"> 8</v>
      </c>
      <c r="N106" s="4" t="s">
        <v>3012</v>
      </c>
      <c r="O106" s="4" t="s">
        <v>3013</v>
      </c>
      <c r="P106" s="4" t="s">
        <v>1181</v>
      </c>
      <c r="Q106" s="4" t="s">
        <v>3014</v>
      </c>
      <c r="R106" s="4" t="s">
        <v>3015</v>
      </c>
      <c r="S106" s="4" t="s">
        <v>3016</v>
      </c>
      <c r="T106" s="4" t="s">
        <v>3004</v>
      </c>
      <c r="U106" s="4" t="s">
        <v>1161</v>
      </c>
      <c r="V106" s="4" t="s">
        <v>3017</v>
      </c>
      <c r="W106" s="4" t="s">
        <v>3018</v>
      </c>
      <c r="X106" s="4" t="s">
        <v>1044</v>
      </c>
    </row>
    <row r="107" spans="2:25" ht="15" customHeight="1" x14ac:dyDescent="0.25">
      <c r="B107" s="3" t="s">
        <v>1291</v>
      </c>
      <c r="C107" s="1" t="s">
        <v>1292</v>
      </c>
      <c r="D107" s="2" t="s">
        <v>1062</v>
      </c>
      <c r="E107" s="1" t="s">
        <v>1050</v>
      </c>
      <c r="F107" s="1" t="s">
        <v>1051</v>
      </c>
      <c r="G107" s="1"/>
      <c r="H107" s="12" t="s">
        <v>1040</v>
      </c>
      <c r="I107" s="13" t="str">
        <f t="shared" si="10"/>
        <v>2N</v>
      </c>
      <c r="J107" t="str">
        <f t="shared" si="11"/>
        <v xml:space="preserve">0649 </v>
      </c>
      <c r="K107" t="str">
        <f t="shared" si="12"/>
        <v/>
      </c>
      <c r="L107" t="str">
        <f t="shared" si="13"/>
        <v>Plat 1</v>
      </c>
      <c r="M107" s="8" t="str">
        <f t="shared" si="9"/>
        <v xml:space="preserve"> 1</v>
      </c>
      <c r="O107"/>
    </row>
    <row r="108" spans="2:25" ht="15" customHeight="1" x14ac:dyDescent="0.25">
      <c r="B108" s="3" t="s">
        <v>1052</v>
      </c>
      <c r="C108" s="1" t="s">
        <v>1293</v>
      </c>
      <c r="D108" s="2" t="s">
        <v>1044</v>
      </c>
      <c r="E108" s="1" t="s">
        <v>1054</v>
      </c>
      <c r="F108" s="2" t="s">
        <v>1372</v>
      </c>
      <c r="G108" s="1" t="s">
        <v>1294</v>
      </c>
      <c r="H108" s="12" t="s">
        <v>1046</v>
      </c>
      <c r="I108" s="13" t="str">
        <f t="shared" si="10"/>
        <v>2W</v>
      </c>
      <c r="J108" t="str">
        <f t="shared" si="11"/>
        <v xml:space="preserve">0647 </v>
      </c>
      <c r="K108" t="str">
        <f t="shared" si="12"/>
        <v xml:space="preserve">0649 </v>
      </c>
      <c r="L108" t="str">
        <f t="shared" si="13"/>
        <v>Plat 5</v>
      </c>
      <c r="M108" s="8" t="str">
        <f t="shared" si="9"/>
        <v xml:space="preserve"> 5</v>
      </c>
      <c r="N108" s="4" t="s">
        <v>1372</v>
      </c>
      <c r="O108"/>
    </row>
    <row r="109" spans="2:25" ht="15" customHeight="1" x14ac:dyDescent="0.25">
      <c r="B109" s="3" t="s">
        <v>1295</v>
      </c>
      <c r="C109" s="1" t="s">
        <v>1294</v>
      </c>
      <c r="D109" s="2" t="s">
        <v>1058</v>
      </c>
      <c r="E109" s="1" t="s">
        <v>1047</v>
      </c>
      <c r="F109" s="2" t="s">
        <v>1372</v>
      </c>
      <c r="G109" s="1" t="s">
        <v>1296</v>
      </c>
      <c r="H109" s="12" t="s">
        <v>1046</v>
      </c>
      <c r="I109" s="13" t="str">
        <f t="shared" si="10"/>
        <v>1K</v>
      </c>
      <c r="J109" t="str">
        <f t="shared" si="11"/>
        <v xml:space="preserve">0649 </v>
      </c>
      <c r="K109" t="str">
        <f t="shared" si="12"/>
        <v>0649½</v>
      </c>
      <c r="L109" t="str">
        <f t="shared" si="13"/>
        <v>Plat 9</v>
      </c>
      <c r="M109" s="8" t="str">
        <f t="shared" si="9"/>
        <v xml:space="preserve"> 9</v>
      </c>
      <c r="N109" s="4" t="s">
        <v>1372</v>
      </c>
      <c r="O109"/>
    </row>
    <row r="110" spans="2:25" ht="15" customHeight="1" x14ac:dyDescent="0.25">
      <c r="B110" s="3" t="s">
        <v>1297</v>
      </c>
      <c r="C110" s="1"/>
      <c r="D110" s="1" t="s">
        <v>1037</v>
      </c>
      <c r="E110" s="1" t="s">
        <v>2148</v>
      </c>
      <c r="F110" s="2" t="s">
        <v>1298</v>
      </c>
      <c r="G110" s="1" t="s">
        <v>1299</v>
      </c>
      <c r="H110" s="12" t="s">
        <v>1046</v>
      </c>
      <c r="I110" s="13" t="str">
        <f t="shared" si="10"/>
        <v>2O</v>
      </c>
      <c r="J110" t="str">
        <f t="shared" si="11"/>
        <v/>
      </c>
      <c r="K110" t="str">
        <f t="shared" si="12"/>
        <v xml:space="preserve">0650 </v>
      </c>
      <c r="L110" t="str">
        <f t="shared" si="13"/>
        <v>Plat11</v>
      </c>
      <c r="M110" s="8" t="str">
        <f t="shared" si="9"/>
        <v>11</v>
      </c>
      <c r="N110" t="s">
        <v>2975</v>
      </c>
      <c r="O110" t="s">
        <v>2976</v>
      </c>
      <c r="P110" t="s">
        <v>2977</v>
      </c>
      <c r="Q110" t="s">
        <v>2978</v>
      </c>
      <c r="R110" t="s">
        <v>1298</v>
      </c>
    </row>
    <row r="111" spans="2:25" ht="15" customHeight="1" x14ac:dyDescent="0.25">
      <c r="B111" s="3" t="s">
        <v>1300</v>
      </c>
      <c r="C111" s="1"/>
      <c r="D111" s="1" t="s">
        <v>1037</v>
      </c>
      <c r="E111" s="1" t="s">
        <v>1061</v>
      </c>
      <c r="F111" s="2" t="s">
        <v>1074</v>
      </c>
      <c r="G111" s="1" t="s">
        <v>1301</v>
      </c>
      <c r="H111" s="12" t="s">
        <v>1040</v>
      </c>
      <c r="I111" s="13" t="str">
        <f t="shared" si="10"/>
        <v>2N</v>
      </c>
      <c r="J111" t="str">
        <f t="shared" si="11"/>
        <v/>
      </c>
      <c r="K111" t="str">
        <f t="shared" si="12"/>
        <v xml:space="preserve">0652 </v>
      </c>
      <c r="L111" t="str">
        <f t="shared" si="13"/>
        <v>Plat 2</v>
      </c>
      <c r="M111" s="8" t="str">
        <f t="shared" si="9"/>
        <v xml:space="preserve"> 2</v>
      </c>
      <c r="N111" s="4" t="s">
        <v>3010</v>
      </c>
      <c r="O111" s="15" t="s">
        <v>3011</v>
      </c>
    </row>
    <row r="112" spans="2:25" ht="15" customHeight="1" x14ac:dyDescent="0.25">
      <c r="B112" s="3" t="s">
        <v>1302</v>
      </c>
      <c r="C112" s="1" t="s">
        <v>1303</v>
      </c>
      <c r="D112" s="2" t="s">
        <v>1372</v>
      </c>
      <c r="E112" s="1" t="s">
        <v>1156</v>
      </c>
      <c r="F112" s="2" t="s">
        <v>1304</v>
      </c>
      <c r="G112" s="1" t="s">
        <v>76</v>
      </c>
      <c r="H112" s="12" t="s">
        <v>1046</v>
      </c>
      <c r="I112" s="13" t="str">
        <f t="shared" si="10"/>
        <v>1F</v>
      </c>
      <c r="J112" t="str">
        <f t="shared" si="11"/>
        <v>0654½</v>
      </c>
      <c r="K112" t="str">
        <f t="shared" si="12"/>
        <v xml:space="preserve">0655 </v>
      </c>
      <c r="L112" t="str">
        <f t="shared" si="13"/>
        <v>Plat10</v>
      </c>
      <c r="M112" s="8" t="str">
        <f t="shared" si="9"/>
        <v>10</v>
      </c>
      <c r="N112" s="4" t="s">
        <v>1044</v>
      </c>
      <c r="O112" s="4" t="s">
        <v>2999</v>
      </c>
      <c r="P112" s="4" t="s">
        <v>1473</v>
      </c>
      <c r="Q112" s="4" t="s">
        <v>3000</v>
      </c>
      <c r="R112" s="4" t="s">
        <v>3001</v>
      </c>
      <c r="S112" s="4" t="s">
        <v>3002</v>
      </c>
      <c r="T112" s="4" t="s">
        <v>3003</v>
      </c>
      <c r="U112" s="4" t="s">
        <v>1091</v>
      </c>
      <c r="V112" s="4" t="s">
        <v>1304</v>
      </c>
    </row>
    <row r="113" spans="2:24" ht="15" customHeight="1" x14ac:dyDescent="0.25">
      <c r="B113" s="3" t="s">
        <v>1305</v>
      </c>
      <c r="C113" s="1" t="s">
        <v>1306</v>
      </c>
      <c r="D113" s="2" t="s">
        <v>1074</v>
      </c>
      <c r="E113" s="1" t="s">
        <v>1075</v>
      </c>
      <c r="F113" s="1" t="s">
        <v>1051</v>
      </c>
      <c r="G113" s="1"/>
      <c r="H113" s="12" t="s">
        <v>1040</v>
      </c>
      <c r="I113" s="13" t="str">
        <f t="shared" si="10"/>
        <v>2N</v>
      </c>
      <c r="J113" t="str">
        <f t="shared" si="11"/>
        <v xml:space="preserve">0655 </v>
      </c>
      <c r="K113" t="str">
        <f t="shared" si="12"/>
        <v/>
      </c>
      <c r="L113" t="str">
        <f t="shared" si="13"/>
        <v>Plat 2</v>
      </c>
      <c r="M113" s="8" t="str">
        <f t="shared" si="9"/>
        <v xml:space="preserve"> 2</v>
      </c>
      <c r="O113"/>
    </row>
    <row r="114" spans="2:24" ht="15" customHeight="1" x14ac:dyDescent="0.25">
      <c r="B114" s="3" t="s">
        <v>1307</v>
      </c>
      <c r="C114" s="1" t="s">
        <v>1308</v>
      </c>
      <c r="D114" s="2" t="s">
        <v>1309</v>
      </c>
      <c r="E114" s="1" t="s">
        <v>1047</v>
      </c>
      <c r="F114" s="2" t="s">
        <v>1372</v>
      </c>
      <c r="G114" s="1" t="s">
        <v>1373</v>
      </c>
      <c r="H114" s="12" t="s">
        <v>1046</v>
      </c>
      <c r="I114" s="13" t="str">
        <f t="shared" si="10"/>
        <v>1F</v>
      </c>
      <c r="J114" t="str">
        <f t="shared" si="11"/>
        <v xml:space="preserve">0657 </v>
      </c>
      <c r="K114" t="str">
        <f t="shared" si="12"/>
        <v xml:space="preserve">0658 </v>
      </c>
      <c r="L114" t="str">
        <f t="shared" si="13"/>
        <v>Plat 9</v>
      </c>
      <c r="M114" s="8" t="str">
        <f t="shared" si="9"/>
        <v xml:space="preserve"> 9</v>
      </c>
      <c r="N114" s="4" t="s">
        <v>1372</v>
      </c>
      <c r="O114"/>
    </row>
    <row r="115" spans="2:24" ht="15" customHeight="1" x14ac:dyDescent="0.25">
      <c r="B115" s="3" t="s">
        <v>1310</v>
      </c>
      <c r="C115" s="1" t="s">
        <v>1311</v>
      </c>
      <c r="D115" s="2" t="s">
        <v>1372</v>
      </c>
      <c r="E115" s="1" t="s">
        <v>1043</v>
      </c>
      <c r="F115" s="2" t="s">
        <v>1044</v>
      </c>
      <c r="G115" s="1" t="s">
        <v>1312</v>
      </c>
      <c r="H115" s="12" t="s">
        <v>1046</v>
      </c>
      <c r="I115" s="13" t="str">
        <f t="shared" si="10"/>
        <v>2W</v>
      </c>
      <c r="J115" t="str">
        <f t="shared" si="11"/>
        <v>0656½</v>
      </c>
      <c r="K115" t="str">
        <f t="shared" si="12"/>
        <v>0658½</v>
      </c>
      <c r="L115" t="str">
        <f t="shared" si="13"/>
        <v>Plat 8</v>
      </c>
      <c r="M115" s="8" t="str">
        <f t="shared" si="9"/>
        <v xml:space="preserve"> 8</v>
      </c>
      <c r="N115" s="4" t="s">
        <v>3012</v>
      </c>
      <c r="O115" s="4" t="s">
        <v>3013</v>
      </c>
      <c r="P115" s="4" t="s">
        <v>1181</v>
      </c>
      <c r="Q115" s="4" t="s">
        <v>3014</v>
      </c>
      <c r="R115" s="4" t="s">
        <v>3015</v>
      </c>
      <c r="S115" s="4" t="s">
        <v>3016</v>
      </c>
      <c r="T115" s="4" t="s">
        <v>3004</v>
      </c>
      <c r="U115" s="4" t="s">
        <v>1161</v>
      </c>
      <c r="V115" s="4" t="s">
        <v>3017</v>
      </c>
      <c r="W115" s="4" t="s">
        <v>3018</v>
      </c>
      <c r="X115" s="4" t="s">
        <v>1044</v>
      </c>
    </row>
    <row r="116" spans="2:24" ht="15" customHeight="1" x14ac:dyDescent="0.25">
      <c r="B116" s="3" t="s">
        <v>1082</v>
      </c>
      <c r="C116" s="1" t="s">
        <v>1308</v>
      </c>
      <c r="D116" s="2" t="s">
        <v>1044</v>
      </c>
      <c r="E116" s="1" t="s">
        <v>1054</v>
      </c>
      <c r="F116" s="2" t="s">
        <v>1372</v>
      </c>
      <c r="G116" s="1" t="s">
        <v>78</v>
      </c>
      <c r="H116" s="12" t="s">
        <v>1046</v>
      </c>
      <c r="I116" s="13" t="str">
        <f t="shared" si="10"/>
        <v>2W</v>
      </c>
      <c r="J116" t="str">
        <f t="shared" si="11"/>
        <v xml:space="preserve">0657 </v>
      </c>
      <c r="K116" t="str">
        <f t="shared" si="12"/>
        <v xml:space="preserve">0659 </v>
      </c>
      <c r="L116" t="str">
        <f t="shared" si="13"/>
        <v>Plat 5</v>
      </c>
      <c r="M116" s="8" t="str">
        <f t="shared" si="9"/>
        <v xml:space="preserve"> 5</v>
      </c>
      <c r="N116" s="4" t="s">
        <v>1372</v>
      </c>
      <c r="O116"/>
    </row>
    <row r="117" spans="2:24" ht="15" customHeight="1" x14ac:dyDescent="0.25">
      <c r="B117" s="3" t="s">
        <v>1313</v>
      </c>
      <c r="C117" s="1"/>
      <c r="D117" s="1" t="s">
        <v>1037</v>
      </c>
      <c r="E117" s="1" t="s">
        <v>1038</v>
      </c>
      <c r="F117" s="2" t="s">
        <v>1039</v>
      </c>
      <c r="G117" s="1" t="s">
        <v>79</v>
      </c>
      <c r="H117" s="12" t="s">
        <v>1040</v>
      </c>
      <c r="I117" s="13" t="str">
        <f t="shared" si="10"/>
        <v>2Y</v>
      </c>
      <c r="J117" t="str">
        <f t="shared" si="11"/>
        <v/>
      </c>
      <c r="K117" t="str">
        <f t="shared" si="12"/>
        <v xml:space="preserve">0700 </v>
      </c>
      <c r="L117" t="str">
        <f t="shared" si="13"/>
        <v>Plat 1</v>
      </c>
      <c r="M117" s="8" t="str">
        <f t="shared" si="9"/>
        <v xml:space="preserve"> 1</v>
      </c>
      <c r="N117" s="4" t="s">
        <v>3010</v>
      </c>
      <c r="O117" s="15" t="s">
        <v>3011</v>
      </c>
    </row>
    <row r="118" spans="2:24" ht="15" customHeight="1" x14ac:dyDescent="0.25">
      <c r="B118" s="3" t="s">
        <v>1314</v>
      </c>
      <c r="C118" s="1" t="s">
        <v>1315</v>
      </c>
      <c r="D118" s="2" t="s">
        <v>1372</v>
      </c>
      <c r="E118" s="1" t="s">
        <v>1156</v>
      </c>
      <c r="F118" s="2" t="s">
        <v>1058</v>
      </c>
      <c r="G118" s="1" t="s">
        <v>1316</v>
      </c>
      <c r="H118" s="12" t="s">
        <v>1046</v>
      </c>
      <c r="I118" s="13" t="str">
        <f t="shared" si="10"/>
        <v>1K</v>
      </c>
      <c r="J118" t="str">
        <f t="shared" si="11"/>
        <v>0701½</v>
      </c>
      <c r="K118" t="str">
        <f t="shared" si="12"/>
        <v xml:space="preserve">0702 </v>
      </c>
      <c r="L118" t="str">
        <f t="shared" si="13"/>
        <v>Plat10</v>
      </c>
      <c r="M118" s="8" t="str">
        <f t="shared" si="9"/>
        <v>10</v>
      </c>
      <c r="N118" s="4" t="s">
        <v>1044</v>
      </c>
      <c r="O118" s="4" t="s">
        <v>3019</v>
      </c>
      <c r="P118" s="4" t="s">
        <v>3020</v>
      </c>
      <c r="Q118" s="4" t="s">
        <v>3021</v>
      </c>
      <c r="R118" s="4" t="s">
        <v>3022</v>
      </c>
      <c r="S118" s="4" t="s">
        <v>3023</v>
      </c>
      <c r="T118" s="4" t="s">
        <v>3024</v>
      </c>
      <c r="U118" s="4" t="s">
        <v>3025</v>
      </c>
      <c r="V118" s="4" t="s">
        <v>1058</v>
      </c>
    </row>
    <row r="119" spans="2:24" ht="15" customHeight="1" x14ac:dyDescent="0.25">
      <c r="B119" s="3" t="s">
        <v>1317</v>
      </c>
      <c r="C119" s="1" t="s">
        <v>1315</v>
      </c>
      <c r="D119" s="2" t="s">
        <v>1058</v>
      </c>
      <c r="E119" s="1" t="s">
        <v>1047</v>
      </c>
      <c r="F119" s="2" t="s">
        <v>1372</v>
      </c>
      <c r="G119" s="1" t="s">
        <v>1318</v>
      </c>
      <c r="H119" s="12" t="s">
        <v>1046</v>
      </c>
      <c r="I119" s="13" t="str">
        <f t="shared" si="10"/>
        <v>1K</v>
      </c>
      <c r="J119" t="str">
        <f t="shared" si="11"/>
        <v>0701½</v>
      </c>
      <c r="K119" t="str">
        <f t="shared" si="12"/>
        <v>0702½</v>
      </c>
      <c r="L119" t="str">
        <f t="shared" si="13"/>
        <v>Plat 9</v>
      </c>
      <c r="M119" s="8" t="str">
        <f t="shared" si="9"/>
        <v xml:space="preserve"> 9</v>
      </c>
      <c r="N119" s="4" t="s">
        <v>1372</v>
      </c>
      <c r="O119"/>
    </row>
    <row r="120" spans="2:24" ht="15" customHeight="1" x14ac:dyDescent="0.25">
      <c r="B120" s="3" t="s">
        <v>1319</v>
      </c>
      <c r="C120" s="1" t="s">
        <v>1320</v>
      </c>
      <c r="D120" s="2" t="s">
        <v>1062</v>
      </c>
      <c r="E120" s="1" t="s">
        <v>1050</v>
      </c>
      <c r="F120" s="1" t="s">
        <v>1051</v>
      </c>
      <c r="G120" s="1"/>
      <c r="H120" s="12" t="s">
        <v>1040</v>
      </c>
      <c r="I120" s="13" t="str">
        <f t="shared" si="10"/>
        <v>2N</v>
      </c>
      <c r="J120" t="str">
        <f t="shared" si="11"/>
        <v xml:space="preserve">0703 </v>
      </c>
      <c r="K120" t="str">
        <f t="shared" si="12"/>
        <v/>
      </c>
      <c r="L120" t="str">
        <f t="shared" si="13"/>
        <v>Plat 1</v>
      </c>
      <c r="M120" s="8" t="str">
        <f t="shared" si="9"/>
        <v xml:space="preserve"> 1</v>
      </c>
      <c r="O120"/>
    </row>
    <row r="121" spans="2:24" ht="15" customHeight="1" x14ac:dyDescent="0.25">
      <c r="B121" s="3" t="s">
        <v>1108</v>
      </c>
      <c r="C121" s="1" t="s">
        <v>1321</v>
      </c>
      <c r="D121" s="2" t="s">
        <v>1044</v>
      </c>
      <c r="E121" s="1" t="s">
        <v>1054</v>
      </c>
      <c r="F121" s="2" t="s">
        <v>1372</v>
      </c>
      <c r="G121" s="1" t="s">
        <v>1322</v>
      </c>
      <c r="H121" s="12" t="s">
        <v>1046</v>
      </c>
      <c r="I121" s="13" t="str">
        <f t="shared" si="10"/>
        <v>2W</v>
      </c>
      <c r="J121" t="str">
        <f t="shared" si="11"/>
        <v>0702½</v>
      </c>
      <c r="K121" t="str">
        <f t="shared" si="12"/>
        <v>0703½</v>
      </c>
      <c r="L121" t="str">
        <f t="shared" si="13"/>
        <v>Plat 5</v>
      </c>
      <c r="M121" s="8" t="str">
        <f t="shared" si="9"/>
        <v xml:space="preserve"> 5</v>
      </c>
      <c r="N121" s="4" t="s">
        <v>1372</v>
      </c>
      <c r="O121"/>
    </row>
    <row r="122" spans="2:24" ht="15" customHeight="1" x14ac:dyDescent="0.25">
      <c r="B122" s="3" t="s">
        <v>1323</v>
      </c>
      <c r="C122" s="1"/>
      <c r="D122" s="1" t="s">
        <v>1037</v>
      </c>
      <c r="E122" s="1" t="s">
        <v>1061</v>
      </c>
      <c r="F122" s="2" t="s">
        <v>1074</v>
      </c>
      <c r="G122" s="1" t="s">
        <v>1324</v>
      </c>
      <c r="H122" s="12" t="s">
        <v>1040</v>
      </c>
      <c r="I122" s="13" t="str">
        <f t="shared" si="10"/>
        <v>2N</v>
      </c>
      <c r="J122" t="str">
        <f t="shared" si="11"/>
        <v/>
      </c>
      <c r="K122" t="str">
        <f t="shared" si="12"/>
        <v xml:space="preserve">0707 </v>
      </c>
      <c r="L122" t="str">
        <f t="shared" si="13"/>
        <v>Plat 2</v>
      </c>
      <c r="M122" s="8" t="str">
        <f t="shared" ref="M122:M177" si="14">RIGHT(L122,2)</f>
        <v xml:space="preserve"> 2</v>
      </c>
      <c r="N122" s="4" t="s">
        <v>3010</v>
      </c>
      <c r="O122" s="15" t="s">
        <v>3011</v>
      </c>
    </row>
    <row r="123" spans="2:24" ht="15" customHeight="1" x14ac:dyDescent="0.25">
      <c r="B123" s="3" t="s">
        <v>30</v>
      </c>
      <c r="C123" s="1" t="s">
        <v>1325</v>
      </c>
      <c r="D123" s="2" t="s">
        <v>1185</v>
      </c>
      <c r="E123" s="1" t="s">
        <v>1047</v>
      </c>
      <c r="F123" s="2" t="s">
        <v>1372</v>
      </c>
      <c r="G123" s="1" t="s">
        <v>1324</v>
      </c>
      <c r="H123" s="12" t="s">
        <v>1046</v>
      </c>
      <c r="I123" s="13" t="str">
        <f t="shared" si="10"/>
        <v>1N</v>
      </c>
      <c r="J123" t="str">
        <f t="shared" si="11"/>
        <v xml:space="preserve">0706 </v>
      </c>
      <c r="K123" t="str">
        <f t="shared" si="12"/>
        <v xml:space="preserve">0707 </v>
      </c>
      <c r="L123" t="str">
        <f t="shared" si="13"/>
        <v>Plat 9</v>
      </c>
      <c r="M123" s="8" t="str">
        <f t="shared" si="14"/>
        <v xml:space="preserve"> 9</v>
      </c>
      <c r="N123" s="4" t="s">
        <v>1372</v>
      </c>
      <c r="O123"/>
    </row>
    <row r="124" spans="2:24" ht="15" customHeight="1" x14ac:dyDescent="0.25">
      <c r="B124" s="3" t="s">
        <v>1326</v>
      </c>
      <c r="C124" s="1" t="s">
        <v>1327</v>
      </c>
      <c r="D124" s="2" t="s">
        <v>1372</v>
      </c>
      <c r="E124" s="1" t="s">
        <v>1043</v>
      </c>
      <c r="F124" s="2" t="s">
        <v>1044</v>
      </c>
      <c r="G124" s="1" t="s">
        <v>1328</v>
      </c>
      <c r="H124" s="12" t="s">
        <v>1046</v>
      </c>
      <c r="I124" s="13" t="str">
        <f t="shared" si="10"/>
        <v>2W</v>
      </c>
      <c r="J124" t="str">
        <f t="shared" si="11"/>
        <v>0706½</v>
      </c>
      <c r="K124" t="str">
        <f t="shared" si="12"/>
        <v>0708½</v>
      </c>
      <c r="L124" t="str">
        <f t="shared" si="13"/>
        <v>Plat 8</v>
      </c>
      <c r="M124" s="8" t="str">
        <f t="shared" si="14"/>
        <v xml:space="preserve"> 8</v>
      </c>
      <c r="N124" s="4" t="s">
        <v>3012</v>
      </c>
      <c r="O124" s="4" t="s">
        <v>3013</v>
      </c>
      <c r="P124" s="4" t="s">
        <v>1181</v>
      </c>
      <c r="Q124" s="4" t="s">
        <v>3014</v>
      </c>
      <c r="R124" s="4" t="s">
        <v>3015</v>
      </c>
      <c r="S124" s="4" t="s">
        <v>3016</v>
      </c>
      <c r="T124" s="4" t="s">
        <v>3004</v>
      </c>
      <c r="U124" s="4" t="s">
        <v>1161</v>
      </c>
      <c r="V124" s="4" t="s">
        <v>3017</v>
      </c>
      <c r="W124" s="4" t="s">
        <v>3018</v>
      </c>
      <c r="X124" s="4" t="s">
        <v>1044</v>
      </c>
    </row>
    <row r="125" spans="2:24" ht="15" customHeight="1" x14ac:dyDescent="0.25">
      <c r="B125" s="3" t="s">
        <v>17</v>
      </c>
      <c r="C125" s="1" t="s">
        <v>1329</v>
      </c>
      <c r="D125" s="2" t="s">
        <v>1372</v>
      </c>
      <c r="E125" s="1" t="s">
        <v>1156</v>
      </c>
      <c r="F125" s="2" t="s">
        <v>1237</v>
      </c>
      <c r="G125" s="1" t="s">
        <v>1330</v>
      </c>
      <c r="H125" s="12" t="s">
        <v>1046</v>
      </c>
      <c r="I125" s="13" t="str">
        <f t="shared" si="10"/>
        <v>1F</v>
      </c>
      <c r="J125" t="str">
        <f t="shared" si="11"/>
        <v>0708½</v>
      </c>
      <c r="K125" t="str">
        <f t="shared" si="12"/>
        <v xml:space="preserve">0709 </v>
      </c>
      <c r="L125" t="str">
        <f t="shared" si="13"/>
        <v>Plat10</v>
      </c>
      <c r="M125" s="8" t="str">
        <f t="shared" si="14"/>
        <v>10</v>
      </c>
      <c r="N125" t="s">
        <v>1044</v>
      </c>
      <c r="O125" t="s">
        <v>1473</v>
      </c>
      <c r="P125" t="s">
        <v>3000</v>
      </c>
      <c r="Q125" t="s">
        <v>3001</v>
      </c>
      <c r="R125" t="s">
        <v>3043</v>
      </c>
      <c r="S125" t="s">
        <v>3044</v>
      </c>
      <c r="T125" t="s">
        <v>3045</v>
      </c>
      <c r="U125" t="s">
        <v>1237</v>
      </c>
      <c r="V125" t="s">
        <v>1237</v>
      </c>
    </row>
    <row r="126" spans="2:24" ht="15" customHeight="1" x14ac:dyDescent="0.25">
      <c r="B126" s="3" t="s">
        <v>55</v>
      </c>
      <c r="C126" s="1" t="s">
        <v>1330</v>
      </c>
      <c r="D126" s="2" t="s">
        <v>1331</v>
      </c>
      <c r="E126" s="1" t="s">
        <v>1047</v>
      </c>
      <c r="F126" s="2" t="s">
        <v>1372</v>
      </c>
      <c r="G126" s="1" t="s">
        <v>87</v>
      </c>
      <c r="H126" s="12" t="s">
        <v>1046</v>
      </c>
      <c r="I126" s="13" t="str">
        <f t="shared" si="10"/>
        <v>1J</v>
      </c>
      <c r="J126" t="str">
        <f t="shared" si="11"/>
        <v xml:space="preserve">0709 </v>
      </c>
      <c r="K126" t="str">
        <f t="shared" si="12"/>
        <v xml:space="preserve">0710 </v>
      </c>
      <c r="L126" t="str">
        <f t="shared" si="13"/>
        <v>Plat 9</v>
      </c>
      <c r="M126" s="8" t="str">
        <f t="shared" si="14"/>
        <v xml:space="preserve"> 9</v>
      </c>
      <c r="N126" s="4" t="s">
        <v>1372</v>
      </c>
      <c r="O126"/>
    </row>
    <row r="127" spans="2:24" ht="15" customHeight="1" x14ac:dyDescent="0.25">
      <c r="B127" s="3" t="s">
        <v>1332</v>
      </c>
      <c r="C127" s="1" t="s">
        <v>1333</v>
      </c>
      <c r="D127" s="2" t="s">
        <v>1298</v>
      </c>
      <c r="E127" s="1" t="s">
        <v>2148</v>
      </c>
      <c r="F127" s="1" t="s">
        <v>1051</v>
      </c>
      <c r="G127" s="1"/>
      <c r="H127" s="12" t="s">
        <v>1046</v>
      </c>
      <c r="I127" s="13" t="str">
        <f t="shared" si="10"/>
        <v>2O</v>
      </c>
      <c r="J127" t="str">
        <f t="shared" si="11"/>
        <v xml:space="preserve">0711 </v>
      </c>
      <c r="K127" t="str">
        <f t="shared" si="12"/>
        <v/>
      </c>
      <c r="L127" t="str">
        <f t="shared" si="13"/>
        <v>Plat11</v>
      </c>
      <c r="M127" s="8" t="str">
        <f t="shared" si="14"/>
        <v>11</v>
      </c>
      <c r="O127"/>
    </row>
    <row r="128" spans="2:24" ht="15" customHeight="1" x14ac:dyDescent="0.25">
      <c r="B128" s="3" t="s">
        <v>1334</v>
      </c>
      <c r="C128" s="1" t="s">
        <v>87</v>
      </c>
      <c r="D128" s="2" t="s">
        <v>1161</v>
      </c>
      <c r="E128" s="1" t="s">
        <v>1054</v>
      </c>
      <c r="F128" s="2" t="s">
        <v>1372</v>
      </c>
      <c r="G128" s="1" t="s">
        <v>90</v>
      </c>
      <c r="H128" s="12" t="s">
        <v>1046</v>
      </c>
      <c r="I128" s="13" t="str">
        <f t="shared" ref="I128:I149" si="15">LEFT(B128,2)</f>
        <v>2C</v>
      </c>
      <c r="J128" t="str">
        <f t="shared" ref="J128:J149" si="16">LEFT(C128,5)</f>
        <v xml:space="preserve">0710 </v>
      </c>
      <c r="K128" t="str">
        <f t="shared" ref="K128:K149" si="17">LEFT(G128,5)</f>
        <v xml:space="preserve">0712 </v>
      </c>
      <c r="L128" t="str">
        <f t="shared" ref="L128:L149" si="18">LEFT(E128,6)</f>
        <v>Plat 5</v>
      </c>
      <c r="M128" s="8" t="str">
        <f t="shared" si="14"/>
        <v xml:space="preserve"> 5</v>
      </c>
      <c r="N128" s="4" t="s">
        <v>1372</v>
      </c>
      <c r="O128"/>
    </row>
    <row r="129" spans="2:24" ht="15" customHeight="1" x14ac:dyDescent="0.25">
      <c r="B129" s="3" t="s">
        <v>1183</v>
      </c>
      <c r="C129" s="1" t="s">
        <v>1335</v>
      </c>
      <c r="D129" s="2" t="s">
        <v>1074</v>
      </c>
      <c r="E129" s="1" t="s">
        <v>1075</v>
      </c>
      <c r="F129" s="1" t="s">
        <v>1051</v>
      </c>
      <c r="G129" s="1"/>
      <c r="H129" s="12" t="s">
        <v>1040</v>
      </c>
      <c r="I129" s="13" t="str">
        <f t="shared" si="15"/>
        <v>2N</v>
      </c>
      <c r="J129" t="str">
        <f t="shared" si="16"/>
        <v xml:space="preserve">0714 </v>
      </c>
      <c r="K129" t="str">
        <f t="shared" si="17"/>
        <v/>
      </c>
      <c r="L129" t="str">
        <f t="shared" si="18"/>
        <v>Plat 2</v>
      </c>
      <c r="M129" s="8" t="str">
        <f t="shared" si="14"/>
        <v xml:space="preserve"> 2</v>
      </c>
      <c r="O129"/>
    </row>
    <row r="130" spans="2:24" ht="15" customHeight="1" x14ac:dyDescent="0.25">
      <c r="B130" s="3" t="s">
        <v>1336</v>
      </c>
      <c r="C130" s="1" t="s">
        <v>1337</v>
      </c>
      <c r="D130" s="2" t="s">
        <v>1372</v>
      </c>
      <c r="E130" s="1" t="s">
        <v>1156</v>
      </c>
      <c r="F130" s="2" t="s">
        <v>1242</v>
      </c>
      <c r="G130" s="1" t="s">
        <v>1338</v>
      </c>
      <c r="H130" s="12" t="s">
        <v>1046</v>
      </c>
      <c r="I130" s="13" t="str">
        <f t="shared" si="15"/>
        <v>1Y</v>
      </c>
      <c r="J130" t="str">
        <f t="shared" si="16"/>
        <v>0714½</v>
      </c>
      <c r="K130" t="str">
        <f t="shared" si="17"/>
        <v xml:space="preserve">0715 </v>
      </c>
      <c r="L130" t="str">
        <f t="shared" si="18"/>
        <v>Plat10</v>
      </c>
      <c r="M130" s="8" t="str">
        <f t="shared" si="14"/>
        <v>10</v>
      </c>
      <c r="N130" t="s">
        <v>1044</v>
      </c>
      <c r="O130" t="s">
        <v>1473</v>
      </c>
      <c r="P130" t="s">
        <v>3001</v>
      </c>
      <c r="Q130" t="s">
        <v>3002</v>
      </c>
      <c r="R130" t="s">
        <v>3003</v>
      </c>
      <c r="S130" t="s">
        <v>1091</v>
      </c>
      <c r="T130" t="s">
        <v>3006</v>
      </c>
      <c r="U130" t="s">
        <v>1242</v>
      </c>
    </row>
    <row r="131" spans="2:24" ht="15" customHeight="1" x14ac:dyDescent="0.25">
      <c r="B131" s="3" t="s">
        <v>1339</v>
      </c>
      <c r="C131" s="1" t="s">
        <v>88</v>
      </c>
      <c r="D131" s="2" t="s">
        <v>1044</v>
      </c>
      <c r="E131" s="1" t="s">
        <v>1054</v>
      </c>
      <c r="F131" s="2" t="s">
        <v>1372</v>
      </c>
      <c r="G131" s="1" t="s">
        <v>1338</v>
      </c>
      <c r="H131" s="12" t="s">
        <v>1046</v>
      </c>
      <c r="I131" s="13" t="str">
        <f t="shared" si="15"/>
        <v>2W</v>
      </c>
      <c r="J131" t="str">
        <f t="shared" si="16"/>
        <v xml:space="preserve">0714 </v>
      </c>
      <c r="K131" t="str">
        <f t="shared" si="17"/>
        <v xml:space="preserve">0715 </v>
      </c>
      <c r="L131" t="str">
        <f t="shared" si="18"/>
        <v>Plat 5</v>
      </c>
      <c r="M131" s="8" t="str">
        <f t="shared" si="14"/>
        <v xml:space="preserve"> 5</v>
      </c>
      <c r="N131" s="4" t="s">
        <v>1372</v>
      </c>
      <c r="O131"/>
    </row>
    <row r="132" spans="2:24" ht="15" customHeight="1" x14ac:dyDescent="0.25">
      <c r="B132" s="3" t="s">
        <v>1340</v>
      </c>
      <c r="C132" s="1"/>
      <c r="D132" s="1" t="s">
        <v>1037</v>
      </c>
      <c r="E132" s="1" t="s">
        <v>1038</v>
      </c>
      <c r="F132" s="2" t="s">
        <v>1039</v>
      </c>
      <c r="G132" s="1" t="s">
        <v>1338</v>
      </c>
      <c r="H132" s="12" t="s">
        <v>1040</v>
      </c>
      <c r="I132" s="13" t="str">
        <f t="shared" si="15"/>
        <v>2Y</v>
      </c>
      <c r="J132" t="str">
        <f t="shared" si="16"/>
        <v/>
      </c>
      <c r="K132" t="str">
        <f t="shared" si="17"/>
        <v xml:space="preserve">0715 </v>
      </c>
      <c r="L132" t="str">
        <f t="shared" si="18"/>
        <v>Plat 1</v>
      </c>
      <c r="M132" s="8" t="str">
        <f t="shared" si="14"/>
        <v xml:space="preserve"> 1</v>
      </c>
      <c r="N132" s="4" t="s">
        <v>3010</v>
      </c>
      <c r="O132" s="15" t="s">
        <v>3011</v>
      </c>
    </row>
    <row r="133" spans="2:24" ht="15" customHeight="1" x14ac:dyDescent="0.25">
      <c r="B133" s="3" t="s">
        <v>1341</v>
      </c>
      <c r="C133" s="1" t="s">
        <v>1338</v>
      </c>
      <c r="D133" s="2" t="s">
        <v>1066</v>
      </c>
      <c r="E133" s="1" t="s">
        <v>1047</v>
      </c>
      <c r="F133" s="2" t="s">
        <v>1372</v>
      </c>
      <c r="G133" s="1" t="s">
        <v>91</v>
      </c>
      <c r="H133" s="12" t="s">
        <v>1046</v>
      </c>
      <c r="I133" s="13" t="str">
        <f t="shared" si="15"/>
        <v>1P</v>
      </c>
      <c r="J133" t="str">
        <f t="shared" si="16"/>
        <v xml:space="preserve">0715 </v>
      </c>
      <c r="K133" t="str">
        <f t="shared" si="17"/>
        <v xml:space="preserve">0716 </v>
      </c>
      <c r="L133" t="str">
        <f t="shared" si="18"/>
        <v>Plat 9</v>
      </c>
      <c r="M133" s="8" t="str">
        <f t="shared" si="14"/>
        <v xml:space="preserve"> 9</v>
      </c>
      <c r="N133" s="4" t="s">
        <v>1372</v>
      </c>
      <c r="O133"/>
    </row>
    <row r="134" spans="2:24" ht="15" customHeight="1" x14ac:dyDescent="0.25">
      <c r="B134" s="3" t="s">
        <v>1342</v>
      </c>
      <c r="C134" s="1" t="s">
        <v>1343</v>
      </c>
      <c r="D134" s="2" t="s">
        <v>1372</v>
      </c>
      <c r="E134" s="1" t="s">
        <v>1043</v>
      </c>
      <c r="F134" s="2" t="s">
        <v>1044</v>
      </c>
      <c r="G134" s="1" t="s">
        <v>1344</v>
      </c>
      <c r="H134" s="12" t="s">
        <v>1046</v>
      </c>
      <c r="I134" s="13" t="str">
        <f t="shared" si="15"/>
        <v>2W</v>
      </c>
      <c r="J134" t="str">
        <f t="shared" si="16"/>
        <v>0716½</v>
      </c>
      <c r="K134" t="str">
        <f t="shared" si="17"/>
        <v>0718½</v>
      </c>
      <c r="L134" t="str">
        <f t="shared" si="18"/>
        <v>Plat 8</v>
      </c>
      <c r="M134" s="8" t="str">
        <f t="shared" si="14"/>
        <v xml:space="preserve"> 8</v>
      </c>
      <c r="N134" s="4" t="s">
        <v>3012</v>
      </c>
      <c r="O134" s="4" t="s">
        <v>3013</v>
      </c>
      <c r="P134" s="4" t="s">
        <v>1181</v>
      </c>
      <c r="Q134" s="4" t="s">
        <v>3014</v>
      </c>
      <c r="R134" s="4" t="s">
        <v>3015</v>
      </c>
      <c r="S134" s="4" t="s">
        <v>3016</v>
      </c>
      <c r="T134" s="4" t="s">
        <v>3004</v>
      </c>
      <c r="U134" s="4" t="s">
        <v>1161</v>
      </c>
      <c r="V134" s="4" t="s">
        <v>3017</v>
      </c>
      <c r="W134" s="4" t="s">
        <v>3018</v>
      </c>
      <c r="X134" s="4" t="s">
        <v>1044</v>
      </c>
    </row>
    <row r="135" spans="2:24" ht="15" customHeight="1" x14ac:dyDescent="0.25">
      <c r="B135" s="3" t="s">
        <v>1345</v>
      </c>
      <c r="C135" s="1" t="s">
        <v>1346</v>
      </c>
      <c r="D135" s="2" t="s">
        <v>1039</v>
      </c>
      <c r="E135" s="1" t="s">
        <v>1050</v>
      </c>
      <c r="F135" s="1" t="s">
        <v>1051</v>
      </c>
      <c r="G135" s="1"/>
      <c r="H135" s="12" t="s">
        <v>1040</v>
      </c>
      <c r="I135" s="13" t="str">
        <f t="shared" si="15"/>
        <v>2L</v>
      </c>
      <c r="J135" t="str">
        <f t="shared" si="16"/>
        <v xml:space="preserve">0719 </v>
      </c>
      <c r="K135" t="str">
        <f t="shared" si="17"/>
        <v/>
      </c>
      <c r="L135" t="str">
        <f t="shared" si="18"/>
        <v>Plat 1</v>
      </c>
      <c r="M135" s="8" t="str">
        <f t="shared" si="14"/>
        <v xml:space="preserve"> 1</v>
      </c>
      <c r="O135"/>
    </row>
    <row r="136" spans="2:24" ht="15" customHeight="1" x14ac:dyDescent="0.25">
      <c r="B136" s="3" t="s">
        <v>1347</v>
      </c>
      <c r="C136" s="1" t="s">
        <v>1348</v>
      </c>
      <c r="D136" s="2" t="s">
        <v>1058</v>
      </c>
      <c r="E136" s="1" t="s">
        <v>1047</v>
      </c>
      <c r="F136" s="2" t="s">
        <v>1372</v>
      </c>
      <c r="G136" s="1" t="s">
        <v>1349</v>
      </c>
      <c r="H136" s="12" t="s">
        <v>1046</v>
      </c>
      <c r="I136" s="13" t="str">
        <f t="shared" si="15"/>
        <v>1K</v>
      </c>
      <c r="J136" t="str">
        <f t="shared" si="16"/>
        <v>0718½</v>
      </c>
      <c r="K136" t="str">
        <f t="shared" si="17"/>
        <v>0719½</v>
      </c>
      <c r="L136" t="str">
        <f t="shared" si="18"/>
        <v>Plat 9</v>
      </c>
      <c r="M136" s="8" t="str">
        <f t="shared" si="14"/>
        <v xml:space="preserve"> 9</v>
      </c>
      <c r="N136" s="4" t="s">
        <v>1372</v>
      </c>
      <c r="O136"/>
    </row>
    <row r="137" spans="2:24" ht="15" customHeight="1" x14ac:dyDescent="0.25">
      <c r="B137" s="3" t="s">
        <v>1350</v>
      </c>
      <c r="C137" s="1" t="s">
        <v>1351</v>
      </c>
      <c r="D137" s="2" t="s">
        <v>1372</v>
      </c>
      <c r="E137" s="1" t="s">
        <v>1156</v>
      </c>
      <c r="F137" s="2" t="s">
        <v>1058</v>
      </c>
      <c r="G137" s="1" t="s">
        <v>1352</v>
      </c>
      <c r="H137" s="12" t="s">
        <v>1046</v>
      </c>
      <c r="I137" s="13" t="str">
        <f t="shared" si="15"/>
        <v>2K</v>
      </c>
      <c r="J137" t="str">
        <f t="shared" si="16"/>
        <v>0719½</v>
      </c>
      <c r="K137" t="str">
        <f t="shared" si="17"/>
        <v xml:space="preserve">0720 </v>
      </c>
      <c r="L137" t="str">
        <f t="shared" si="18"/>
        <v>Plat10</v>
      </c>
      <c r="M137" s="8" t="str">
        <f t="shared" si="14"/>
        <v>10</v>
      </c>
      <c r="O137"/>
    </row>
    <row r="138" spans="2:24" ht="15" customHeight="1" x14ac:dyDescent="0.25">
      <c r="B138" s="3" t="s">
        <v>1353</v>
      </c>
      <c r="C138" s="1" t="s">
        <v>1352</v>
      </c>
      <c r="D138" s="2" t="s">
        <v>1161</v>
      </c>
      <c r="E138" s="1" t="s">
        <v>1054</v>
      </c>
      <c r="F138" s="2" t="s">
        <v>1372</v>
      </c>
      <c r="G138" s="1" t="s">
        <v>1354</v>
      </c>
      <c r="H138" s="12" t="s">
        <v>1046</v>
      </c>
      <c r="I138" s="13" t="str">
        <f t="shared" si="15"/>
        <v>2C</v>
      </c>
      <c r="J138" t="str">
        <f t="shared" si="16"/>
        <v xml:space="preserve">0720 </v>
      </c>
      <c r="K138" t="str">
        <f t="shared" si="17"/>
        <v xml:space="preserve">0722 </v>
      </c>
      <c r="L138" t="str">
        <f t="shared" si="18"/>
        <v>Plat 5</v>
      </c>
      <c r="M138" s="8" t="str">
        <f t="shared" si="14"/>
        <v xml:space="preserve"> 5</v>
      </c>
      <c r="N138" s="4" t="s">
        <v>1372</v>
      </c>
      <c r="O138"/>
    </row>
    <row r="139" spans="2:24" ht="15" customHeight="1" x14ac:dyDescent="0.25">
      <c r="B139" s="3" t="s">
        <v>1355</v>
      </c>
      <c r="C139" s="1"/>
      <c r="D139" s="1" t="s">
        <v>1037</v>
      </c>
      <c r="E139" s="1" t="s">
        <v>1061</v>
      </c>
      <c r="F139" s="2" t="s">
        <v>1074</v>
      </c>
      <c r="G139" s="1" t="s">
        <v>1354</v>
      </c>
      <c r="H139" s="12" t="s">
        <v>1040</v>
      </c>
      <c r="I139" s="13" t="str">
        <f t="shared" si="15"/>
        <v>2N</v>
      </c>
      <c r="J139" t="str">
        <f t="shared" si="16"/>
        <v/>
      </c>
      <c r="K139" t="str">
        <f t="shared" si="17"/>
        <v xml:space="preserve">0722 </v>
      </c>
      <c r="L139" t="str">
        <f t="shared" si="18"/>
        <v>Plat 2</v>
      </c>
      <c r="M139" s="8" t="str">
        <f t="shared" si="14"/>
        <v xml:space="preserve"> 2</v>
      </c>
      <c r="N139" s="4" t="s">
        <v>3010</v>
      </c>
      <c r="O139" s="15" t="s">
        <v>3011</v>
      </c>
    </row>
    <row r="140" spans="2:24" ht="15" customHeight="1" x14ac:dyDescent="0.25">
      <c r="B140" s="3" t="s">
        <v>64</v>
      </c>
      <c r="C140" s="1" t="s">
        <v>97</v>
      </c>
      <c r="D140" s="2" t="s">
        <v>1304</v>
      </c>
      <c r="E140" s="1" t="s">
        <v>1047</v>
      </c>
      <c r="F140" s="2" t="s">
        <v>1372</v>
      </c>
      <c r="G140" s="1" t="s">
        <v>99</v>
      </c>
      <c r="H140" s="12" t="s">
        <v>1046</v>
      </c>
      <c r="I140" s="13" t="str">
        <f t="shared" si="15"/>
        <v>1F</v>
      </c>
      <c r="J140" t="str">
        <f t="shared" si="16"/>
        <v xml:space="preserve">0723 </v>
      </c>
      <c r="K140" t="str">
        <f t="shared" si="17"/>
        <v xml:space="preserve">0724 </v>
      </c>
      <c r="L140" t="str">
        <f t="shared" si="18"/>
        <v>Plat 9</v>
      </c>
      <c r="M140" s="8" t="str">
        <f t="shared" si="14"/>
        <v xml:space="preserve"> 9</v>
      </c>
      <c r="N140" s="4" t="s">
        <v>1372</v>
      </c>
      <c r="O140"/>
    </row>
    <row r="141" spans="2:24" ht="15" customHeight="1" x14ac:dyDescent="0.25">
      <c r="B141" s="3" t="s">
        <v>1356</v>
      </c>
      <c r="C141" s="1" t="s">
        <v>1357</v>
      </c>
      <c r="D141" s="2" t="s">
        <v>1062</v>
      </c>
      <c r="E141" s="1" t="s">
        <v>1075</v>
      </c>
      <c r="F141" s="1" t="s">
        <v>1051</v>
      </c>
      <c r="G141" s="1"/>
      <c r="H141" s="12" t="s">
        <v>1040</v>
      </c>
      <c r="I141" s="13" t="str">
        <f t="shared" si="15"/>
        <v>2G</v>
      </c>
      <c r="J141" t="str">
        <f t="shared" si="16"/>
        <v xml:space="preserve">0725 </v>
      </c>
      <c r="K141" t="str">
        <f t="shared" si="17"/>
        <v/>
      </c>
      <c r="L141" t="str">
        <f t="shared" si="18"/>
        <v>Plat 2</v>
      </c>
      <c r="M141" s="8" t="str">
        <f t="shared" si="14"/>
        <v xml:space="preserve"> 2</v>
      </c>
      <c r="O141"/>
    </row>
    <row r="142" spans="2:24" ht="15" customHeight="1" x14ac:dyDescent="0.25">
      <c r="B142" s="3" t="s">
        <v>1139</v>
      </c>
      <c r="C142" s="1" t="s">
        <v>99</v>
      </c>
      <c r="D142" s="2" t="s">
        <v>1044</v>
      </c>
      <c r="E142" s="1" t="s">
        <v>1054</v>
      </c>
      <c r="F142" s="2" t="s">
        <v>1372</v>
      </c>
      <c r="G142" s="1" t="s">
        <v>1358</v>
      </c>
      <c r="H142" s="12" t="s">
        <v>1046</v>
      </c>
      <c r="I142" s="13" t="str">
        <f t="shared" si="15"/>
        <v>2W</v>
      </c>
      <c r="J142" t="str">
        <f t="shared" si="16"/>
        <v xml:space="preserve">0724 </v>
      </c>
      <c r="K142" t="str">
        <f t="shared" si="17"/>
        <v xml:space="preserve">0725 </v>
      </c>
      <c r="L142" t="str">
        <f t="shared" si="18"/>
        <v>Plat 5</v>
      </c>
      <c r="M142" s="8" t="str">
        <f t="shared" si="14"/>
        <v xml:space="preserve"> 5</v>
      </c>
      <c r="N142" s="4" t="s">
        <v>1372</v>
      </c>
      <c r="O142"/>
    </row>
    <row r="143" spans="2:24" ht="15" customHeight="1" x14ac:dyDescent="0.25">
      <c r="B143" s="3" t="s">
        <v>32</v>
      </c>
      <c r="C143" s="1" t="s">
        <v>1359</v>
      </c>
      <c r="D143" s="2" t="s">
        <v>1372</v>
      </c>
      <c r="E143" s="1" t="s">
        <v>1156</v>
      </c>
      <c r="F143" s="2" t="s">
        <v>1185</v>
      </c>
      <c r="G143" s="1" t="s">
        <v>1358</v>
      </c>
      <c r="H143" s="12" t="s">
        <v>1046</v>
      </c>
      <c r="I143" s="13" t="str">
        <f t="shared" si="15"/>
        <v>1N</v>
      </c>
      <c r="J143" t="str">
        <f t="shared" si="16"/>
        <v>0724½</v>
      </c>
      <c r="K143" t="str">
        <f t="shared" si="17"/>
        <v xml:space="preserve">0725 </v>
      </c>
      <c r="L143" t="str">
        <f t="shared" si="18"/>
        <v>Plat10</v>
      </c>
      <c r="M143" s="8" t="str">
        <f t="shared" si="14"/>
        <v>10</v>
      </c>
      <c r="N143" t="s">
        <v>1044</v>
      </c>
      <c r="O143" t="s">
        <v>2999</v>
      </c>
      <c r="P143" t="s">
        <v>1473</v>
      </c>
      <c r="Q143" t="s">
        <v>3001</v>
      </c>
      <c r="R143" t="s">
        <v>3003</v>
      </c>
      <c r="S143" t="s">
        <v>1091</v>
      </c>
      <c r="T143" t="s">
        <v>3048</v>
      </c>
      <c r="U143" t="s">
        <v>3031</v>
      </c>
      <c r="V143" t="s">
        <v>3035</v>
      </c>
      <c r="W143" t="s">
        <v>3047</v>
      </c>
    </row>
    <row r="144" spans="2:24" ht="15" customHeight="1" x14ac:dyDescent="0.25">
      <c r="B144" s="3" t="s">
        <v>1360</v>
      </c>
      <c r="C144" s="1"/>
      <c r="D144" s="1" t="s">
        <v>1037</v>
      </c>
      <c r="E144" s="1" t="s">
        <v>1038</v>
      </c>
      <c r="F144" s="2" t="s">
        <v>1062</v>
      </c>
      <c r="G144" s="1" t="s">
        <v>1361</v>
      </c>
      <c r="H144" s="12" t="s">
        <v>1040</v>
      </c>
      <c r="I144" s="13" t="str">
        <f t="shared" si="15"/>
        <v>2G</v>
      </c>
      <c r="J144" t="str">
        <f t="shared" si="16"/>
        <v/>
      </c>
      <c r="K144" t="str">
        <f t="shared" si="17"/>
        <v xml:space="preserve">0726 </v>
      </c>
      <c r="L144" t="str">
        <f t="shared" si="18"/>
        <v>Plat 1</v>
      </c>
      <c r="M144" s="8" t="str">
        <f t="shared" si="14"/>
        <v xml:space="preserve"> 1</v>
      </c>
      <c r="N144" s="4" t="s">
        <v>3010</v>
      </c>
      <c r="O144" s="15" t="s">
        <v>3011</v>
      </c>
    </row>
    <row r="145" spans="2:24" ht="15" customHeight="1" x14ac:dyDescent="0.25">
      <c r="B145" s="3" t="s">
        <v>38</v>
      </c>
      <c r="C145" s="1" t="s">
        <v>1362</v>
      </c>
      <c r="D145" s="2" t="s">
        <v>1185</v>
      </c>
      <c r="E145" s="1" t="s">
        <v>1047</v>
      </c>
      <c r="F145" s="2" t="s">
        <v>1372</v>
      </c>
      <c r="G145" s="1" t="s">
        <v>1363</v>
      </c>
      <c r="H145" s="12" t="s">
        <v>1046</v>
      </c>
      <c r="I145" s="13" t="str">
        <f t="shared" si="15"/>
        <v>1N</v>
      </c>
      <c r="J145" t="str">
        <f t="shared" si="16"/>
        <v>0726½</v>
      </c>
      <c r="K145" t="str">
        <f t="shared" si="17"/>
        <v>0727½</v>
      </c>
      <c r="L145" t="str">
        <f t="shared" si="18"/>
        <v>Plat 9</v>
      </c>
      <c r="M145" s="8" t="str">
        <f t="shared" si="14"/>
        <v xml:space="preserve"> 9</v>
      </c>
      <c r="N145" s="4" t="s">
        <v>1372</v>
      </c>
      <c r="O145"/>
    </row>
    <row r="146" spans="2:24" ht="15" customHeight="1" x14ac:dyDescent="0.25">
      <c r="B146" s="3" t="s">
        <v>1364</v>
      </c>
      <c r="C146" s="1" t="s">
        <v>1362</v>
      </c>
      <c r="D146" s="2" t="s">
        <v>1372</v>
      </c>
      <c r="E146" s="1" t="s">
        <v>1043</v>
      </c>
      <c r="F146" s="2" t="s">
        <v>1044</v>
      </c>
      <c r="G146" s="1" t="s">
        <v>1365</v>
      </c>
      <c r="H146" s="12" t="s">
        <v>1046</v>
      </c>
      <c r="I146" s="13" t="str">
        <f t="shared" si="15"/>
        <v>2W</v>
      </c>
      <c r="J146" t="str">
        <f t="shared" si="16"/>
        <v>0726½</v>
      </c>
      <c r="K146" t="str">
        <f t="shared" si="17"/>
        <v>0728½</v>
      </c>
      <c r="L146" t="str">
        <f t="shared" si="18"/>
        <v>Plat 8</v>
      </c>
      <c r="M146" s="8" t="str">
        <f t="shared" si="14"/>
        <v xml:space="preserve"> 8</v>
      </c>
      <c r="N146" s="4" t="s">
        <v>3012</v>
      </c>
      <c r="O146" s="4" t="s">
        <v>3013</v>
      </c>
      <c r="P146" s="4" t="s">
        <v>1181</v>
      </c>
      <c r="Q146" s="4" t="s">
        <v>3014</v>
      </c>
      <c r="R146" s="4" t="s">
        <v>3015</v>
      </c>
      <c r="S146" s="4" t="s">
        <v>3016</v>
      </c>
      <c r="T146" s="4" t="s">
        <v>3004</v>
      </c>
      <c r="U146" s="4" t="s">
        <v>1161</v>
      </c>
      <c r="V146" s="4" t="s">
        <v>3017</v>
      </c>
      <c r="W146" s="4" t="s">
        <v>3018</v>
      </c>
      <c r="X146" s="4" t="s">
        <v>1044</v>
      </c>
    </row>
    <row r="147" spans="2:24" ht="15" customHeight="1" x14ac:dyDescent="0.25">
      <c r="B147" s="3" t="s">
        <v>1366</v>
      </c>
      <c r="C147" s="1" t="s">
        <v>1367</v>
      </c>
      <c r="D147" s="2" t="s">
        <v>1074</v>
      </c>
      <c r="E147" s="1" t="s">
        <v>1050</v>
      </c>
      <c r="F147" s="1" t="s">
        <v>1051</v>
      </c>
      <c r="G147" s="1"/>
      <c r="H147" s="12" t="s">
        <v>1040</v>
      </c>
      <c r="I147" s="13" t="str">
        <f t="shared" si="15"/>
        <v>2N</v>
      </c>
      <c r="J147" t="str">
        <f t="shared" si="16"/>
        <v xml:space="preserve">0729 </v>
      </c>
      <c r="K147" t="str">
        <f t="shared" si="17"/>
        <v/>
      </c>
      <c r="L147" t="str">
        <f t="shared" si="18"/>
        <v>Plat 1</v>
      </c>
      <c r="M147" s="8" t="str">
        <f t="shared" si="14"/>
        <v xml:space="preserve"> 1</v>
      </c>
      <c r="O147"/>
    </row>
    <row r="148" spans="2:24" ht="15" customHeight="1" x14ac:dyDescent="0.25">
      <c r="B148" s="3" t="s">
        <v>1368</v>
      </c>
      <c r="C148" s="1"/>
      <c r="D148" s="1" t="s">
        <v>1037</v>
      </c>
      <c r="E148" s="1" t="s">
        <v>1061</v>
      </c>
      <c r="F148" s="2" t="s">
        <v>1039</v>
      </c>
      <c r="G148" s="1" t="s">
        <v>1369</v>
      </c>
      <c r="H148" s="12" t="s">
        <v>1040</v>
      </c>
      <c r="I148" s="13" t="str">
        <f t="shared" si="15"/>
        <v>2Y</v>
      </c>
      <c r="J148" t="str">
        <f t="shared" si="16"/>
        <v/>
      </c>
      <c r="K148" t="str">
        <f t="shared" si="17"/>
        <v xml:space="preserve">0730 </v>
      </c>
      <c r="L148" t="str">
        <f t="shared" si="18"/>
        <v>Plat 2</v>
      </c>
      <c r="M148" s="8" t="str">
        <f t="shared" si="14"/>
        <v xml:space="preserve"> 2</v>
      </c>
      <c r="N148" s="4" t="s">
        <v>3010</v>
      </c>
      <c r="O148" s="15" t="s">
        <v>3011</v>
      </c>
    </row>
    <row r="149" spans="2:24" ht="15" customHeight="1" x14ac:dyDescent="0.25">
      <c r="B149" s="3" t="s">
        <v>1370</v>
      </c>
      <c r="C149" s="1" t="s">
        <v>1369</v>
      </c>
      <c r="D149" s="2" t="s">
        <v>1161</v>
      </c>
      <c r="E149" s="1" t="s">
        <v>1054</v>
      </c>
      <c r="F149" s="2" t="s">
        <v>1372</v>
      </c>
      <c r="G149" s="1" t="s">
        <v>1371</v>
      </c>
      <c r="H149" s="12" t="s">
        <v>1046</v>
      </c>
      <c r="I149" s="13" t="str">
        <f t="shared" si="15"/>
        <v>2C</v>
      </c>
      <c r="J149" t="str">
        <f t="shared" si="16"/>
        <v xml:space="preserve">0730 </v>
      </c>
      <c r="K149" t="str">
        <f t="shared" si="17"/>
        <v xml:space="preserve">0732 </v>
      </c>
      <c r="L149" t="str">
        <f t="shared" si="18"/>
        <v>Plat 5</v>
      </c>
      <c r="M149" s="8" t="str">
        <f t="shared" si="14"/>
        <v xml:space="preserve"> 5</v>
      </c>
      <c r="N149" s="4" t="s">
        <v>1372</v>
      </c>
      <c r="O149"/>
    </row>
    <row r="150" spans="2:24" ht="15" customHeight="1" x14ac:dyDescent="0.25">
      <c r="B150" s="3" t="s">
        <v>1370</v>
      </c>
      <c r="C150" s="1" t="s">
        <v>1369</v>
      </c>
      <c r="D150" s="2" t="s">
        <v>1161</v>
      </c>
      <c r="E150" s="1" t="s">
        <v>1054</v>
      </c>
      <c r="F150" s="2" t="s">
        <v>1372</v>
      </c>
      <c r="G150" s="1" t="s">
        <v>1371</v>
      </c>
      <c r="H150" s="12" t="s">
        <v>1046</v>
      </c>
      <c r="I150" s="13" t="str">
        <f t="shared" ref="I150:I200" si="19">LEFT(B150,2)</f>
        <v>2C</v>
      </c>
      <c r="J150" t="str">
        <f t="shared" ref="J150:J200" si="20">LEFT(C150,5)</f>
        <v xml:space="preserve">0730 </v>
      </c>
      <c r="K150" t="str">
        <f t="shared" ref="K150:K200" si="21">LEFT(G150,5)</f>
        <v xml:space="preserve">0732 </v>
      </c>
      <c r="L150" t="str">
        <f t="shared" ref="L150:L200" si="22">LEFT(E150,6)</f>
        <v>Plat 5</v>
      </c>
      <c r="M150" s="8" t="str">
        <f t="shared" si="14"/>
        <v xml:space="preserve"> 5</v>
      </c>
      <c r="N150" s="4" t="s">
        <v>1372</v>
      </c>
      <c r="O150"/>
    </row>
    <row r="151" spans="2:24" ht="15" customHeight="1" x14ac:dyDescent="0.25">
      <c r="B151" s="3" t="s">
        <v>1374</v>
      </c>
      <c r="C151" s="1"/>
      <c r="D151" s="1" t="s">
        <v>1037</v>
      </c>
      <c r="E151" s="1" t="s">
        <v>2148</v>
      </c>
      <c r="F151" s="2" t="s">
        <v>1254</v>
      </c>
      <c r="G151" s="1" t="s">
        <v>1375</v>
      </c>
      <c r="H151" s="12" t="s">
        <v>1046</v>
      </c>
      <c r="I151" s="13" t="str">
        <f t="shared" si="19"/>
        <v>2S</v>
      </c>
      <c r="J151" t="str">
        <f t="shared" si="20"/>
        <v/>
      </c>
      <c r="K151" t="str">
        <f t="shared" si="21"/>
        <v xml:space="preserve">0734 </v>
      </c>
      <c r="L151" t="str">
        <f t="shared" si="22"/>
        <v>Plat11</v>
      </c>
      <c r="M151" s="8" t="str">
        <f t="shared" si="14"/>
        <v>11</v>
      </c>
      <c r="N151" t="s">
        <v>2975</v>
      </c>
      <c r="O151" t="s">
        <v>3039</v>
      </c>
      <c r="P151" t="s">
        <v>3041</v>
      </c>
      <c r="Q151" t="s">
        <v>2978</v>
      </c>
      <c r="R151" t="s">
        <v>1298</v>
      </c>
      <c r="S151" t="s">
        <v>2979</v>
      </c>
      <c r="T151" t="s">
        <v>2980</v>
      </c>
      <c r="U151" t="s">
        <v>2982</v>
      </c>
      <c r="V151" t="s">
        <v>1254</v>
      </c>
    </row>
    <row r="152" spans="2:24" ht="15" customHeight="1" x14ac:dyDescent="0.25">
      <c r="B152" s="3" t="s">
        <v>1376</v>
      </c>
      <c r="C152" s="1" t="s">
        <v>1377</v>
      </c>
      <c r="D152" s="2" t="s">
        <v>1039</v>
      </c>
      <c r="E152" s="1" t="s">
        <v>1075</v>
      </c>
      <c r="F152" s="1" t="s">
        <v>1051</v>
      </c>
      <c r="G152" s="1"/>
      <c r="H152" s="12" t="s">
        <v>1040</v>
      </c>
      <c r="I152" s="13" t="str">
        <f t="shared" si="19"/>
        <v>2L</v>
      </c>
      <c r="J152" t="str">
        <f t="shared" si="20"/>
        <v xml:space="preserve">0734 </v>
      </c>
      <c r="K152" t="str">
        <f t="shared" si="21"/>
        <v/>
      </c>
      <c r="L152" t="str">
        <f t="shared" si="22"/>
        <v>Plat 2</v>
      </c>
      <c r="M152" s="8" t="str">
        <f t="shared" si="14"/>
        <v xml:space="preserve"> 2</v>
      </c>
      <c r="O152"/>
    </row>
    <row r="153" spans="2:24" ht="15" customHeight="1" x14ac:dyDescent="0.25">
      <c r="B153" s="3" t="s">
        <v>1144</v>
      </c>
      <c r="C153" s="1" t="s">
        <v>1375</v>
      </c>
      <c r="D153" s="2" t="s">
        <v>1044</v>
      </c>
      <c r="E153" s="1" t="s">
        <v>1054</v>
      </c>
      <c r="F153" s="2" t="s">
        <v>1372</v>
      </c>
      <c r="G153" s="1" t="s">
        <v>105</v>
      </c>
      <c r="H153" s="12" t="s">
        <v>1046</v>
      </c>
      <c r="I153" s="13" t="str">
        <f t="shared" si="19"/>
        <v>2W</v>
      </c>
      <c r="J153" t="str">
        <f t="shared" si="20"/>
        <v xml:space="preserve">0734 </v>
      </c>
      <c r="K153" t="str">
        <f t="shared" si="21"/>
        <v xml:space="preserve">0735 </v>
      </c>
      <c r="L153" t="str">
        <f t="shared" si="22"/>
        <v>Plat 5</v>
      </c>
      <c r="M153" s="8" t="str">
        <f t="shared" si="14"/>
        <v xml:space="preserve"> 5</v>
      </c>
      <c r="N153" s="4" t="s">
        <v>1372</v>
      </c>
      <c r="O153"/>
    </row>
    <row r="154" spans="2:24" ht="15" customHeight="1" x14ac:dyDescent="0.25">
      <c r="B154" s="3" t="s">
        <v>77</v>
      </c>
      <c r="C154" s="1" t="s">
        <v>1378</v>
      </c>
      <c r="D154" s="2" t="s">
        <v>1237</v>
      </c>
      <c r="E154" s="1" t="s">
        <v>1047</v>
      </c>
      <c r="F154" s="2" t="s">
        <v>1372</v>
      </c>
      <c r="G154" s="1" t="s">
        <v>1379</v>
      </c>
      <c r="H154" s="12" t="s">
        <v>1046</v>
      </c>
      <c r="I154" s="13" t="str">
        <f t="shared" si="19"/>
        <v>1F</v>
      </c>
      <c r="J154" t="str">
        <f t="shared" si="20"/>
        <v>0734½</v>
      </c>
      <c r="K154" t="str">
        <f t="shared" si="21"/>
        <v>0735½</v>
      </c>
      <c r="L154" t="str">
        <f t="shared" si="22"/>
        <v>Plat 9</v>
      </c>
      <c r="M154" s="8" t="str">
        <f t="shared" si="14"/>
        <v xml:space="preserve"> 9</v>
      </c>
      <c r="N154" s="4" t="s">
        <v>1372</v>
      </c>
      <c r="O154"/>
    </row>
    <row r="155" spans="2:24" ht="15" customHeight="1" x14ac:dyDescent="0.25">
      <c r="B155" s="3" t="s">
        <v>1380</v>
      </c>
      <c r="C155" s="1"/>
      <c r="D155" s="1" t="s">
        <v>1037</v>
      </c>
      <c r="E155" s="1" t="s">
        <v>1038</v>
      </c>
      <c r="F155" s="2" t="s">
        <v>1074</v>
      </c>
      <c r="G155" s="1" t="s">
        <v>107</v>
      </c>
      <c r="H155" s="12" t="s">
        <v>1040</v>
      </c>
      <c r="I155" s="13" t="str">
        <f t="shared" si="19"/>
        <v>2N</v>
      </c>
      <c r="J155" t="str">
        <f t="shared" si="20"/>
        <v/>
      </c>
      <c r="K155" t="str">
        <f t="shared" si="21"/>
        <v xml:space="preserve">0737 </v>
      </c>
      <c r="L155" t="str">
        <f t="shared" si="22"/>
        <v>Plat 1</v>
      </c>
      <c r="M155" s="8" t="str">
        <f t="shared" si="14"/>
        <v xml:space="preserve"> 1</v>
      </c>
      <c r="N155" s="4" t="s">
        <v>3010</v>
      </c>
      <c r="O155" s="15" t="s">
        <v>3011</v>
      </c>
    </row>
    <row r="156" spans="2:24" ht="15" customHeight="1" x14ac:dyDescent="0.25">
      <c r="B156" s="3" t="s">
        <v>1041</v>
      </c>
      <c r="C156" s="1" t="s">
        <v>1381</v>
      </c>
      <c r="D156" s="2" t="s">
        <v>1372</v>
      </c>
      <c r="E156" s="1" t="s">
        <v>1043</v>
      </c>
      <c r="F156" s="2" t="s">
        <v>1044</v>
      </c>
      <c r="G156" s="1" t="s">
        <v>1382</v>
      </c>
      <c r="H156" s="12" t="s">
        <v>1046</v>
      </c>
      <c r="I156" s="13" t="str">
        <f t="shared" si="19"/>
        <v>2W</v>
      </c>
      <c r="J156" t="str">
        <f t="shared" si="20"/>
        <v>0736½</v>
      </c>
      <c r="K156" t="str">
        <f t="shared" si="21"/>
        <v>0738½</v>
      </c>
      <c r="L156" t="str">
        <f t="shared" si="22"/>
        <v>Plat 8</v>
      </c>
      <c r="M156" s="8" t="str">
        <f t="shared" si="14"/>
        <v xml:space="preserve"> 8</v>
      </c>
      <c r="N156" s="4" t="s">
        <v>3012</v>
      </c>
      <c r="O156" s="4" t="s">
        <v>3013</v>
      </c>
      <c r="P156" s="4" t="s">
        <v>1181</v>
      </c>
      <c r="Q156" s="4" t="s">
        <v>3014</v>
      </c>
      <c r="R156" s="4" t="s">
        <v>3015</v>
      </c>
      <c r="S156" s="4" t="s">
        <v>3016</v>
      </c>
      <c r="T156" s="4" t="s">
        <v>3004</v>
      </c>
      <c r="U156" s="4" t="s">
        <v>1161</v>
      </c>
      <c r="V156" s="4" t="s">
        <v>3017</v>
      </c>
      <c r="W156" s="4" t="s">
        <v>3018</v>
      </c>
      <c r="X156" s="4" t="s">
        <v>1044</v>
      </c>
    </row>
    <row r="157" spans="2:24" ht="15" customHeight="1" x14ac:dyDescent="0.25">
      <c r="B157" s="3" t="s">
        <v>1383</v>
      </c>
      <c r="C157" s="1" t="s">
        <v>1384</v>
      </c>
      <c r="D157" s="2" t="s">
        <v>1372</v>
      </c>
      <c r="E157" s="1" t="s">
        <v>1156</v>
      </c>
      <c r="F157" s="2" t="s">
        <v>1066</v>
      </c>
      <c r="G157" s="1" t="s">
        <v>1382</v>
      </c>
      <c r="H157" s="12" t="s">
        <v>1046</v>
      </c>
      <c r="I157" s="13" t="str">
        <f t="shared" si="19"/>
        <v>1P</v>
      </c>
      <c r="J157" t="str">
        <f t="shared" si="20"/>
        <v>0737½</v>
      </c>
      <c r="K157" t="str">
        <f t="shared" si="21"/>
        <v>0738½</v>
      </c>
      <c r="L157" t="str">
        <f t="shared" si="22"/>
        <v>Plat10</v>
      </c>
      <c r="M157" s="8" t="str">
        <f t="shared" si="14"/>
        <v>10</v>
      </c>
      <c r="N157" t="s">
        <v>1473</v>
      </c>
      <c r="O157" t="s">
        <v>1091</v>
      </c>
      <c r="P157" t="s">
        <v>3006</v>
      </c>
      <c r="Q157" t="s">
        <v>1242</v>
      </c>
      <c r="R157" t="s">
        <v>1501</v>
      </c>
      <c r="S157" t="s">
        <v>3052</v>
      </c>
      <c r="T157" t="s">
        <v>1066</v>
      </c>
    </row>
    <row r="158" spans="2:24" ht="15" customHeight="1" x14ac:dyDescent="0.25">
      <c r="B158" s="3" t="s">
        <v>1385</v>
      </c>
      <c r="C158" s="1" t="s">
        <v>109</v>
      </c>
      <c r="D158" s="2" t="s">
        <v>1386</v>
      </c>
      <c r="E158" s="1" t="s">
        <v>1156</v>
      </c>
      <c r="F158" s="2" t="s">
        <v>1372</v>
      </c>
      <c r="G158" s="1" t="s">
        <v>1576</v>
      </c>
      <c r="H158" s="12" t="s">
        <v>1046</v>
      </c>
      <c r="I158" s="13" t="str">
        <f t="shared" si="19"/>
        <v>1A</v>
      </c>
      <c r="J158" t="str">
        <f t="shared" si="20"/>
        <v xml:space="preserve">0738 </v>
      </c>
      <c r="K158" t="str">
        <f t="shared" si="21"/>
        <v xml:space="preserve">0739 </v>
      </c>
      <c r="L158" t="str">
        <f t="shared" si="22"/>
        <v>Plat10</v>
      </c>
      <c r="M158" s="8" t="str">
        <f t="shared" si="14"/>
        <v>10</v>
      </c>
      <c r="N158" s="4" t="s">
        <v>1372</v>
      </c>
      <c r="O158"/>
    </row>
    <row r="159" spans="2:24" ht="15" customHeight="1" x14ac:dyDescent="0.25">
      <c r="B159" s="3" t="s">
        <v>1387</v>
      </c>
      <c r="C159" s="1" t="s">
        <v>1388</v>
      </c>
      <c r="D159" s="2" t="s">
        <v>1254</v>
      </c>
      <c r="E159" s="1" t="s">
        <v>2148</v>
      </c>
      <c r="F159" s="1" t="s">
        <v>1051</v>
      </c>
      <c r="G159" s="1"/>
      <c r="H159" s="12" t="s">
        <v>1046</v>
      </c>
      <c r="I159" s="13" t="str">
        <f t="shared" si="19"/>
        <v>2S</v>
      </c>
      <c r="J159" t="str">
        <f t="shared" si="20"/>
        <v xml:space="preserve">0741 </v>
      </c>
      <c r="K159" t="str">
        <f t="shared" si="21"/>
        <v/>
      </c>
      <c r="L159" t="str">
        <f t="shared" si="22"/>
        <v>Plat11</v>
      </c>
      <c r="M159" s="8" t="str">
        <f t="shared" si="14"/>
        <v>11</v>
      </c>
      <c r="O159"/>
    </row>
    <row r="160" spans="2:24" ht="15" customHeight="1" x14ac:dyDescent="0.25">
      <c r="B160" s="3" t="s">
        <v>1390</v>
      </c>
      <c r="C160" s="1" t="s">
        <v>1391</v>
      </c>
      <c r="D160" s="2" t="s">
        <v>1058</v>
      </c>
      <c r="E160" s="1" t="s">
        <v>1047</v>
      </c>
      <c r="F160" s="2" t="s">
        <v>1372</v>
      </c>
      <c r="G160" s="1" t="s">
        <v>1389</v>
      </c>
      <c r="H160" s="12" t="s">
        <v>1046</v>
      </c>
      <c r="I160" s="13" t="str">
        <f t="shared" si="19"/>
        <v>1K</v>
      </c>
      <c r="J160" t="str">
        <f t="shared" si="20"/>
        <v>0740½</v>
      </c>
      <c r="K160" t="str">
        <f t="shared" si="21"/>
        <v>0741½</v>
      </c>
      <c r="L160" t="str">
        <f t="shared" si="22"/>
        <v>Plat 9</v>
      </c>
      <c r="M160" s="8" t="str">
        <f t="shared" si="14"/>
        <v xml:space="preserve"> 9</v>
      </c>
      <c r="N160" s="4" t="s">
        <v>1372</v>
      </c>
      <c r="O160"/>
    </row>
    <row r="161" spans="2:24" ht="15" customHeight="1" x14ac:dyDescent="0.25">
      <c r="B161" s="3" t="s">
        <v>1392</v>
      </c>
      <c r="C161" s="1" t="s">
        <v>1393</v>
      </c>
      <c r="D161" s="2" t="s">
        <v>1372</v>
      </c>
      <c r="E161" s="1" t="s">
        <v>1156</v>
      </c>
      <c r="F161" s="2" t="s">
        <v>1058</v>
      </c>
      <c r="G161" s="1" t="s">
        <v>110</v>
      </c>
      <c r="H161" s="12" t="s">
        <v>1046</v>
      </c>
      <c r="I161" s="13" t="str">
        <f t="shared" si="19"/>
        <v>1K</v>
      </c>
      <c r="J161" t="str">
        <f t="shared" si="20"/>
        <v>0741½</v>
      </c>
      <c r="K161" t="str">
        <f t="shared" si="21"/>
        <v xml:space="preserve">0742 </v>
      </c>
      <c r="L161" t="str">
        <f t="shared" si="22"/>
        <v>Plat10</v>
      </c>
      <c r="M161" s="8" t="str">
        <f t="shared" si="14"/>
        <v>10</v>
      </c>
      <c r="N161" s="4" t="s">
        <v>1044</v>
      </c>
      <c r="O161" s="4" t="s">
        <v>3019</v>
      </c>
      <c r="P161" s="4" t="s">
        <v>3020</v>
      </c>
      <c r="Q161" s="4" t="s">
        <v>3021</v>
      </c>
      <c r="R161" s="4" t="s">
        <v>3022</v>
      </c>
      <c r="S161" s="4" t="s">
        <v>3023</v>
      </c>
      <c r="T161" s="4" t="s">
        <v>3024</v>
      </c>
      <c r="U161" s="4" t="s">
        <v>3025</v>
      </c>
      <c r="V161" s="4" t="s">
        <v>1058</v>
      </c>
    </row>
    <row r="162" spans="2:24" ht="15" customHeight="1" x14ac:dyDescent="0.25">
      <c r="B162" s="3" t="s">
        <v>1394</v>
      </c>
      <c r="C162" s="1" t="s">
        <v>1395</v>
      </c>
      <c r="D162" s="2" t="s">
        <v>1161</v>
      </c>
      <c r="E162" s="1" t="s">
        <v>1054</v>
      </c>
      <c r="F162" s="2" t="s">
        <v>1372</v>
      </c>
      <c r="G162" s="1" t="s">
        <v>110</v>
      </c>
      <c r="H162" s="12" t="s">
        <v>1046</v>
      </c>
      <c r="I162" s="13" t="str">
        <f t="shared" si="19"/>
        <v>2C</v>
      </c>
      <c r="J162" t="str">
        <f t="shared" si="20"/>
        <v xml:space="preserve">0740 </v>
      </c>
      <c r="K162" t="str">
        <f t="shared" si="21"/>
        <v xml:space="preserve">0742 </v>
      </c>
      <c r="L162" t="str">
        <f t="shared" si="22"/>
        <v>Plat 5</v>
      </c>
      <c r="M162" s="8" t="str">
        <f t="shared" si="14"/>
        <v xml:space="preserve"> 5</v>
      </c>
      <c r="N162" s="4" t="s">
        <v>1372</v>
      </c>
      <c r="O162"/>
    </row>
    <row r="163" spans="2:24" ht="15" customHeight="1" x14ac:dyDescent="0.25">
      <c r="B163" s="3" t="s">
        <v>1396</v>
      </c>
      <c r="C163" s="1" t="s">
        <v>1397</v>
      </c>
      <c r="D163" s="2" t="s">
        <v>1074</v>
      </c>
      <c r="E163" s="1" t="s">
        <v>1050</v>
      </c>
      <c r="F163" s="1" t="s">
        <v>1051</v>
      </c>
      <c r="G163" s="1"/>
      <c r="H163" s="12" t="s">
        <v>1040</v>
      </c>
      <c r="I163" s="13" t="str">
        <f t="shared" si="19"/>
        <v>2N</v>
      </c>
      <c r="J163" t="str">
        <f t="shared" si="20"/>
        <v xml:space="preserve">0744 </v>
      </c>
      <c r="K163" t="str">
        <f t="shared" si="21"/>
        <v/>
      </c>
      <c r="L163" t="str">
        <f t="shared" si="22"/>
        <v>Plat 1</v>
      </c>
      <c r="M163" s="8" t="str">
        <f t="shared" si="14"/>
        <v xml:space="preserve"> 1</v>
      </c>
      <c r="O163"/>
    </row>
    <row r="164" spans="2:24" ht="15" customHeight="1" x14ac:dyDescent="0.25">
      <c r="B164" s="3" t="s">
        <v>1398</v>
      </c>
      <c r="C164" s="1" t="s">
        <v>1399</v>
      </c>
      <c r="D164" s="2" t="s">
        <v>1242</v>
      </c>
      <c r="E164" s="1" t="s">
        <v>1156</v>
      </c>
      <c r="F164" s="2" t="s">
        <v>1372</v>
      </c>
      <c r="G164" s="1" t="s">
        <v>1400</v>
      </c>
      <c r="H164" s="12" t="s">
        <v>1046</v>
      </c>
      <c r="I164" s="13" t="str">
        <f t="shared" si="19"/>
        <v>1Y</v>
      </c>
      <c r="J164" t="str">
        <f t="shared" si="20"/>
        <v>0743½</v>
      </c>
      <c r="K164" t="str">
        <f t="shared" si="21"/>
        <v>0744½</v>
      </c>
      <c r="L164" t="str">
        <f t="shared" si="22"/>
        <v>Plat10</v>
      </c>
      <c r="M164" s="8" t="str">
        <f t="shared" si="14"/>
        <v>10</v>
      </c>
      <c r="N164" s="4" t="s">
        <v>1372</v>
      </c>
      <c r="O164"/>
    </row>
    <row r="165" spans="2:24" ht="15" customHeight="1" x14ac:dyDescent="0.25">
      <c r="B165" s="3" t="s">
        <v>21</v>
      </c>
      <c r="C165" s="1" t="s">
        <v>112</v>
      </c>
      <c r="D165" s="2" t="s">
        <v>1372</v>
      </c>
      <c r="E165" s="1" t="s">
        <v>1156</v>
      </c>
      <c r="F165" s="2" t="s">
        <v>1304</v>
      </c>
      <c r="G165" s="1" t="s">
        <v>115</v>
      </c>
      <c r="H165" s="12" t="s">
        <v>1046</v>
      </c>
      <c r="I165" s="13" t="str">
        <f t="shared" si="19"/>
        <v>1F</v>
      </c>
      <c r="J165" t="str">
        <f t="shared" si="20"/>
        <v>0744½</v>
      </c>
      <c r="K165" t="str">
        <f t="shared" si="21"/>
        <v xml:space="preserve">0745 </v>
      </c>
      <c r="L165" t="str">
        <f t="shared" si="22"/>
        <v>Plat10</v>
      </c>
      <c r="M165" s="8" t="str">
        <f t="shared" si="14"/>
        <v>10</v>
      </c>
      <c r="N165" s="4" t="s">
        <v>1044</v>
      </c>
      <c r="O165" s="4" t="s">
        <v>2999</v>
      </c>
      <c r="P165" s="4" t="s">
        <v>1473</v>
      </c>
      <c r="Q165" s="4" t="s">
        <v>3000</v>
      </c>
      <c r="R165" s="4" t="s">
        <v>3001</v>
      </c>
      <c r="S165" s="4" t="s">
        <v>3002</v>
      </c>
      <c r="T165" s="4" t="s">
        <v>3003</v>
      </c>
      <c r="U165" s="4" t="s">
        <v>1091</v>
      </c>
      <c r="V165" s="4" t="s">
        <v>1304</v>
      </c>
    </row>
    <row r="166" spans="2:24" ht="15" customHeight="1" x14ac:dyDescent="0.25">
      <c r="B166" s="3" t="s">
        <v>1401</v>
      </c>
      <c r="C166" s="1"/>
      <c r="D166" s="1" t="s">
        <v>1037</v>
      </c>
      <c r="E166" s="1" t="s">
        <v>1061</v>
      </c>
      <c r="F166" s="2" t="s">
        <v>1039</v>
      </c>
      <c r="G166" s="1" t="s">
        <v>115</v>
      </c>
      <c r="H166" s="12" t="s">
        <v>1040</v>
      </c>
      <c r="I166" s="13" t="str">
        <f t="shared" si="19"/>
        <v>2Y</v>
      </c>
      <c r="J166" t="str">
        <f t="shared" si="20"/>
        <v/>
      </c>
      <c r="K166" t="str">
        <f t="shared" si="21"/>
        <v xml:space="preserve">0745 </v>
      </c>
      <c r="L166" t="str">
        <f t="shared" si="22"/>
        <v>Plat 2</v>
      </c>
      <c r="M166" s="8" t="str">
        <f t="shared" si="14"/>
        <v xml:space="preserve"> 2</v>
      </c>
      <c r="N166" s="4" t="s">
        <v>3010</v>
      </c>
      <c r="O166" s="15" t="s">
        <v>3011</v>
      </c>
    </row>
    <row r="167" spans="2:24" ht="15" customHeight="1" x14ac:dyDescent="0.25">
      <c r="B167" s="3" t="s">
        <v>1402</v>
      </c>
      <c r="C167" s="1" t="s">
        <v>112</v>
      </c>
      <c r="D167" s="2" t="s">
        <v>1044</v>
      </c>
      <c r="E167" s="1" t="s">
        <v>1054</v>
      </c>
      <c r="F167" s="2" t="s">
        <v>1372</v>
      </c>
      <c r="G167" s="1" t="s">
        <v>1403</v>
      </c>
      <c r="H167" s="12" t="s">
        <v>1046</v>
      </c>
      <c r="I167" s="13" t="str">
        <f t="shared" si="19"/>
        <v>2W</v>
      </c>
      <c r="J167" t="str">
        <f t="shared" si="20"/>
        <v>0744½</v>
      </c>
      <c r="K167" t="str">
        <f t="shared" si="21"/>
        <v>0745½</v>
      </c>
      <c r="L167" t="str">
        <f t="shared" si="22"/>
        <v>Plat 5</v>
      </c>
      <c r="M167" s="8" t="str">
        <f t="shared" si="14"/>
        <v xml:space="preserve"> 5</v>
      </c>
      <c r="N167" s="4" t="s">
        <v>1372</v>
      </c>
      <c r="O167"/>
    </row>
    <row r="168" spans="2:24" ht="15" customHeight="1" x14ac:dyDescent="0.25">
      <c r="B168" s="3" t="s">
        <v>1069</v>
      </c>
      <c r="C168" s="1" t="s">
        <v>1404</v>
      </c>
      <c r="D168" s="2" t="s">
        <v>1372</v>
      </c>
      <c r="E168" s="1" t="s">
        <v>1043</v>
      </c>
      <c r="F168" s="2" t="s">
        <v>1044</v>
      </c>
      <c r="G168" s="1" t="s">
        <v>113</v>
      </c>
      <c r="H168" s="12" t="s">
        <v>1046</v>
      </c>
      <c r="I168" s="13" t="str">
        <f t="shared" si="19"/>
        <v>2W</v>
      </c>
      <c r="J168" t="str">
        <f t="shared" si="20"/>
        <v>0746½</v>
      </c>
      <c r="K168" t="str">
        <f t="shared" si="21"/>
        <v>0748½</v>
      </c>
      <c r="L168" t="str">
        <f t="shared" si="22"/>
        <v>Plat 8</v>
      </c>
      <c r="M168" s="8" t="str">
        <f t="shared" si="14"/>
        <v xml:space="preserve"> 8</v>
      </c>
      <c r="N168" s="4" t="s">
        <v>3012</v>
      </c>
      <c r="O168" s="4" t="s">
        <v>3013</v>
      </c>
      <c r="P168" s="4" t="s">
        <v>1181</v>
      </c>
      <c r="Q168" s="4" t="s">
        <v>3014</v>
      </c>
      <c r="R168" s="4" t="s">
        <v>3015</v>
      </c>
      <c r="S168" s="4" t="s">
        <v>3016</v>
      </c>
      <c r="T168" s="4" t="s">
        <v>3004</v>
      </c>
      <c r="U168" s="4" t="s">
        <v>1161</v>
      </c>
      <c r="V168" s="4" t="s">
        <v>3017</v>
      </c>
      <c r="W168" s="4" t="s">
        <v>3018</v>
      </c>
      <c r="X168" s="4" t="s">
        <v>1044</v>
      </c>
    </row>
    <row r="169" spans="2:24" ht="15" customHeight="1" x14ac:dyDescent="0.25">
      <c r="B169" s="3" t="s">
        <v>1405</v>
      </c>
      <c r="C169" s="1" t="s">
        <v>1406</v>
      </c>
      <c r="D169" s="2" t="s">
        <v>1039</v>
      </c>
      <c r="E169" s="1" t="s">
        <v>1075</v>
      </c>
      <c r="F169" s="1" t="s">
        <v>1051</v>
      </c>
      <c r="G169" s="1"/>
      <c r="H169" s="12" t="s">
        <v>1040</v>
      </c>
      <c r="I169" s="13" t="str">
        <f t="shared" si="19"/>
        <v>2L</v>
      </c>
      <c r="J169" t="str">
        <f t="shared" si="20"/>
        <v xml:space="preserve">0749 </v>
      </c>
      <c r="K169" t="str">
        <f t="shared" si="21"/>
        <v/>
      </c>
      <c r="L169" t="str">
        <f t="shared" si="22"/>
        <v>Plat 2</v>
      </c>
      <c r="M169" s="8" t="str">
        <f t="shared" si="14"/>
        <v xml:space="preserve"> 2</v>
      </c>
      <c r="O169"/>
    </row>
    <row r="170" spans="2:24" ht="15" customHeight="1" x14ac:dyDescent="0.25">
      <c r="B170" s="3" t="s">
        <v>61</v>
      </c>
      <c r="C170" s="1" t="s">
        <v>116</v>
      </c>
      <c r="D170" s="2" t="s">
        <v>1331</v>
      </c>
      <c r="E170" s="1" t="s">
        <v>1156</v>
      </c>
      <c r="F170" s="2" t="s">
        <v>1372</v>
      </c>
      <c r="G170" s="1" t="s">
        <v>1407</v>
      </c>
      <c r="H170" s="12" t="s">
        <v>1046</v>
      </c>
      <c r="I170" s="13" t="str">
        <f t="shared" si="19"/>
        <v>1J</v>
      </c>
      <c r="J170" t="str">
        <f t="shared" si="20"/>
        <v xml:space="preserve">0749 </v>
      </c>
      <c r="K170" t="str">
        <f t="shared" si="21"/>
        <v xml:space="preserve">0750 </v>
      </c>
      <c r="L170" t="str">
        <f t="shared" si="22"/>
        <v>Plat10</v>
      </c>
      <c r="M170" s="8" t="str">
        <f t="shared" si="14"/>
        <v>10</v>
      </c>
      <c r="N170" s="4" t="s">
        <v>1372</v>
      </c>
      <c r="O170"/>
    </row>
    <row r="171" spans="2:24" ht="15" customHeight="1" x14ac:dyDescent="0.25">
      <c r="B171" s="3" t="s">
        <v>1408</v>
      </c>
      <c r="C171" s="1" t="s">
        <v>1407</v>
      </c>
      <c r="D171" s="2" t="s">
        <v>1161</v>
      </c>
      <c r="E171" s="1" t="s">
        <v>1054</v>
      </c>
      <c r="F171" s="2" t="s">
        <v>1372</v>
      </c>
      <c r="G171" s="1" t="s">
        <v>121</v>
      </c>
      <c r="H171" s="12" t="s">
        <v>1046</v>
      </c>
      <c r="I171" s="13" t="str">
        <f t="shared" si="19"/>
        <v>2C</v>
      </c>
      <c r="J171" t="str">
        <f t="shared" si="20"/>
        <v xml:space="preserve">0750 </v>
      </c>
      <c r="K171" t="str">
        <f t="shared" si="21"/>
        <v xml:space="preserve">0752 </v>
      </c>
      <c r="L171" t="str">
        <f t="shared" si="22"/>
        <v>Plat 5</v>
      </c>
      <c r="M171" s="8" t="str">
        <f t="shared" si="14"/>
        <v xml:space="preserve"> 5</v>
      </c>
      <c r="N171" s="4" t="s">
        <v>1372</v>
      </c>
      <c r="O171"/>
    </row>
    <row r="172" spans="2:24" ht="15" customHeight="1" x14ac:dyDescent="0.25">
      <c r="B172" s="3" t="s">
        <v>1409</v>
      </c>
      <c r="C172" s="1"/>
      <c r="D172" s="1" t="s">
        <v>1037</v>
      </c>
      <c r="E172" s="1" t="s">
        <v>1038</v>
      </c>
      <c r="F172" s="2" t="s">
        <v>1074</v>
      </c>
      <c r="G172" s="1" t="s">
        <v>121</v>
      </c>
      <c r="H172" s="12" t="s">
        <v>1040</v>
      </c>
      <c r="I172" s="13" t="str">
        <f t="shared" si="19"/>
        <v>2N</v>
      </c>
      <c r="J172" t="str">
        <f t="shared" si="20"/>
        <v/>
      </c>
      <c r="K172" t="str">
        <f t="shared" si="21"/>
        <v xml:space="preserve">0752 </v>
      </c>
      <c r="L172" t="str">
        <f t="shared" si="22"/>
        <v>Plat 1</v>
      </c>
      <c r="M172" s="8" t="str">
        <f t="shared" si="14"/>
        <v xml:space="preserve"> 1</v>
      </c>
      <c r="N172" s="4" t="s">
        <v>3010</v>
      </c>
      <c r="O172" s="15" t="s">
        <v>3011</v>
      </c>
    </row>
    <row r="173" spans="2:24" ht="15" customHeight="1" x14ac:dyDescent="0.25">
      <c r="B173" s="3" t="s">
        <v>1410</v>
      </c>
      <c r="C173" s="1" t="s">
        <v>1411</v>
      </c>
      <c r="D173" s="2" t="s">
        <v>1058</v>
      </c>
      <c r="E173" s="1" t="s">
        <v>1047</v>
      </c>
      <c r="F173" s="2" t="s">
        <v>1372</v>
      </c>
      <c r="G173" s="1" t="s">
        <v>1412</v>
      </c>
      <c r="H173" s="12" t="s">
        <v>1046</v>
      </c>
      <c r="I173" s="13" t="str">
        <f t="shared" si="19"/>
        <v>1K</v>
      </c>
      <c r="J173" t="str">
        <f t="shared" si="20"/>
        <v>0751½</v>
      </c>
      <c r="K173" t="str">
        <f t="shared" si="21"/>
        <v>0752½</v>
      </c>
      <c r="L173" t="str">
        <f t="shared" si="22"/>
        <v>Plat 9</v>
      </c>
      <c r="M173" s="8" t="str">
        <f t="shared" si="14"/>
        <v xml:space="preserve"> 9</v>
      </c>
      <c r="N173" s="4" t="s">
        <v>1372</v>
      </c>
      <c r="O173"/>
    </row>
    <row r="174" spans="2:24" ht="15" customHeight="1" x14ac:dyDescent="0.25">
      <c r="B174" s="3" t="s">
        <v>98</v>
      </c>
      <c r="C174" s="1" t="s">
        <v>1413</v>
      </c>
      <c r="D174" s="2" t="s">
        <v>1372</v>
      </c>
      <c r="E174" s="1" t="s">
        <v>1156</v>
      </c>
      <c r="F174" s="2" t="s">
        <v>1237</v>
      </c>
      <c r="G174" s="1" t="s">
        <v>1414</v>
      </c>
      <c r="H174" s="12" t="s">
        <v>1046</v>
      </c>
      <c r="I174" s="13" t="str">
        <f t="shared" si="19"/>
        <v>1F</v>
      </c>
      <c r="J174" t="str">
        <f t="shared" si="20"/>
        <v>0753½</v>
      </c>
      <c r="K174" t="str">
        <f t="shared" si="21"/>
        <v>0754½</v>
      </c>
      <c r="L174" t="str">
        <f t="shared" si="22"/>
        <v>Plat10</v>
      </c>
      <c r="M174" s="8" t="str">
        <f t="shared" si="14"/>
        <v>10</v>
      </c>
      <c r="N174" t="s">
        <v>1044</v>
      </c>
      <c r="O174" t="s">
        <v>1473</v>
      </c>
      <c r="P174" t="s">
        <v>3001</v>
      </c>
      <c r="Q174" t="s">
        <v>3043</v>
      </c>
      <c r="R174" t="s">
        <v>3044</v>
      </c>
      <c r="S174" t="s">
        <v>3045</v>
      </c>
      <c r="T174" t="s">
        <v>1237</v>
      </c>
    </row>
    <row r="175" spans="2:24" ht="15" customHeight="1" x14ac:dyDescent="0.25">
      <c r="B175" s="3" t="s">
        <v>1415</v>
      </c>
      <c r="C175" s="1" t="s">
        <v>1416</v>
      </c>
      <c r="D175" s="2" t="s">
        <v>1062</v>
      </c>
      <c r="E175" s="1" t="s">
        <v>1050</v>
      </c>
      <c r="F175" s="1" t="s">
        <v>1051</v>
      </c>
      <c r="G175" s="1"/>
      <c r="H175" s="12" t="s">
        <v>1040</v>
      </c>
      <c r="I175" s="13" t="str">
        <f t="shared" si="19"/>
        <v>2G</v>
      </c>
      <c r="J175" t="str">
        <f t="shared" si="20"/>
        <v xml:space="preserve">0755 </v>
      </c>
      <c r="K175" t="str">
        <f t="shared" si="21"/>
        <v/>
      </c>
      <c r="L175" t="str">
        <f t="shared" si="22"/>
        <v>Plat 1</v>
      </c>
      <c r="M175" s="8" t="str">
        <f t="shared" si="14"/>
        <v xml:space="preserve"> 1</v>
      </c>
      <c r="O175"/>
    </row>
    <row r="176" spans="2:24" ht="15" customHeight="1" x14ac:dyDescent="0.25">
      <c r="B176" s="3" t="s">
        <v>1417</v>
      </c>
      <c r="C176" s="1" t="s">
        <v>1418</v>
      </c>
      <c r="D176" s="2" t="s">
        <v>1044</v>
      </c>
      <c r="E176" s="1" t="s">
        <v>1054</v>
      </c>
      <c r="F176" s="2" t="s">
        <v>1372</v>
      </c>
      <c r="G176" s="1" t="s">
        <v>1419</v>
      </c>
      <c r="H176" s="12" t="s">
        <v>1046</v>
      </c>
      <c r="I176" s="13" t="str">
        <f t="shared" si="19"/>
        <v>2W</v>
      </c>
      <c r="J176" t="str">
        <f t="shared" si="20"/>
        <v>0754½</v>
      </c>
      <c r="K176" t="str">
        <f t="shared" si="21"/>
        <v>0755½</v>
      </c>
      <c r="L176" t="str">
        <f t="shared" si="22"/>
        <v>Plat 5</v>
      </c>
      <c r="M176" s="8" t="str">
        <f t="shared" si="14"/>
        <v xml:space="preserve"> 5</v>
      </c>
      <c r="N176" s="4" t="s">
        <v>1372</v>
      </c>
      <c r="O176"/>
    </row>
    <row r="177" spans="2:24" ht="15" customHeight="1" x14ac:dyDescent="0.25">
      <c r="B177" s="3" t="s">
        <v>101</v>
      </c>
      <c r="C177" s="1" t="s">
        <v>119</v>
      </c>
      <c r="D177" s="2" t="s">
        <v>1309</v>
      </c>
      <c r="E177" s="1" t="s">
        <v>1156</v>
      </c>
      <c r="F177" s="2" t="s">
        <v>1372</v>
      </c>
      <c r="G177" s="1" t="s">
        <v>122</v>
      </c>
      <c r="H177" s="12" t="s">
        <v>1046</v>
      </c>
      <c r="I177" s="13" t="str">
        <f t="shared" si="19"/>
        <v>1F</v>
      </c>
      <c r="J177" t="str">
        <f t="shared" si="20"/>
        <v xml:space="preserve">0755 </v>
      </c>
      <c r="K177" t="str">
        <f t="shared" si="21"/>
        <v xml:space="preserve">0756 </v>
      </c>
      <c r="L177" t="str">
        <f t="shared" si="22"/>
        <v>Plat10</v>
      </c>
      <c r="M177" s="8" t="str">
        <f t="shared" si="14"/>
        <v>10</v>
      </c>
      <c r="N177" s="4" t="s">
        <v>1372</v>
      </c>
      <c r="O177"/>
    </row>
    <row r="178" spans="2:24" ht="15" customHeight="1" x14ac:dyDescent="0.25">
      <c r="B178" s="3" t="s">
        <v>1420</v>
      </c>
      <c r="C178" s="1"/>
      <c r="D178" s="1" t="s">
        <v>1037</v>
      </c>
      <c r="E178" s="1" t="s">
        <v>1061</v>
      </c>
      <c r="F178" s="2" t="s">
        <v>1062</v>
      </c>
      <c r="G178" s="1" t="s">
        <v>122</v>
      </c>
      <c r="H178" s="12" t="s">
        <v>1040</v>
      </c>
      <c r="I178" s="13" t="str">
        <f t="shared" si="19"/>
        <v>2G</v>
      </c>
      <c r="J178" t="str">
        <f t="shared" si="20"/>
        <v/>
      </c>
      <c r="K178" t="str">
        <f t="shared" si="21"/>
        <v xml:space="preserve">0756 </v>
      </c>
      <c r="L178" t="str">
        <f t="shared" si="22"/>
        <v>Plat 2</v>
      </c>
      <c r="M178" s="8" t="str">
        <f t="shared" ref="M178:M231" si="23">RIGHT(L178,2)</f>
        <v xml:space="preserve"> 2</v>
      </c>
      <c r="N178" s="4" t="s">
        <v>3010</v>
      </c>
      <c r="O178" s="15" t="s">
        <v>3011</v>
      </c>
    </row>
    <row r="179" spans="2:24" ht="15" customHeight="1" x14ac:dyDescent="0.25">
      <c r="B179" s="3" t="s">
        <v>46</v>
      </c>
      <c r="C179" s="1" t="s">
        <v>1421</v>
      </c>
      <c r="D179" s="2" t="s">
        <v>1185</v>
      </c>
      <c r="E179" s="1" t="s">
        <v>1047</v>
      </c>
      <c r="F179" s="2" t="s">
        <v>1372</v>
      </c>
      <c r="G179" s="1" t="s">
        <v>1422</v>
      </c>
      <c r="H179" s="12" t="s">
        <v>1046</v>
      </c>
      <c r="I179" s="13" t="str">
        <f t="shared" si="19"/>
        <v>1N</v>
      </c>
      <c r="J179" t="str">
        <f t="shared" si="20"/>
        <v>0757½</v>
      </c>
      <c r="K179" t="str">
        <f t="shared" si="21"/>
        <v>0758½</v>
      </c>
      <c r="L179" t="str">
        <f t="shared" si="22"/>
        <v>Plat 9</v>
      </c>
      <c r="M179" s="8" t="str">
        <f t="shared" si="23"/>
        <v xml:space="preserve"> 9</v>
      </c>
      <c r="N179" s="4" t="s">
        <v>1372</v>
      </c>
      <c r="O179"/>
    </row>
    <row r="180" spans="2:24" ht="15" customHeight="1" x14ac:dyDescent="0.25">
      <c r="B180" s="3" t="s">
        <v>1086</v>
      </c>
      <c r="C180" s="1" t="s">
        <v>1423</v>
      </c>
      <c r="D180" s="2" t="s">
        <v>1372</v>
      </c>
      <c r="E180" s="1" t="s">
        <v>1043</v>
      </c>
      <c r="F180" s="2" t="s">
        <v>1044</v>
      </c>
      <c r="G180" s="1" t="s">
        <v>1424</v>
      </c>
      <c r="H180" s="12" t="s">
        <v>1046</v>
      </c>
      <c r="I180" s="13" t="str">
        <f t="shared" si="19"/>
        <v>2W</v>
      </c>
      <c r="J180" t="str">
        <f t="shared" si="20"/>
        <v>0756½</v>
      </c>
      <c r="K180" t="str">
        <f t="shared" si="21"/>
        <v>0758½</v>
      </c>
      <c r="L180" t="str">
        <f t="shared" si="22"/>
        <v>Plat 8</v>
      </c>
      <c r="M180" s="8" t="str">
        <f t="shared" si="23"/>
        <v xml:space="preserve"> 8</v>
      </c>
      <c r="N180" s="4" t="s">
        <v>3012</v>
      </c>
      <c r="O180" s="4" t="s">
        <v>3013</v>
      </c>
      <c r="P180" s="4" t="s">
        <v>1181</v>
      </c>
      <c r="Q180" s="4" t="s">
        <v>3014</v>
      </c>
      <c r="R180" s="4" t="s">
        <v>3015</v>
      </c>
      <c r="S180" s="4" t="s">
        <v>3016</v>
      </c>
      <c r="T180" s="4" t="s">
        <v>3004</v>
      </c>
      <c r="U180" s="4" t="s">
        <v>1161</v>
      </c>
      <c r="V180" s="4" t="s">
        <v>3017</v>
      </c>
      <c r="W180" s="4" t="s">
        <v>3018</v>
      </c>
      <c r="X180" s="4" t="s">
        <v>1044</v>
      </c>
    </row>
    <row r="181" spans="2:24" ht="15" customHeight="1" x14ac:dyDescent="0.25">
      <c r="B181" s="3" t="s">
        <v>1425</v>
      </c>
      <c r="C181" s="1" t="s">
        <v>1426</v>
      </c>
      <c r="D181" s="2" t="s">
        <v>1074</v>
      </c>
      <c r="E181" s="1" t="s">
        <v>1075</v>
      </c>
      <c r="F181" s="1" t="s">
        <v>1051</v>
      </c>
      <c r="G181" s="1"/>
      <c r="H181" s="12" t="s">
        <v>1040</v>
      </c>
      <c r="I181" s="13" t="str">
        <f t="shared" si="19"/>
        <v>2N</v>
      </c>
      <c r="J181" t="str">
        <f t="shared" si="20"/>
        <v xml:space="preserve">0759 </v>
      </c>
      <c r="K181" t="str">
        <f t="shared" si="21"/>
        <v/>
      </c>
      <c r="L181" t="str">
        <f t="shared" si="22"/>
        <v>Plat 2</v>
      </c>
      <c r="M181" s="8" t="str">
        <f t="shared" si="23"/>
        <v xml:space="preserve"> 2</v>
      </c>
      <c r="O181"/>
    </row>
    <row r="182" spans="2:24" ht="15" customHeight="1" x14ac:dyDescent="0.25">
      <c r="B182" s="3" t="s">
        <v>1427</v>
      </c>
      <c r="C182" s="1"/>
      <c r="D182" s="1" t="s">
        <v>1037</v>
      </c>
      <c r="E182" s="1" t="s">
        <v>1038</v>
      </c>
      <c r="F182" s="2" t="s">
        <v>1039</v>
      </c>
      <c r="G182" s="1" t="s">
        <v>1428</v>
      </c>
      <c r="H182" s="12" t="s">
        <v>1040</v>
      </c>
      <c r="I182" s="13" t="str">
        <f t="shared" si="19"/>
        <v>2Y</v>
      </c>
      <c r="J182" t="str">
        <f t="shared" si="20"/>
        <v/>
      </c>
      <c r="K182" t="str">
        <f t="shared" si="21"/>
        <v xml:space="preserve">0800 </v>
      </c>
      <c r="L182" t="str">
        <f t="shared" si="22"/>
        <v>Plat 1</v>
      </c>
      <c r="M182" s="8" t="str">
        <f t="shared" si="23"/>
        <v xml:space="preserve"> 1</v>
      </c>
      <c r="N182" s="4" t="s">
        <v>3010</v>
      </c>
      <c r="O182" s="15" t="s">
        <v>3011</v>
      </c>
    </row>
    <row r="183" spans="2:24" ht="15" customHeight="1" x14ac:dyDescent="0.25">
      <c r="B183" s="3" t="s">
        <v>1429</v>
      </c>
      <c r="C183" s="1" t="s">
        <v>1430</v>
      </c>
      <c r="D183" s="2" t="s">
        <v>1242</v>
      </c>
      <c r="E183" s="1" t="s">
        <v>1156</v>
      </c>
      <c r="F183" s="2" t="s">
        <v>1372</v>
      </c>
      <c r="G183" s="1" t="s">
        <v>1432</v>
      </c>
      <c r="H183" s="12" t="s">
        <v>1046</v>
      </c>
      <c r="I183" s="13" t="str">
        <f t="shared" si="19"/>
        <v>1Y</v>
      </c>
      <c r="J183" t="str">
        <f t="shared" si="20"/>
        <v xml:space="preserve">0801 </v>
      </c>
      <c r="K183" t="str">
        <f t="shared" si="21"/>
        <v xml:space="preserve">0802 </v>
      </c>
      <c r="L183" t="str">
        <f t="shared" si="22"/>
        <v>Plat10</v>
      </c>
      <c r="M183" s="8" t="str">
        <f t="shared" si="23"/>
        <v>10</v>
      </c>
      <c r="N183" s="4" t="s">
        <v>1372</v>
      </c>
      <c r="O183"/>
    </row>
    <row r="184" spans="2:24" ht="15" customHeight="1" x14ac:dyDescent="0.25">
      <c r="B184" s="3" t="s">
        <v>1431</v>
      </c>
      <c r="C184" s="1" t="s">
        <v>1428</v>
      </c>
      <c r="D184" s="2" t="s">
        <v>1161</v>
      </c>
      <c r="E184" s="1" t="s">
        <v>1054</v>
      </c>
      <c r="F184" s="2" t="s">
        <v>1372</v>
      </c>
      <c r="G184" s="1" t="s">
        <v>1432</v>
      </c>
      <c r="H184" s="12" t="s">
        <v>1046</v>
      </c>
      <c r="I184" s="13" t="str">
        <f t="shared" si="19"/>
        <v>2C</v>
      </c>
      <c r="J184" t="str">
        <f t="shared" si="20"/>
        <v xml:space="preserve">0800 </v>
      </c>
      <c r="K184" t="str">
        <f t="shared" si="21"/>
        <v xml:space="preserve">0802 </v>
      </c>
      <c r="L184" t="str">
        <f t="shared" si="22"/>
        <v>Plat 5</v>
      </c>
      <c r="M184" s="8" t="str">
        <f t="shared" si="23"/>
        <v xml:space="preserve"> 5</v>
      </c>
      <c r="N184" s="4" t="s">
        <v>1372</v>
      </c>
      <c r="O184"/>
    </row>
    <row r="185" spans="2:24" ht="15" customHeight="1" x14ac:dyDescent="0.25">
      <c r="B185" s="3" t="s">
        <v>1433</v>
      </c>
      <c r="C185" s="1" t="s">
        <v>1434</v>
      </c>
      <c r="D185" s="2" t="s">
        <v>1039</v>
      </c>
      <c r="E185" s="1" t="s">
        <v>1050</v>
      </c>
      <c r="F185" s="1" t="s">
        <v>1051</v>
      </c>
      <c r="G185" s="1"/>
      <c r="H185" s="12" t="s">
        <v>1040</v>
      </c>
      <c r="I185" s="13" t="str">
        <f t="shared" si="19"/>
        <v>2L</v>
      </c>
      <c r="J185" t="str">
        <f t="shared" si="20"/>
        <v xml:space="preserve">0804 </v>
      </c>
      <c r="K185" t="str">
        <f t="shared" si="21"/>
        <v/>
      </c>
      <c r="L185" t="str">
        <f t="shared" si="22"/>
        <v>Plat 1</v>
      </c>
      <c r="M185" s="8" t="str">
        <f t="shared" si="23"/>
        <v xml:space="preserve"> 1</v>
      </c>
      <c r="O185"/>
    </row>
    <row r="186" spans="2:24" ht="15" customHeight="1" x14ac:dyDescent="0.25">
      <c r="B186" s="3" t="s">
        <v>1435</v>
      </c>
      <c r="C186" s="1"/>
      <c r="D186" s="1" t="s">
        <v>1037</v>
      </c>
      <c r="E186" s="1" t="s">
        <v>2148</v>
      </c>
      <c r="F186" s="2" t="s">
        <v>1254</v>
      </c>
      <c r="G186" s="1" t="s">
        <v>1436</v>
      </c>
      <c r="H186" s="12" t="s">
        <v>1046</v>
      </c>
      <c r="I186" s="13" t="str">
        <f t="shared" si="19"/>
        <v>2S</v>
      </c>
      <c r="J186" t="str">
        <f t="shared" si="20"/>
        <v/>
      </c>
      <c r="K186" t="str">
        <f t="shared" si="21"/>
        <v xml:space="preserve">0804 </v>
      </c>
      <c r="L186" t="str">
        <f t="shared" si="22"/>
        <v>Plat11</v>
      </c>
      <c r="M186" s="8" t="str">
        <f t="shared" si="23"/>
        <v>11</v>
      </c>
      <c r="N186" t="s">
        <v>2975</v>
      </c>
      <c r="O186" t="s">
        <v>3039</v>
      </c>
      <c r="P186" t="s">
        <v>3040</v>
      </c>
      <c r="Q186" t="s">
        <v>2978</v>
      </c>
      <c r="R186" t="s">
        <v>1298</v>
      </c>
      <c r="S186" t="s">
        <v>2979</v>
      </c>
      <c r="T186" t="s">
        <v>2980</v>
      </c>
      <c r="U186" t="s">
        <v>2981</v>
      </c>
      <c r="V186" t="s">
        <v>2982</v>
      </c>
      <c r="W186" t="s">
        <v>1254</v>
      </c>
    </row>
    <row r="187" spans="2:24" ht="15" customHeight="1" x14ac:dyDescent="0.25">
      <c r="B187" s="3" t="s">
        <v>1437</v>
      </c>
      <c r="C187" s="1" t="s">
        <v>1438</v>
      </c>
      <c r="D187" s="2" t="s">
        <v>1058</v>
      </c>
      <c r="E187" s="1" t="s">
        <v>1047</v>
      </c>
      <c r="F187" s="2" t="s">
        <v>1372</v>
      </c>
      <c r="G187" s="1" t="s">
        <v>1439</v>
      </c>
      <c r="H187" s="12" t="s">
        <v>1046</v>
      </c>
      <c r="I187" s="13" t="str">
        <f t="shared" si="19"/>
        <v>1K</v>
      </c>
      <c r="J187" t="str">
        <f t="shared" si="20"/>
        <v>0803½</v>
      </c>
      <c r="K187" t="str">
        <f t="shared" si="21"/>
        <v>0804½</v>
      </c>
      <c r="L187" t="str">
        <f t="shared" si="22"/>
        <v>Plat 9</v>
      </c>
      <c r="M187" s="8" t="str">
        <f t="shared" si="23"/>
        <v xml:space="preserve"> 9</v>
      </c>
      <c r="N187" s="4" t="s">
        <v>1372</v>
      </c>
      <c r="O187"/>
    </row>
    <row r="188" spans="2:24" ht="15" customHeight="1" x14ac:dyDescent="0.25">
      <c r="B188" s="3" t="s">
        <v>1440</v>
      </c>
      <c r="C188" s="1" t="s">
        <v>1441</v>
      </c>
      <c r="D188" s="2" t="s">
        <v>1372</v>
      </c>
      <c r="E188" s="1" t="s">
        <v>1156</v>
      </c>
      <c r="F188" s="2" t="s">
        <v>1058</v>
      </c>
      <c r="G188" s="1" t="s">
        <v>128</v>
      </c>
      <c r="H188" s="12" t="s">
        <v>1046</v>
      </c>
      <c r="I188" s="13" t="str">
        <f t="shared" si="19"/>
        <v>1K</v>
      </c>
      <c r="J188" t="str">
        <f t="shared" si="20"/>
        <v>0804½</v>
      </c>
      <c r="K188" t="str">
        <f t="shared" si="21"/>
        <v xml:space="preserve">0805 </v>
      </c>
      <c r="L188" t="str">
        <f t="shared" si="22"/>
        <v>Plat10</v>
      </c>
      <c r="M188" s="8" t="str">
        <f t="shared" si="23"/>
        <v>10</v>
      </c>
      <c r="N188" s="4" t="s">
        <v>1044</v>
      </c>
      <c r="O188" s="4" t="s">
        <v>3019</v>
      </c>
      <c r="P188" s="4" t="s">
        <v>3020</v>
      </c>
      <c r="Q188" s="4" t="s">
        <v>3021</v>
      </c>
      <c r="R188" s="4" t="s">
        <v>3022</v>
      </c>
      <c r="S188" s="4" t="s">
        <v>3023</v>
      </c>
      <c r="T188" s="4" t="s">
        <v>3024</v>
      </c>
      <c r="U188" s="4" t="s">
        <v>3025</v>
      </c>
      <c r="V188" s="4" t="s">
        <v>1058</v>
      </c>
    </row>
    <row r="189" spans="2:24" ht="15" customHeight="1" x14ac:dyDescent="0.25">
      <c r="B189" s="3" t="s">
        <v>1442</v>
      </c>
      <c r="C189" s="1" t="s">
        <v>1441</v>
      </c>
      <c r="D189" s="2" t="s">
        <v>1044</v>
      </c>
      <c r="E189" s="1" t="s">
        <v>1054</v>
      </c>
      <c r="F189" s="2" t="s">
        <v>1372</v>
      </c>
      <c r="G189" s="1" t="s">
        <v>1443</v>
      </c>
      <c r="H189" s="12" t="s">
        <v>1046</v>
      </c>
      <c r="I189" s="13" t="str">
        <f t="shared" si="19"/>
        <v>2W</v>
      </c>
      <c r="J189" t="str">
        <f t="shared" si="20"/>
        <v>0804½</v>
      </c>
      <c r="K189" t="str">
        <f t="shared" si="21"/>
        <v>0805½</v>
      </c>
      <c r="L189" t="str">
        <f t="shared" si="22"/>
        <v>Plat 5</v>
      </c>
      <c r="M189" s="8" t="str">
        <f t="shared" si="23"/>
        <v xml:space="preserve"> 5</v>
      </c>
      <c r="N189" s="4" t="s">
        <v>1372</v>
      </c>
      <c r="O189"/>
    </row>
    <row r="190" spans="2:24" ht="15" customHeight="1" x14ac:dyDescent="0.25">
      <c r="B190" s="3" t="s">
        <v>1444</v>
      </c>
      <c r="C190" s="1"/>
      <c r="D190" s="1" t="s">
        <v>1037</v>
      </c>
      <c r="E190" s="1" t="s">
        <v>1061</v>
      </c>
      <c r="F190" s="2" t="s">
        <v>1074</v>
      </c>
      <c r="G190" s="1" t="s">
        <v>1445</v>
      </c>
      <c r="H190" s="12" t="s">
        <v>1040</v>
      </c>
      <c r="I190" s="13" t="str">
        <f t="shared" si="19"/>
        <v>2N</v>
      </c>
      <c r="J190" t="str">
        <f t="shared" si="20"/>
        <v/>
      </c>
      <c r="K190" t="str">
        <f t="shared" si="21"/>
        <v xml:space="preserve">0807 </v>
      </c>
      <c r="L190" t="str">
        <f t="shared" si="22"/>
        <v>Plat 2</v>
      </c>
      <c r="M190" s="8" t="str">
        <f t="shared" si="23"/>
        <v xml:space="preserve"> 2</v>
      </c>
      <c r="N190" s="4" t="s">
        <v>3010</v>
      </c>
      <c r="O190" s="15" t="s">
        <v>3011</v>
      </c>
    </row>
    <row r="191" spans="2:24" ht="15" customHeight="1" x14ac:dyDescent="0.25">
      <c r="B191" s="3" t="s">
        <v>123</v>
      </c>
      <c r="C191" s="1" t="s">
        <v>1446</v>
      </c>
      <c r="D191" s="2" t="s">
        <v>1309</v>
      </c>
      <c r="E191" s="1" t="s">
        <v>1047</v>
      </c>
      <c r="F191" s="2" t="s">
        <v>1372</v>
      </c>
      <c r="G191" s="1" t="s">
        <v>1447</v>
      </c>
      <c r="H191" s="12" t="s">
        <v>1046</v>
      </c>
      <c r="I191" s="13" t="str">
        <f t="shared" si="19"/>
        <v>1F</v>
      </c>
      <c r="J191" t="str">
        <f t="shared" si="20"/>
        <v>0806½</v>
      </c>
      <c r="K191" t="str">
        <f t="shared" si="21"/>
        <v>0807½</v>
      </c>
      <c r="L191" t="str">
        <f t="shared" si="22"/>
        <v>Plat 9</v>
      </c>
      <c r="M191" s="8" t="str">
        <f t="shared" si="23"/>
        <v xml:space="preserve"> 9</v>
      </c>
      <c r="N191" s="4" t="s">
        <v>1372</v>
      </c>
      <c r="O191"/>
    </row>
    <row r="192" spans="2:24" ht="15" customHeight="1" x14ac:dyDescent="0.25">
      <c r="B192" s="3" t="s">
        <v>1101</v>
      </c>
      <c r="C192" s="1" t="s">
        <v>1446</v>
      </c>
      <c r="D192" s="2" t="s">
        <v>1372</v>
      </c>
      <c r="E192" s="1" t="s">
        <v>1043</v>
      </c>
      <c r="F192" s="2" t="s">
        <v>1044</v>
      </c>
      <c r="G192" s="1" t="s">
        <v>1448</v>
      </c>
      <c r="H192" s="12" t="s">
        <v>1046</v>
      </c>
      <c r="I192" s="13" t="str">
        <f t="shared" si="19"/>
        <v>2W</v>
      </c>
      <c r="J192" t="str">
        <f t="shared" si="20"/>
        <v>0806½</v>
      </c>
      <c r="K192" t="str">
        <f t="shared" si="21"/>
        <v>0808½</v>
      </c>
      <c r="L192" t="str">
        <f t="shared" si="22"/>
        <v>Plat 8</v>
      </c>
      <c r="M192" s="8" t="str">
        <f t="shared" si="23"/>
        <v xml:space="preserve"> 8</v>
      </c>
      <c r="N192" s="4" t="s">
        <v>3012</v>
      </c>
      <c r="O192" s="4" t="s">
        <v>3013</v>
      </c>
      <c r="P192" s="4" t="s">
        <v>1181</v>
      </c>
      <c r="Q192" s="4" t="s">
        <v>3014</v>
      </c>
      <c r="R192" s="4" t="s">
        <v>3015</v>
      </c>
      <c r="S192" s="4" t="s">
        <v>3016</v>
      </c>
      <c r="T192" s="4" t="s">
        <v>3004</v>
      </c>
      <c r="U192" s="4" t="s">
        <v>1161</v>
      </c>
      <c r="V192" s="4" t="s">
        <v>3017</v>
      </c>
      <c r="W192" s="4" t="s">
        <v>3018</v>
      </c>
      <c r="X192" s="4" t="s">
        <v>1044</v>
      </c>
    </row>
    <row r="193" spans="2:24" ht="15" customHeight="1" x14ac:dyDescent="0.25">
      <c r="B193" s="3" t="s">
        <v>1449</v>
      </c>
      <c r="C193" s="1" t="s">
        <v>1448</v>
      </c>
      <c r="D193" s="2" t="s">
        <v>1372</v>
      </c>
      <c r="E193" s="1" t="s">
        <v>1156</v>
      </c>
      <c r="F193" s="2" t="s">
        <v>1242</v>
      </c>
      <c r="G193" s="1" t="s">
        <v>1450</v>
      </c>
      <c r="H193" s="12" t="s">
        <v>1046</v>
      </c>
      <c r="I193" s="13" t="str">
        <f t="shared" si="19"/>
        <v>1Y</v>
      </c>
      <c r="J193" t="str">
        <f t="shared" si="20"/>
        <v>0808½</v>
      </c>
      <c r="K193" t="str">
        <f t="shared" si="21"/>
        <v xml:space="preserve">0809 </v>
      </c>
      <c r="L193" t="str">
        <f t="shared" si="22"/>
        <v>Plat10</v>
      </c>
      <c r="M193" s="8" t="str">
        <f t="shared" si="23"/>
        <v>10</v>
      </c>
      <c r="N193" t="s">
        <v>1044</v>
      </c>
      <c r="O193" t="s">
        <v>1473</v>
      </c>
      <c r="P193" t="s">
        <v>3001</v>
      </c>
      <c r="Q193" t="s">
        <v>3002</v>
      </c>
      <c r="R193" t="s">
        <v>3003</v>
      </c>
      <c r="S193" t="s">
        <v>1091</v>
      </c>
      <c r="T193" t="s">
        <v>1242</v>
      </c>
    </row>
    <row r="194" spans="2:24" ht="15" customHeight="1" x14ac:dyDescent="0.25">
      <c r="B194" s="3" t="s">
        <v>50</v>
      </c>
      <c r="C194" s="1" t="s">
        <v>1451</v>
      </c>
      <c r="D194" s="2" t="s">
        <v>1185</v>
      </c>
      <c r="E194" s="1" t="s">
        <v>1047</v>
      </c>
      <c r="F194" s="2" t="s">
        <v>1372</v>
      </c>
      <c r="G194" s="1" t="s">
        <v>1452</v>
      </c>
      <c r="H194" s="12" t="s">
        <v>1046</v>
      </c>
      <c r="I194" s="13" t="str">
        <f t="shared" si="19"/>
        <v>1N</v>
      </c>
      <c r="J194" t="str">
        <f t="shared" si="20"/>
        <v>0808½</v>
      </c>
      <c r="K194" t="str">
        <f t="shared" si="21"/>
        <v>0809½</v>
      </c>
      <c r="L194" t="str">
        <f t="shared" si="22"/>
        <v>Plat 9</v>
      </c>
      <c r="M194" s="8" t="str">
        <f t="shared" si="23"/>
        <v xml:space="preserve"> 9</v>
      </c>
      <c r="N194" s="4" t="s">
        <v>1372</v>
      </c>
      <c r="O194"/>
    </row>
    <row r="195" spans="2:24" ht="15" customHeight="1" x14ac:dyDescent="0.25">
      <c r="B195" s="3" t="s">
        <v>1453</v>
      </c>
      <c r="C195" s="1" t="s">
        <v>1454</v>
      </c>
      <c r="D195" s="2" t="s">
        <v>1079</v>
      </c>
      <c r="E195" s="1" t="s">
        <v>2148</v>
      </c>
      <c r="F195" s="1" t="s">
        <v>1051</v>
      </c>
      <c r="G195" s="1"/>
      <c r="H195" s="12" t="s">
        <v>1046</v>
      </c>
      <c r="I195" s="13" t="str">
        <f t="shared" si="19"/>
        <v>2O</v>
      </c>
      <c r="J195" t="str">
        <f t="shared" si="20"/>
        <v xml:space="preserve">0811 </v>
      </c>
      <c r="K195" t="str">
        <f t="shared" si="21"/>
        <v/>
      </c>
      <c r="L195" t="str">
        <f t="shared" si="22"/>
        <v>Plat11</v>
      </c>
      <c r="M195" s="8" t="str">
        <f t="shared" si="23"/>
        <v>11</v>
      </c>
      <c r="O195"/>
    </row>
    <row r="196" spans="2:24" ht="15" customHeight="1" x14ac:dyDescent="0.25">
      <c r="B196" s="3" t="s">
        <v>1455</v>
      </c>
      <c r="C196" s="1" t="s">
        <v>131</v>
      </c>
      <c r="D196" s="2" t="s">
        <v>1161</v>
      </c>
      <c r="E196" s="1" t="s">
        <v>1054</v>
      </c>
      <c r="F196" s="2" t="s">
        <v>1372</v>
      </c>
      <c r="G196" s="1" t="s">
        <v>134</v>
      </c>
      <c r="H196" s="12" t="s">
        <v>1046</v>
      </c>
      <c r="I196" s="13" t="str">
        <f t="shared" si="19"/>
        <v>2C</v>
      </c>
      <c r="J196" t="str">
        <f t="shared" si="20"/>
        <v xml:space="preserve">0810 </v>
      </c>
      <c r="K196" t="str">
        <f t="shared" si="21"/>
        <v xml:space="preserve">0812 </v>
      </c>
      <c r="L196" t="str">
        <f t="shared" si="22"/>
        <v>Plat 5</v>
      </c>
      <c r="M196" s="8" t="str">
        <f t="shared" si="23"/>
        <v xml:space="preserve"> 5</v>
      </c>
      <c r="N196" s="4" t="s">
        <v>1372</v>
      </c>
      <c r="O196"/>
    </row>
    <row r="197" spans="2:24" ht="15" customHeight="1" x14ac:dyDescent="0.25">
      <c r="B197" s="3" t="s">
        <v>1456</v>
      </c>
      <c r="C197" s="1" t="s">
        <v>1457</v>
      </c>
      <c r="D197" s="2" t="s">
        <v>1074</v>
      </c>
      <c r="E197" s="1" t="s">
        <v>1075</v>
      </c>
      <c r="F197" s="1" t="s">
        <v>1051</v>
      </c>
      <c r="G197" s="1"/>
      <c r="H197" s="12" t="s">
        <v>1040</v>
      </c>
      <c r="I197" s="13" t="str">
        <f t="shared" si="19"/>
        <v>2N</v>
      </c>
      <c r="J197" t="str">
        <f t="shared" si="20"/>
        <v xml:space="preserve">0814 </v>
      </c>
      <c r="K197" t="str">
        <f t="shared" si="21"/>
        <v/>
      </c>
      <c r="L197" t="str">
        <f t="shared" si="22"/>
        <v>Plat 2</v>
      </c>
      <c r="M197" s="8" t="str">
        <f t="shared" si="23"/>
        <v xml:space="preserve"> 2</v>
      </c>
      <c r="O197"/>
    </row>
    <row r="198" spans="2:24" ht="15" customHeight="1" x14ac:dyDescent="0.25">
      <c r="B198" s="3" t="s">
        <v>1458</v>
      </c>
      <c r="C198" s="1" t="s">
        <v>1459</v>
      </c>
      <c r="D198" s="2" t="s">
        <v>1372</v>
      </c>
      <c r="E198" s="1" t="s">
        <v>1156</v>
      </c>
      <c r="F198" s="2" t="s">
        <v>1242</v>
      </c>
      <c r="G198" s="1" t="s">
        <v>132</v>
      </c>
      <c r="H198" s="12" t="s">
        <v>1046</v>
      </c>
      <c r="I198" s="13" t="str">
        <f t="shared" si="19"/>
        <v>1Y</v>
      </c>
      <c r="J198" t="str">
        <f t="shared" si="20"/>
        <v>0813½</v>
      </c>
      <c r="K198" t="str">
        <f t="shared" si="21"/>
        <v xml:space="preserve">0814 </v>
      </c>
      <c r="L198" t="str">
        <f t="shared" si="22"/>
        <v>Plat10</v>
      </c>
      <c r="M198" s="8" t="str">
        <f t="shared" si="23"/>
        <v>10</v>
      </c>
      <c r="N198" t="s">
        <v>1044</v>
      </c>
      <c r="O198" t="s">
        <v>2999</v>
      </c>
      <c r="P198" t="s">
        <v>1473</v>
      </c>
      <c r="Q198" t="s">
        <v>3000</v>
      </c>
      <c r="R198" t="s">
        <v>3001</v>
      </c>
      <c r="S198" t="s">
        <v>1091</v>
      </c>
      <c r="T198" t="s">
        <v>3006</v>
      </c>
      <c r="U198" t="s">
        <v>1242</v>
      </c>
    </row>
    <row r="199" spans="2:24" ht="15" customHeight="1" x14ac:dyDescent="0.25">
      <c r="B199" s="3" t="s">
        <v>1460</v>
      </c>
      <c r="C199" s="1" t="s">
        <v>1459</v>
      </c>
      <c r="D199" s="2" t="s">
        <v>1372</v>
      </c>
      <c r="E199" s="1" t="s">
        <v>1043</v>
      </c>
      <c r="F199" s="2" t="s">
        <v>1161</v>
      </c>
      <c r="G199" s="1" t="s">
        <v>1461</v>
      </c>
      <c r="H199" s="12" t="s">
        <v>1046</v>
      </c>
      <c r="I199" s="13" t="str">
        <f t="shared" si="19"/>
        <v>2C</v>
      </c>
      <c r="J199" t="str">
        <f t="shared" si="20"/>
        <v>0813½</v>
      </c>
      <c r="K199" t="str">
        <f t="shared" si="21"/>
        <v>0814½</v>
      </c>
      <c r="L199" t="str">
        <f t="shared" si="22"/>
        <v>Plat 8</v>
      </c>
      <c r="M199" s="8" t="str">
        <f t="shared" si="23"/>
        <v xml:space="preserve"> 8</v>
      </c>
      <c r="N199" t="s">
        <v>1181</v>
      </c>
      <c r="O199" t="s">
        <v>3004</v>
      </c>
      <c r="P199" t="s">
        <v>1161</v>
      </c>
    </row>
    <row r="200" spans="2:24" ht="15" customHeight="1" x14ac:dyDescent="0.25">
      <c r="B200" s="3" t="s">
        <v>1462</v>
      </c>
      <c r="C200" s="1"/>
      <c r="D200" s="1" t="s">
        <v>1037</v>
      </c>
      <c r="E200" s="1" t="s">
        <v>1038</v>
      </c>
      <c r="F200" s="2" t="s">
        <v>1039</v>
      </c>
      <c r="G200" s="1" t="s">
        <v>1463</v>
      </c>
      <c r="H200" s="12" t="s">
        <v>1040</v>
      </c>
      <c r="I200" s="13" t="str">
        <f t="shared" si="19"/>
        <v>2Y</v>
      </c>
      <c r="J200" t="str">
        <f t="shared" si="20"/>
        <v/>
      </c>
      <c r="K200" t="str">
        <f t="shared" si="21"/>
        <v xml:space="preserve">0815 </v>
      </c>
      <c r="L200" t="str">
        <f t="shared" si="22"/>
        <v>Plat 1</v>
      </c>
      <c r="M200" s="8" t="str">
        <f t="shared" si="23"/>
        <v xml:space="preserve"> 1</v>
      </c>
      <c r="N200" s="4" t="s">
        <v>3010</v>
      </c>
      <c r="O200" s="15" t="s">
        <v>3011</v>
      </c>
    </row>
    <row r="201" spans="2:24" ht="15" customHeight="1" x14ac:dyDescent="0.25">
      <c r="B201" s="3" t="s">
        <v>1464</v>
      </c>
      <c r="C201" s="1" t="s">
        <v>1465</v>
      </c>
      <c r="D201" s="2" t="s">
        <v>1044</v>
      </c>
      <c r="E201" s="1" t="s">
        <v>1054</v>
      </c>
      <c r="F201" s="2" t="s">
        <v>1372</v>
      </c>
      <c r="G201" s="1" t="s">
        <v>1466</v>
      </c>
      <c r="H201" s="12" t="s">
        <v>1046</v>
      </c>
      <c r="I201" s="13" t="str">
        <f t="shared" ref="I201:I254" si="24">LEFT(B201,2)</f>
        <v>2W</v>
      </c>
      <c r="J201" t="str">
        <f t="shared" ref="J201:J254" si="25">LEFT(C201,5)</f>
        <v>0814½</v>
      </c>
      <c r="K201" t="str">
        <f t="shared" ref="K201:K254" si="26">LEFT(G201,5)</f>
        <v>0815½</v>
      </c>
      <c r="L201" t="str">
        <f t="shared" ref="L201:L254" si="27">LEFT(E201,6)</f>
        <v>Plat 5</v>
      </c>
      <c r="M201" s="8" t="str">
        <f t="shared" si="23"/>
        <v xml:space="preserve"> 5</v>
      </c>
      <c r="N201" s="4" t="s">
        <v>1372</v>
      </c>
      <c r="O201"/>
    </row>
    <row r="202" spans="2:24" ht="15" customHeight="1" x14ac:dyDescent="0.25">
      <c r="B202" s="3" t="s">
        <v>1467</v>
      </c>
      <c r="C202" s="1" t="s">
        <v>1465</v>
      </c>
      <c r="D202" s="2" t="s">
        <v>1058</v>
      </c>
      <c r="E202" s="1" t="s">
        <v>1047</v>
      </c>
      <c r="F202" s="2" t="s">
        <v>1372</v>
      </c>
      <c r="G202" s="1" t="s">
        <v>1468</v>
      </c>
      <c r="H202" s="12" t="s">
        <v>1046</v>
      </c>
      <c r="I202" s="13" t="str">
        <f t="shared" si="24"/>
        <v>1K</v>
      </c>
      <c r="J202" t="str">
        <f t="shared" si="25"/>
        <v>0814½</v>
      </c>
      <c r="K202" t="str">
        <f t="shared" si="26"/>
        <v>0815½</v>
      </c>
      <c r="L202" t="str">
        <f t="shared" si="27"/>
        <v>Plat 9</v>
      </c>
      <c r="M202" s="8" t="str">
        <f t="shared" si="23"/>
        <v xml:space="preserve"> 9</v>
      </c>
      <c r="N202" s="4" t="s">
        <v>1372</v>
      </c>
      <c r="O202"/>
    </row>
    <row r="203" spans="2:24" ht="15" customHeight="1" x14ac:dyDescent="0.25">
      <c r="B203" s="3" t="s">
        <v>1111</v>
      </c>
      <c r="C203" s="1" t="s">
        <v>1469</v>
      </c>
      <c r="D203" s="2" t="s">
        <v>1372</v>
      </c>
      <c r="E203" s="1" t="s">
        <v>1043</v>
      </c>
      <c r="F203" s="2" t="s">
        <v>1044</v>
      </c>
      <c r="G203" s="1" t="s">
        <v>1470</v>
      </c>
      <c r="H203" s="12" t="s">
        <v>1046</v>
      </c>
      <c r="I203" s="13" t="str">
        <f t="shared" si="24"/>
        <v>2W</v>
      </c>
      <c r="J203" t="str">
        <f t="shared" si="25"/>
        <v>0816½</v>
      </c>
      <c r="K203" t="str">
        <f t="shared" si="26"/>
        <v>0818½</v>
      </c>
      <c r="L203" t="str">
        <f t="shared" si="27"/>
        <v>Plat 8</v>
      </c>
      <c r="M203" s="8" t="str">
        <f t="shared" si="23"/>
        <v xml:space="preserve"> 8</v>
      </c>
      <c r="N203" s="4" t="s">
        <v>3012</v>
      </c>
      <c r="O203" s="4" t="s">
        <v>3013</v>
      </c>
      <c r="P203" s="4" t="s">
        <v>1181</v>
      </c>
      <c r="Q203" s="4" t="s">
        <v>3014</v>
      </c>
      <c r="R203" s="4" t="s">
        <v>3015</v>
      </c>
      <c r="S203" s="4" t="s">
        <v>3016</v>
      </c>
      <c r="T203" s="4" t="s">
        <v>3004</v>
      </c>
      <c r="U203" s="4" t="s">
        <v>1161</v>
      </c>
      <c r="V203" s="4" t="s">
        <v>3017</v>
      </c>
      <c r="W203" s="4" t="s">
        <v>3018</v>
      </c>
      <c r="X203" s="4" t="s">
        <v>1044</v>
      </c>
    </row>
    <row r="204" spans="2:24" ht="15" customHeight="1" x14ac:dyDescent="0.25">
      <c r="B204" s="3" t="s">
        <v>1471</v>
      </c>
      <c r="C204" s="1" t="s">
        <v>1472</v>
      </c>
      <c r="D204" s="2" t="s">
        <v>1161</v>
      </c>
      <c r="E204" s="1" t="s">
        <v>1054</v>
      </c>
      <c r="F204" s="2" t="s">
        <v>1372</v>
      </c>
      <c r="G204" s="1" t="s">
        <v>1470</v>
      </c>
      <c r="H204" s="12" t="s">
        <v>1046</v>
      </c>
      <c r="I204" s="13" t="str">
        <f t="shared" si="24"/>
        <v>2C</v>
      </c>
      <c r="J204" t="str">
        <f t="shared" si="25"/>
        <v>0817½</v>
      </c>
      <c r="K204" t="str">
        <f t="shared" si="26"/>
        <v>0818½</v>
      </c>
      <c r="L204" t="str">
        <f t="shared" si="27"/>
        <v>Plat 5</v>
      </c>
      <c r="M204" s="8" t="str">
        <f t="shared" si="23"/>
        <v xml:space="preserve"> 5</v>
      </c>
      <c r="N204" s="4" t="s">
        <v>1372</v>
      </c>
      <c r="O204"/>
    </row>
    <row r="205" spans="2:24" ht="15" customHeight="1" x14ac:dyDescent="0.25">
      <c r="B205" s="3" t="s">
        <v>151</v>
      </c>
      <c r="C205" s="1" t="s">
        <v>1472</v>
      </c>
      <c r="D205" s="2" t="s">
        <v>1473</v>
      </c>
      <c r="E205" s="1" t="s">
        <v>1156</v>
      </c>
      <c r="F205" s="2" t="s">
        <v>1372</v>
      </c>
      <c r="G205" s="1" t="s">
        <v>1474</v>
      </c>
      <c r="H205" s="12" t="s">
        <v>1046</v>
      </c>
      <c r="I205" s="13" t="str">
        <f t="shared" si="24"/>
        <v>1F</v>
      </c>
      <c r="J205" t="str">
        <f t="shared" si="25"/>
        <v>0817½</v>
      </c>
      <c r="K205" t="str">
        <f t="shared" si="26"/>
        <v>0818½</v>
      </c>
      <c r="L205" t="str">
        <f t="shared" si="27"/>
        <v>Plat10</v>
      </c>
      <c r="M205" s="8" t="str">
        <f t="shared" si="23"/>
        <v>10</v>
      </c>
      <c r="N205" s="4" t="s">
        <v>1372</v>
      </c>
      <c r="O205"/>
    </row>
    <row r="206" spans="2:24" ht="15" customHeight="1" x14ac:dyDescent="0.25">
      <c r="B206" s="3" t="s">
        <v>1475</v>
      </c>
      <c r="C206" s="1" t="s">
        <v>1476</v>
      </c>
      <c r="D206" s="2" t="s">
        <v>1039</v>
      </c>
      <c r="E206" s="1" t="s">
        <v>1050</v>
      </c>
      <c r="F206" s="1" t="s">
        <v>1051</v>
      </c>
      <c r="G206" s="1"/>
      <c r="H206" s="12" t="s">
        <v>1040</v>
      </c>
      <c r="I206" s="13" t="str">
        <f t="shared" si="24"/>
        <v>2L</v>
      </c>
      <c r="J206" t="str">
        <f t="shared" si="25"/>
        <v xml:space="preserve">0819 </v>
      </c>
      <c r="K206" t="str">
        <f t="shared" si="26"/>
        <v/>
      </c>
      <c r="L206" t="str">
        <f t="shared" si="27"/>
        <v>Plat 1</v>
      </c>
      <c r="M206" s="8" t="str">
        <f t="shared" si="23"/>
        <v xml:space="preserve"> 1</v>
      </c>
      <c r="O206"/>
    </row>
    <row r="207" spans="2:24" ht="15" customHeight="1" x14ac:dyDescent="0.25">
      <c r="B207" s="3" t="s">
        <v>1477</v>
      </c>
      <c r="C207" s="1" t="s">
        <v>1478</v>
      </c>
      <c r="D207" s="2" t="s">
        <v>1372</v>
      </c>
      <c r="E207" s="1" t="s">
        <v>1156</v>
      </c>
      <c r="F207" s="2" t="s">
        <v>1058</v>
      </c>
      <c r="G207" s="1" t="s">
        <v>138</v>
      </c>
      <c r="H207" s="12" t="s">
        <v>1046</v>
      </c>
      <c r="I207" s="13" t="str">
        <f t="shared" si="24"/>
        <v>1K</v>
      </c>
      <c r="J207" t="str">
        <f t="shared" si="25"/>
        <v>0820½</v>
      </c>
      <c r="K207" t="str">
        <f t="shared" si="26"/>
        <v xml:space="preserve">0821 </v>
      </c>
      <c r="L207" t="str">
        <f t="shared" si="27"/>
        <v>Plat10</v>
      </c>
      <c r="M207" s="8" t="str">
        <f t="shared" si="23"/>
        <v>10</v>
      </c>
      <c r="N207" s="4" t="s">
        <v>1044</v>
      </c>
      <c r="O207" s="4" t="s">
        <v>3019</v>
      </c>
      <c r="P207" s="4" t="s">
        <v>3020</v>
      </c>
      <c r="Q207" s="4" t="s">
        <v>3021</v>
      </c>
      <c r="R207" s="4" t="s">
        <v>3022</v>
      </c>
      <c r="S207" s="4" t="s">
        <v>3023</v>
      </c>
      <c r="T207" s="4" t="s">
        <v>3024</v>
      </c>
      <c r="U207" s="4" t="s">
        <v>3025</v>
      </c>
      <c r="V207" s="4" t="s">
        <v>1058</v>
      </c>
    </row>
    <row r="208" spans="2:24" ht="15" customHeight="1" x14ac:dyDescent="0.25">
      <c r="B208" s="3" t="s">
        <v>169</v>
      </c>
      <c r="C208" s="1" t="s">
        <v>1479</v>
      </c>
      <c r="D208" s="2" t="s">
        <v>1237</v>
      </c>
      <c r="E208" s="1" t="s">
        <v>1047</v>
      </c>
      <c r="F208" s="2" t="s">
        <v>1372</v>
      </c>
      <c r="G208" s="1" t="s">
        <v>138</v>
      </c>
      <c r="H208" s="12" t="s">
        <v>1046</v>
      </c>
      <c r="I208" s="13" t="str">
        <f t="shared" si="24"/>
        <v>1F</v>
      </c>
      <c r="J208" t="str">
        <f t="shared" si="25"/>
        <v>0819½</v>
      </c>
      <c r="K208" t="str">
        <f t="shared" si="26"/>
        <v xml:space="preserve">0821 </v>
      </c>
      <c r="L208" t="str">
        <f t="shared" si="27"/>
        <v>Plat 9</v>
      </c>
      <c r="M208" s="8" t="str">
        <f t="shared" si="23"/>
        <v xml:space="preserve"> 9</v>
      </c>
      <c r="N208" s="4" t="s">
        <v>1372</v>
      </c>
      <c r="O208"/>
    </row>
    <row r="209" spans="2:24" ht="15" customHeight="1" x14ac:dyDescent="0.25">
      <c r="B209" s="3" t="s">
        <v>1480</v>
      </c>
      <c r="C209" s="1" t="s">
        <v>1478</v>
      </c>
      <c r="D209" s="2" t="s">
        <v>1044</v>
      </c>
      <c r="E209" s="1" t="s">
        <v>1054</v>
      </c>
      <c r="F209" s="2" t="s">
        <v>1372</v>
      </c>
      <c r="G209" s="1" t="s">
        <v>1481</v>
      </c>
      <c r="H209" s="12" t="s">
        <v>1046</v>
      </c>
      <c r="I209" s="13" t="str">
        <f t="shared" si="24"/>
        <v>2W</v>
      </c>
      <c r="J209" t="str">
        <f t="shared" si="25"/>
        <v>0820½</v>
      </c>
      <c r="K209" t="str">
        <f t="shared" si="26"/>
        <v>0821½</v>
      </c>
      <c r="L209" t="str">
        <f t="shared" si="27"/>
        <v>Plat 5</v>
      </c>
      <c r="M209" s="8" t="str">
        <f t="shared" si="23"/>
        <v xml:space="preserve"> 5</v>
      </c>
      <c r="N209" s="4" t="s">
        <v>1372</v>
      </c>
      <c r="O209"/>
    </row>
    <row r="210" spans="2:24" ht="15" customHeight="1" x14ac:dyDescent="0.25">
      <c r="B210" s="3" t="s">
        <v>1482</v>
      </c>
      <c r="C210" s="1"/>
      <c r="D210" s="1" t="s">
        <v>1037</v>
      </c>
      <c r="E210" s="1" t="s">
        <v>1061</v>
      </c>
      <c r="F210" s="2" t="s">
        <v>1074</v>
      </c>
      <c r="G210" s="1" t="s">
        <v>1483</v>
      </c>
      <c r="H210" s="12" t="s">
        <v>1040</v>
      </c>
      <c r="I210" s="13" t="str">
        <f t="shared" si="24"/>
        <v>2N</v>
      </c>
      <c r="J210" t="str">
        <f t="shared" si="25"/>
        <v/>
      </c>
      <c r="K210" t="str">
        <f t="shared" si="26"/>
        <v xml:space="preserve">0822 </v>
      </c>
      <c r="L210" t="str">
        <f t="shared" si="27"/>
        <v>Plat 2</v>
      </c>
      <c r="M210" s="8" t="str">
        <f t="shared" si="23"/>
        <v xml:space="preserve"> 2</v>
      </c>
      <c r="N210" s="4" t="s">
        <v>3010</v>
      </c>
      <c r="O210" s="15" t="s">
        <v>3011</v>
      </c>
    </row>
    <row r="211" spans="2:24" ht="15" customHeight="1" x14ac:dyDescent="0.25">
      <c r="B211" s="3" t="s">
        <v>1484</v>
      </c>
      <c r="C211" s="1" t="s">
        <v>141</v>
      </c>
      <c r="D211" s="2" t="s">
        <v>1058</v>
      </c>
      <c r="E211" s="1" t="s">
        <v>1156</v>
      </c>
      <c r="F211" s="2" t="s">
        <v>1372</v>
      </c>
      <c r="G211" s="1" t="s">
        <v>143</v>
      </c>
      <c r="H211" s="12" t="s">
        <v>1046</v>
      </c>
      <c r="I211" s="13" t="str">
        <f t="shared" si="24"/>
        <v>1K</v>
      </c>
      <c r="J211" t="str">
        <f t="shared" si="25"/>
        <v xml:space="preserve">0823 </v>
      </c>
      <c r="K211" t="str">
        <f t="shared" si="26"/>
        <v xml:space="preserve">0824 </v>
      </c>
      <c r="L211" t="str">
        <f t="shared" si="27"/>
        <v>Plat10</v>
      </c>
      <c r="M211" s="8" t="str">
        <f t="shared" si="23"/>
        <v>10</v>
      </c>
      <c r="N211" s="4" t="s">
        <v>1372</v>
      </c>
      <c r="O211"/>
    </row>
    <row r="212" spans="2:24" ht="15" customHeight="1" x14ac:dyDescent="0.25">
      <c r="B212" s="3" t="s">
        <v>1485</v>
      </c>
      <c r="C212" s="1" t="s">
        <v>1486</v>
      </c>
      <c r="D212" s="2" t="s">
        <v>1372</v>
      </c>
      <c r="E212" s="1" t="s">
        <v>1043</v>
      </c>
      <c r="F212" s="2" t="s">
        <v>1181</v>
      </c>
      <c r="G212" s="1" t="s">
        <v>1487</v>
      </c>
      <c r="H212" s="12" t="s">
        <v>1046</v>
      </c>
      <c r="I212" s="13" t="str">
        <f t="shared" si="24"/>
        <v>2C</v>
      </c>
      <c r="J212" t="str">
        <f t="shared" si="25"/>
        <v>0823½</v>
      </c>
      <c r="K212" t="str">
        <f t="shared" si="26"/>
        <v>0824½</v>
      </c>
      <c r="L212" t="str">
        <f t="shared" si="27"/>
        <v>Plat 8</v>
      </c>
      <c r="M212" s="8" t="str">
        <f t="shared" si="23"/>
        <v xml:space="preserve"> 8</v>
      </c>
      <c r="N212" t="s">
        <v>1181</v>
      </c>
      <c r="O212"/>
    </row>
    <row r="213" spans="2:24" ht="15" customHeight="1" x14ac:dyDescent="0.25">
      <c r="B213" s="3" t="s">
        <v>1488</v>
      </c>
      <c r="C213" s="1" t="s">
        <v>1489</v>
      </c>
      <c r="D213" s="2" t="s">
        <v>1062</v>
      </c>
      <c r="E213" s="1" t="s">
        <v>1075</v>
      </c>
      <c r="F213" s="1" t="s">
        <v>1051</v>
      </c>
      <c r="G213" s="1"/>
      <c r="H213" s="12" t="s">
        <v>1040</v>
      </c>
      <c r="I213" s="13" t="str">
        <f t="shared" si="24"/>
        <v>2G</v>
      </c>
      <c r="J213" t="str">
        <f t="shared" si="25"/>
        <v xml:space="preserve">0825 </v>
      </c>
      <c r="K213" t="str">
        <f t="shared" si="26"/>
        <v/>
      </c>
      <c r="L213" t="str">
        <f t="shared" si="27"/>
        <v>Plat 2</v>
      </c>
      <c r="M213" s="8" t="str">
        <f t="shared" si="23"/>
        <v xml:space="preserve"> 2</v>
      </c>
      <c r="O213"/>
    </row>
    <row r="214" spans="2:24" ht="15" customHeight="1" x14ac:dyDescent="0.25">
      <c r="B214" s="3" t="s">
        <v>44</v>
      </c>
      <c r="C214" s="1" t="s">
        <v>1490</v>
      </c>
      <c r="D214" s="2" t="s">
        <v>1372</v>
      </c>
      <c r="E214" s="1" t="s">
        <v>1156</v>
      </c>
      <c r="F214" s="2" t="s">
        <v>1185</v>
      </c>
      <c r="G214" s="1" t="s">
        <v>1491</v>
      </c>
      <c r="H214" s="12" t="s">
        <v>1046</v>
      </c>
      <c r="I214" s="13" t="str">
        <f t="shared" si="24"/>
        <v>1N</v>
      </c>
      <c r="J214" t="str">
        <f t="shared" si="25"/>
        <v>0824½</v>
      </c>
      <c r="K214" t="str">
        <f t="shared" si="26"/>
        <v xml:space="preserve">0825 </v>
      </c>
      <c r="L214" t="str">
        <f t="shared" si="27"/>
        <v>Plat10</v>
      </c>
      <c r="M214" s="8" t="str">
        <f t="shared" si="23"/>
        <v>10</v>
      </c>
      <c r="N214" t="s">
        <v>1044</v>
      </c>
      <c r="O214" t="s">
        <v>2999</v>
      </c>
      <c r="P214" t="s">
        <v>1473</v>
      </c>
      <c r="Q214" t="s">
        <v>3001</v>
      </c>
      <c r="R214" t="s">
        <v>3003</v>
      </c>
      <c r="S214" t="s">
        <v>1091</v>
      </c>
      <c r="T214" t="s">
        <v>3031</v>
      </c>
      <c r="U214" t="s">
        <v>3046</v>
      </c>
      <c r="V214" t="s">
        <v>3047</v>
      </c>
    </row>
    <row r="215" spans="2:24" ht="15" customHeight="1" x14ac:dyDescent="0.25">
      <c r="B215" s="3" t="s">
        <v>1492</v>
      </c>
      <c r="C215" s="1"/>
      <c r="D215" s="1" t="s">
        <v>1037</v>
      </c>
      <c r="E215" s="1" t="s">
        <v>1038</v>
      </c>
      <c r="F215" s="2" t="s">
        <v>1062</v>
      </c>
      <c r="G215" s="1" t="s">
        <v>146</v>
      </c>
      <c r="H215" s="12" t="s">
        <v>1040</v>
      </c>
      <c r="I215" s="13" t="str">
        <f t="shared" si="24"/>
        <v>2G</v>
      </c>
      <c r="J215" t="str">
        <f t="shared" si="25"/>
        <v/>
      </c>
      <c r="K215" t="str">
        <f t="shared" si="26"/>
        <v xml:space="preserve">0826 </v>
      </c>
      <c r="L215" t="str">
        <f t="shared" si="27"/>
        <v>Plat 1</v>
      </c>
      <c r="M215" s="8" t="str">
        <f t="shared" si="23"/>
        <v xml:space="preserve"> 1</v>
      </c>
      <c r="N215" s="4" t="s">
        <v>3010</v>
      </c>
      <c r="O215" s="15" t="s">
        <v>3011</v>
      </c>
    </row>
    <row r="216" spans="2:24" ht="15" customHeight="1" x14ac:dyDescent="0.25">
      <c r="B216" s="3" t="s">
        <v>1493</v>
      </c>
      <c r="C216" s="1" t="s">
        <v>1491</v>
      </c>
      <c r="D216" s="2" t="s">
        <v>1185</v>
      </c>
      <c r="E216" s="1" t="s">
        <v>1047</v>
      </c>
      <c r="F216" s="2" t="s">
        <v>1372</v>
      </c>
      <c r="G216" s="1" t="s">
        <v>1494</v>
      </c>
      <c r="H216" s="12" t="s">
        <v>1046</v>
      </c>
      <c r="I216" s="13" t="str">
        <f t="shared" si="24"/>
        <v>1N</v>
      </c>
      <c r="J216" t="str">
        <f t="shared" si="25"/>
        <v xml:space="preserve">0825 </v>
      </c>
      <c r="K216" t="str">
        <f t="shared" si="26"/>
        <v>0826½</v>
      </c>
      <c r="L216" t="str">
        <f t="shared" si="27"/>
        <v>Plat 9</v>
      </c>
      <c r="M216" s="8" t="str">
        <f t="shared" si="23"/>
        <v xml:space="preserve"> 9</v>
      </c>
      <c r="N216" s="4" t="s">
        <v>1372</v>
      </c>
      <c r="O216"/>
    </row>
    <row r="217" spans="2:24" ht="15" customHeight="1" x14ac:dyDescent="0.25">
      <c r="B217" s="3" t="s">
        <v>1495</v>
      </c>
      <c r="C217" s="1" t="s">
        <v>146</v>
      </c>
      <c r="D217" s="2" t="s">
        <v>1161</v>
      </c>
      <c r="E217" s="1" t="s">
        <v>1054</v>
      </c>
      <c r="F217" s="2" t="s">
        <v>1372</v>
      </c>
      <c r="G217" s="1" t="s">
        <v>144</v>
      </c>
      <c r="H217" s="12" t="s">
        <v>1046</v>
      </c>
      <c r="I217" s="13" t="str">
        <f t="shared" si="24"/>
        <v>2C</v>
      </c>
      <c r="J217" t="str">
        <f t="shared" si="25"/>
        <v xml:space="preserve">0826 </v>
      </c>
      <c r="K217" t="str">
        <f t="shared" si="26"/>
        <v xml:space="preserve">0828 </v>
      </c>
      <c r="L217" t="str">
        <f t="shared" si="27"/>
        <v>Plat 5</v>
      </c>
      <c r="M217" s="8" t="str">
        <f t="shared" si="23"/>
        <v xml:space="preserve"> 5</v>
      </c>
      <c r="N217" s="4" t="s">
        <v>1372</v>
      </c>
      <c r="O217"/>
    </row>
    <row r="218" spans="2:24" ht="15" customHeight="1" x14ac:dyDescent="0.25">
      <c r="B218" s="3" t="s">
        <v>1125</v>
      </c>
      <c r="C218" s="1" t="s">
        <v>1496</v>
      </c>
      <c r="D218" s="2" t="s">
        <v>1372</v>
      </c>
      <c r="E218" s="1" t="s">
        <v>1043</v>
      </c>
      <c r="F218" s="2" t="s">
        <v>1044</v>
      </c>
      <c r="G218" s="1" t="s">
        <v>1497</v>
      </c>
      <c r="H218" s="12" t="s">
        <v>1046</v>
      </c>
      <c r="I218" s="13" t="str">
        <f t="shared" si="24"/>
        <v>2W</v>
      </c>
      <c r="J218" t="str">
        <f t="shared" si="25"/>
        <v>0826½</v>
      </c>
      <c r="K218" t="str">
        <f t="shared" si="26"/>
        <v>0828½</v>
      </c>
      <c r="L218" t="str">
        <f t="shared" si="27"/>
        <v>Plat 8</v>
      </c>
      <c r="M218" s="8" t="str">
        <f t="shared" si="23"/>
        <v xml:space="preserve"> 8</v>
      </c>
      <c r="N218" s="4" t="s">
        <v>3012</v>
      </c>
      <c r="O218" s="4" t="s">
        <v>3013</v>
      </c>
      <c r="P218" s="4" t="s">
        <v>1181</v>
      </c>
      <c r="Q218" s="4" t="s">
        <v>3014</v>
      </c>
      <c r="R218" s="4" t="s">
        <v>3015</v>
      </c>
      <c r="S218" s="4" t="s">
        <v>3016</v>
      </c>
      <c r="T218" s="4" t="s">
        <v>3004</v>
      </c>
      <c r="U218" s="4" t="s">
        <v>1161</v>
      </c>
      <c r="V218" s="4" t="s">
        <v>3017</v>
      </c>
      <c r="W218" s="4" t="s">
        <v>3018</v>
      </c>
      <c r="X218" s="4" t="s">
        <v>1044</v>
      </c>
    </row>
    <row r="219" spans="2:24" ht="15" customHeight="1" x14ac:dyDescent="0.25">
      <c r="B219" s="3" t="s">
        <v>1498</v>
      </c>
      <c r="C219" s="1" t="s">
        <v>1499</v>
      </c>
      <c r="D219" s="2" t="s">
        <v>1074</v>
      </c>
      <c r="E219" s="1" t="s">
        <v>1050</v>
      </c>
      <c r="F219" s="1" t="s">
        <v>1051</v>
      </c>
      <c r="G219" s="1"/>
      <c r="H219" s="12" t="s">
        <v>1040</v>
      </c>
      <c r="I219" s="13" t="str">
        <f t="shared" si="24"/>
        <v>2N</v>
      </c>
      <c r="J219" t="str">
        <f t="shared" si="25"/>
        <v xml:space="preserve">0829 </v>
      </c>
      <c r="K219" t="str">
        <f t="shared" si="26"/>
        <v/>
      </c>
      <c r="L219" t="str">
        <f t="shared" si="27"/>
        <v>Plat 1</v>
      </c>
      <c r="M219" s="8" t="str">
        <f t="shared" si="23"/>
        <v xml:space="preserve"> 1</v>
      </c>
      <c r="O219"/>
    </row>
    <row r="220" spans="2:24" ht="15" customHeight="1" x14ac:dyDescent="0.25">
      <c r="B220" s="3" t="s">
        <v>1500</v>
      </c>
      <c r="C220" s="1" t="s">
        <v>144</v>
      </c>
      <c r="D220" s="2" t="s">
        <v>1501</v>
      </c>
      <c r="E220" s="1" t="s">
        <v>1156</v>
      </c>
      <c r="F220" s="2" t="s">
        <v>1372</v>
      </c>
      <c r="G220" s="1" t="s">
        <v>1575</v>
      </c>
      <c r="H220" s="12" t="s">
        <v>1046</v>
      </c>
      <c r="I220" s="13" t="str">
        <f t="shared" si="24"/>
        <v>1P</v>
      </c>
      <c r="J220" t="str">
        <f t="shared" si="25"/>
        <v xml:space="preserve">0828 </v>
      </c>
      <c r="K220" t="str">
        <f t="shared" si="26"/>
        <v xml:space="preserve">0829 </v>
      </c>
      <c r="L220" t="str">
        <f t="shared" si="27"/>
        <v>Plat10</v>
      </c>
      <c r="M220" s="8" t="str">
        <f t="shared" si="23"/>
        <v>10</v>
      </c>
      <c r="N220" s="4" t="s">
        <v>1372</v>
      </c>
      <c r="O220"/>
    </row>
    <row r="221" spans="2:24" ht="15" customHeight="1" x14ac:dyDescent="0.25">
      <c r="B221" s="3" t="s">
        <v>1502</v>
      </c>
      <c r="C221" s="1"/>
      <c r="D221" s="1" t="s">
        <v>1037</v>
      </c>
      <c r="E221" s="1" t="s">
        <v>1061</v>
      </c>
      <c r="F221" s="2" t="s">
        <v>1039</v>
      </c>
      <c r="G221" s="1" t="s">
        <v>147</v>
      </c>
      <c r="H221" s="12" t="s">
        <v>1040</v>
      </c>
      <c r="I221" s="13" t="str">
        <f t="shared" si="24"/>
        <v>2Y</v>
      </c>
      <c r="J221" t="str">
        <f t="shared" si="25"/>
        <v/>
      </c>
      <c r="K221" t="str">
        <f t="shared" si="26"/>
        <v xml:space="preserve">0830 </v>
      </c>
      <c r="L221" t="str">
        <f t="shared" si="27"/>
        <v>Plat 2</v>
      </c>
      <c r="M221" s="8" t="str">
        <f t="shared" si="23"/>
        <v xml:space="preserve"> 2</v>
      </c>
      <c r="N221" s="4" t="s">
        <v>3010</v>
      </c>
      <c r="O221" s="15" t="s">
        <v>3011</v>
      </c>
    </row>
    <row r="222" spans="2:24" ht="15" customHeight="1" x14ac:dyDescent="0.25">
      <c r="B222" s="3" t="s">
        <v>1503</v>
      </c>
      <c r="C222" s="1" t="s">
        <v>147</v>
      </c>
      <c r="D222" s="2" t="s">
        <v>1058</v>
      </c>
      <c r="E222" s="1" t="s">
        <v>1054</v>
      </c>
      <c r="F222" s="2" t="s">
        <v>1372</v>
      </c>
      <c r="G222" s="1" t="s">
        <v>149</v>
      </c>
      <c r="H222" s="12" t="s">
        <v>1046</v>
      </c>
      <c r="I222" s="13" t="str">
        <f t="shared" si="24"/>
        <v>2K</v>
      </c>
      <c r="J222" t="str">
        <f t="shared" si="25"/>
        <v xml:space="preserve">0830 </v>
      </c>
      <c r="K222" t="str">
        <f t="shared" si="26"/>
        <v xml:space="preserve">0831 </v>
      </c>
      <c r="L222" t="str">
        <f t="shared" si="27"/>
        <v>Plat 5</v>
      </c>
      <c r="M222" s="8" t="str">
        <f t="shared" si="23"/>
        <v xml:space="preserve"> 5</v>
      </c>
      <c r="N222" s="4" t="s">
        <v>1372</v>
      </c>
      <c r="O222"/>
    </row>
    <row r="223" spans="2:24" ht="15" customHeight="1" x14ac:dyDescent="0.25">
      <c r="B223" s="3" t="s">
        <v>1504</v>
      </c>
      <c r="C223" s="1"/>
      <c r="D223" s="1" t="s">
        <v>1037</v>
      </c>
      <c r="E223" s="1" t="s">
        <v>2148</v>
      </c>
      <c r="F223" s="2" t="s">
        <v>1254</v>
      </c>
      <c r="G223" s="1" t="s">
        <v>1505</v>
      </c>
      <c r="H223" s="12" t="s">
        <v>1046</v>
      </c>
      <c r="I223" s="13" t="str">
        <f t="shared" si="24"/>
        <v>2S</v>
      </c>
      <c r="J223" t="str">
        <f t="shared" si="25"/>
        <v/>
      </c>
      <c r="K223" t="str">
        <f t="shared" si="26"/>
        <v xml:space="preserve">0834 </v>
      </c>
      <c r="L223" t="str">
        <f t="shared" si="27"/>
        <v>Plat11</v>
      </c>
      <c r="M223" s="8" t="str">
        <f t="shared" si="23"/>
        <v>11</v>
      </c>
      <c r="N223" t="s">
        <v>2975</v>
      </c>
      <c r="O223" t="s">
        <v>3039</v>
      </c>
      <c r="P223" t="s">
        <v>3041</v>
      </c>
      <c r="Q223" t="s">
        <v>2978</v>
      </c>
      <c r="R223" t="s">
        <v>1298</v>
      </c>
      <c r="S223" t="s">
        <v>2979</v>
      </c>
      <c r="T223" t="s">
        <v>2980</v>
      </c>
      <c r="U223" t="s">
        <v>2981</v>
      </c>
      <c r="V223" t="s">
        <v>2982</v>
      </c>
      <c r="W223" t="s">
        <v>1254</v>
      </c>
    </row>
    <row r="224" spans="2:24" ht="15" customHeight="1" x14ac:dyDescent="0.25">
      <c r="B224" s="3" t="s">
        <v>1506</v>
      </c>
      <c r="C224" s="1" t="s">
        <v>1507</v>
      </c>
      <c r="D224" s="2" t="s">
        <v>1039</v>
      </c>
      <c r="E224" s="1" t="s">
        <v>1075</v>
      </c>
      <c r="F224" s="1" t="s">
        <v>1051</v>
      </c>
      <c r="G224" s="1"/>
      <c r="H224" s="12" t="s">
        <v>1040</v>
      </c>
      <c r="I224" s="13" t="str">
        <f t="shared" si="24"/>
        <v>2L</v>
      </c>
      <c r="J224" t="str">
        <f t="shared" si="25"/>
        <v xml:space="preserve">0834 </v>
      </c>
      <c r="K224" t="str">
        <f t="shared" si="26"/>
        <v/>
      </c>
      <c r="L224" t="str">
        <f t="shared" si="27"/>
        <v>Plat 2</v>
      </c>
      <c r="M224" s="8" t="str">
        <f t="shared" si="23"/>
        <v xml:space="preserve"> 2</v>
      </c>
      <c r="O224"/>
    </row>
    <row r="225" spans="2:24" ht="15" customHeight="1" x14ac:dyDescent="0.25">
      <c r="B225" s="3" t="s">
        <v>1508</v>
      </c>
      <c r="C225" s="1" t="s">
        <v>152</v>
      </c>
      <c r="D225" s="2" t="s">
        <v>1058</v>
      </c>
      <c r="E225" s="1" t="s">
        <v>1156</v>
      </c>
      <c r="F225" s="2" t="s">
        <v>1372</v>
      </c>
      <c r="G225" s="1" t="s">
        <v>1505</v>
      </c>
      <c r="H225" s="12" t="s">
        <v>1046</v>
      </c>
      <c r="I225" s="13" t="str">
        <f t="shared" si="24"/>
        <v>1K</v>
      </c>
      <c r="J225" t="str">
        <f t="shared" si="25"/>
        <v xml:space="preserve">0833 </v>
      </c>
      <c r="K225" t="str">
        <f t="shared" si="26"/>
        <v xml:space="preserve">0834 </v>
      </c>
      <c r="L225" t="str">
        <f t="shared" si="27"/>
        <v>Plat10</v>
      </c>
      <c r="M225" s="8" t="str">
        <f t="shared" si="23"/>
        <v>10</v>
      </c>
      <c r="N225" s="4" t="s">
        <v>1372</v>
      </c>
      <c r="O225"/>
    </row>
    <row r="226" spans="2:24" ht="15" customHeight="1" x14ac:dyDescent="0.25">
      <c r="B226" s="3" t="s">
        <v>1509</v>
      </c>
      <c r="C226" s="1" t="s">
        <v>152</v>
      </c>
      <c r="D226" s="2" t="s">
        <v>1044</v>
      </c>
      <c r="E226" s="1" t="s">
        <v>1054</v>
      </c>
      <c r="F226" s="2" t="s">
        <v>1372</v>
      </c>
      <c r="G226" s="1" t="s">
        <v>1505</v>
      </c>
      <c r="H226" s="12" t="s">
        <v>1046</v>
      </c>
      <c r="I226" s="13" t="str">
        <f t="shared" si="24"/>
        <v>2W</v>
      </c>
      <c r="J226" t="str">
        <f t="shared" si="25"/>
        <v xml:space="preserve">0833 </v>
      </c>
      <c r="K226" t="str">
        <f t="shared" si="26"/>
        <v xml:space="preserve">0834 </v>
      </c>
      <c r="L226" t="str">
        <f t="shared" si="27"/>
        <v>Plat 5</v>
      </c>
      <c r="M226" s="8" t="str">
        <f t="shared" si="23"/>
        <v xml:space="preserve"> 5</v>
      </c>
      <c r="N226" s="4" t="s">
        <v>1372</v>
      </c>
      <c r="O226"/>
    </row>
    <row r="227" spans="2:24" ht="15" customHeight="1" x14ac:dyDescent="0.25">
      <c r="B227" s="3" t="s">
        <v>1510</v>
      </c>
      <c r="C227" s="1" t="s">
        <v>1511</v>
      </c>
      <c r="D227" s="2" t="s">
        <v>1372</v>
      </c>
      <c r="E227" s="1" t="s">
        <v>1043</v>
      </c>
      <c r="F227" s="2" t="s">
        <v>1181</v>
      </c>
      <c r="G227" s="1" t="s">
        <v>1512</v>
      </c>
      <c r="H227" s="12" t="s">
        <v>1046</v>
      </c>
      <c r="I227" s="13" t="str">
        <f t="shared" si="24"/>
        <v>2C</v>
      </c>
      <c r="J227" t="str">
        <f t="shared" si="25"/>
        <v>0833½</v>
      </c>
      <c r="K227" t="str">
        <f t="shared" si="26"/>
        <v>0834½</v>
      </c>
      <c r="L227" t="str">
        <f t="shared" si="27"/>
        <v>Plat 8</v>
      </c>
      <c r="M227" s="8" t="str">
        <f t="shared" si="23"/>
        <v xml:space="preserve"> 8</v>
      </c>
      <c r="N227" t="s">
        <v>1181</v>
      </c>
      <c r="O227"/>
    </row>
    <row r="228" spans="2:24" ht="15" customHeight="1" x14ac:dyDescent="0.25">
      <c r="B228" s="3" t="s">
        <v>71</v>
      </c>
      <c r="C228" s="1" t="s">
        <v>150</v>
      </c>
      <c r="D228" s="2" t="s">
        <v>1331</v>
      </c>
      <c r="E228" s="1" t="s">
        <v>1047</v>
      </c>
      <c r="F228" s="2" t="s">
        <v>1372</v>
      </c>
      <c r="G228" s="1" t="s">
        <v>1513</v>
      </c>
      <c r="H228" s="12" t="s">
        <v>1046</v>
      </c>
      <c r="I228" s="13" t="str">
        <f t="shared" si="24"/>
        <v>1J</v>
      </c>
      <c r="J228" t="str">
        <f t="shared" si="25"/>
        <v xml:space="preserve">0835 </v>
      </c>
      <c r="K228" t="str">
        <f t="shared" si="26"/>
        <v>0836½</v>
      </c>
      <c r="L228" t="str">
        <f t="shared" si="27"/>
        <v>Plat 9</v>
      </c>
      <c r="M228" s="8" t="str">
        <f t="shared" si="23"/>
        <v xml:space="preserve"> 9</v>
      </c>
      <c r="N228" s="4" t="s">
        <v>1372</v>
      </c>
      <c r="O228"/>
    </row>
    <row r="229" spans="2:24" ht="15" customHeight="1" x14ac:dyDescent="0.25">
      <c r="B229" s="3" t="s">
        <v>1514</v>
      </c>
      <c r="C229" s="1"/>
      <c r="D229" s="1" t="s">
        <v>1037</v>
      </c>
      <c r="E229" s="1" t="s">
        <v>1038</v>
      </c>
      <c r="F229" s="2" t="s">
        <v>1074</v>
      </c>
      <c r="G229" s="1" t="s">
        <v>153</v>
      </c>
      <c r="H229" s="12" t="s">
        <v>1040</v>
      </c>
      <c r="I229" s="13" t="str">
        <f t="shared" si="24"/>
        <v>2N</v>
      </c>
      <c r="J229" t="str">
        <f t="shared" si="25"/>
        <v/>
      </c>
      <c r="K229" t="str">
        <f t="shared" si="26"/>
        <v xml:space="preserve">0837 </v>
      </c>
      <c r="L229" t="str">
        <f t="shared" si="27"/>
        <v>Plat 1</v>
      </c>
      <c r="M229" s="8" t="str">
        <f t="shared" si="23"/>
        <v xml:space="preserve"> 1</v>
      </c>
      <c r="N229" s="4" t="s">
        <v>3010</v>
      </c>
      <c r="O229" s="15" t="s">
        <v>3011</v>
      </c>
    </row>
    <row r="230" spans="2:24" ht="15" customHeight="1" x14ac:dyDescent="0.25">
      <c r="B230" s="3" t="s">
        <v>1515</v>
      </c>
      <c r="C230" s="1" t="s">
        <v>1516</v>
      </c>
      <c r="D230" s="2" t="s">
        <v>1161</v>
      </c>
      <c r="E230" s="1" t="s">
        <v>1054</v>
      </c>
      <c r="F230" s="2" t="s">
        <v>1372</v>
      </c>
      <c r="G230" s="1" t="s">
        <v>155</v>
      </c>
      <c r="H230" s="12" t="s">
        <v>1046</v>
      </c>
      <c r="I230" s="13" t="str">
        <f t="shared" si="24"/>
        <v>2C</v>
      </c>
      <c r="J230" t="str">
        <f t="shared" si="25"/>
        <v xml:space="preserve">0836 </v>
      </c>
      <c r="K230" t="str">
        <f t="shared" si="26"/>
        <v xml:space="preserve">0838 </v>
      </c>
      <c r="L230" t="str">
        <f t="shared" si="27"/>
        <v>Plat 5</v>
      </c>
      <c r="M230" s="8" t="str">
        <f t="shared" si="23"/>
        <v xml:space="preserve"> 5</v>
      </c>
      <c r="N230" s="4" t="s">
        <v>1372</v>
      </c>
      <c r="O230"/>
    </row>
    <row r="231" spans="2:24" ht="15" customHeight="1" x14ac:dyDescent="0.25">
      <c r="B231" s="3" t="s">
        <v>1134</v>
      </c>
      <c r="C231" s="1" t="s">
        <v>1517</v>
      </c>
      <c r="D231" s="2" t="s">
        <v>1372</v>
      </c>
      <c r="E231" s="1" t="s">
        <v>1043</v>
      </c>
      <c r="F231" s="2" t="s">
        <v>1044</v>
      </c>
      <c r="G231" s="1" t="s">
        <v>1518</v>
      </c>
      <c r="H231" s="12" t="s">
        <v>1046</v>
      </c>
      <c r="I231" s="13" t="str">
        <f t="shared" si="24"/>
        <v>2W</v>
      </c>
      <c r="J231" t="str">
        <f t="shared" si="25"/>
        <v>0836½</v>
      </c>
      <c r="K231" t="str">
        <f t="shared" si="26"/>
        <v>0838½</v>
      </c>
      <c r="L231" t="str">
        <f t="shared" si="27"/>
        <v>Plat 8</v>
      </c>
      <c r="M231" s="8" t="str">
        <f t="shared" si="23"/>
        <v xml:space="preserve"> 8</v>
      </c>
      <c r="N231" s="4" t="s">
        <v>3012</v>
      </c>
      <c r="O231" s="4" t="s">
        <v>3013</v>
      </c>
      <c r="P231" s="4" t="s">
        <v>1181</v>
      </c>
      <c r="Q231" s="4" t="s">
        <v>3014</v>
      </c>
      <c r="R231" s="4" t="s">
        <v>3015</v>
      </c>
      <c r="S231" s="4" t="s">
        <v>3016</v>
      </c>
      <c r="T231" s="4" t="s">
        <v>3004</v>
      </c>
      <c r="U231" s="4" t="s">
        <v>1161</v>
      </c>
      <c r="V231" s="4" t="s">
        <v>3017</v>
      </c>
      <c r="W231" s="4" t="s">
        <v>3018</v>
      </c>
      <c r="X231" s="4" t="s">
        <v>1044</v>
      </c>
    </row>
    <row r="232" spans="2:24" ht="15" customHeight="1" x14ac:dyDescent="0.25">
      <c r="B232" s="3" t="s">
        <v>1519</v>
      </c>
      <c r="C232" s="1" t="s">
        <v>1520</v>
      </c>
      <c r="D232" s="2" t="s">
        <v>1372</v>
      </c>
      <c r="E232" s="1" t="s">
        <v>1156</v>
      </c>
      <c r="F232" s="2" t="s">
        <v>1066</v>
      </c>
      <c r="G232" s="1" t="s">
        <v>1518</v>
      </c>
      <c r="H232" s="12" t="s">
        <v>1046</v>
      </c>
      <c r="I232" s="13" t="str">
        <f t="shared" si="24"/>
        <v>1P</v>
      </c>
      <c r="J232" t="str">
        <f t="shared" si="25"/>
        <v>0837½</v>
      </c>
      <c r="K232" t="str">
        <f t="shared" si="26"/>
        <v>0838½</v>
      </c>
      <c r="L232" t="str">
        <f t="shared" si="27"/>
        <v>Plat10</v>
      </c>
      <c r="M232" s="8" t="str">
        <f t="shared" ref="M232:M285" si="28">RIGHT(L232,2)</f>
        <v>10</v>
      </c>
      <c r="N232" t="s">
        <v>1473</v>
      </c>
      <c r="O232" t="s">
        <v>1091</v>
      </c>
      <c r="P232" t="s">
        <v>3006</v>
      </c>
      <c r="Q232" t="s">
        <v>1242</v>
      </c>
      <c r="R232" t="s">
        <v>1501</v>
      </c>
      <c r="S232" t="s">
        <v>3052</v>
      </c>
      <c r="T232" t="s">
        <v>1066</v>
      </c>
    </row>
    <row r="233" spans="2:24" ht="15" customHeight="1" x14ac:dyDescent="0.25">
      <c r="B233" s="3" t="s">
        <v>299</v>
      </c>
      <c r="C233" s="1" t="s">
        <v>155</v>
      </c>
      <c r="D233" s="2" t="s">
        <v>1473</v>
      </c>
      <c r="E233" s="1" t="s">
        <v>1156</v>
      </c>
      <c r="F233" s="2" t="s">
        <v>1372</v>
      </c>
      <c r="G233" s="1" t="s">
        <v>1574</v>
      </c>
      <c r="H233" s="12" t="s">
        <v>1046</v>
      </c>
      <c r="I233" s="13" t="str">
        <f t="shared" si="24"/>
        <v>1F</v>
      </c>
      <c r="J233" t="str">
        <f t="shared" si="25"/>
        <v xml:space="preserve">0838 </v>
      </c>
      <c r="K233" t="str">
        <f t="shared" si="26"/>
        <v xml:space="preserve">0839 </v>
      </c>
      <c r="L233" t="str">
        <f t="shared" si="27"/>
        <v>Plat10</v>
      </c>
      <c r="M233" s="8" t="str">
        <f t="shared" si="28"/>
        <v>10</v>
      </c>
      <c r="N233" s="4" t="s">
        <v>1372</v>
      </c>
      <c r="O233"/>
    </row>
    <row r="234" spans="2:24" ht="15" customHeight="1" x14ac:dyDescent="0.25">
      <c r="B234" s="3" t="s">
        <v>1521</v>
      </c>
      <c r="C234" s="1" t="s">
        <v>1522</v>
      </c>
      <c r="D234" s="2" t="s">
        <v>1161</v>
      </c>
      <c r="E234" s="1" t="s">
        <v>1054</v>
      </c>
      <c r="F234" s="2" t="s">
        <v>1372</v>
      </c>
      <c r="G234" s="1" t="s">
        <v>1523</v>
      </c>
      <c r="H234" s="12" t="s">
        <v>1046</v>
      </c>
      <c r="I234" s="13" t="str">
        <f t="shared" si="24"/>
        <v>2C</v>
      </c>
      <c r="J234" t="str">
        <f t="shared" si="25"/>
        <v xml:space="preserve">0840 </v>
      </c>
      <c r="K234" t="str">
        <f t="shared" si="26"/>
        <v xml:space="preserve">0841 </v>
      </c>
      <c r="L234" t="str">
        <f t="shared" si="27"/>
        <v>Plat 5</v>
      </c>
      <c r="M234" s="8" t="str">
        <f t="shared" si="28"/>
        <v xml:space="preserve"> 5</v>
      </c>
      <c r="N234" s="4" t="s">
        <v>1372</v>
      </c>
      <c r="O234"/>
    </row>
    <row r="235" spans="2:24" ht="15" customHeight="1" x14ac:dyDescent="0.25">
      <c r="B235" s="3" t="s">
        <v>1524</v>
      </c>
      <c r="C235" s="1" t="s">
        <v>1525</v>
      </c>
      <c r="D235" s="2" t="s">
        <v>1254</v>
      </c>
      <c r="E235" s="1" t="s">
        <v>2148</v>
      </c>
      <c r="F235" s="1" t="s">
        <v>1051</v>
      </c>
      <c r="G235" s="1"/>
      <c r="H235" s="12" t="s">
        <v>1046</v>
      </c>
      <c r="I235" s="13" t="str">
        <f t="shared" si="24"/>
        <v>2S</v>
      </c>
      <c r="J235" t="str">
        <f t="shared" si="25"/>
        <v xml:space="preserve">0841 </v>
      </c>
      <c r="K235" t="str">
        <f t="shared" si="26"/>
        <v/>
      </c>
      <c r="L235" t="str">
        <f t="shared" si="27"/>
        <v>Plat11</v>
      </c>
      <c r="M235" s="8" t="str">
        <f t="shared" si="28"/>
        <v>11</v>
      </c>
      <c r="O235"/>
    </row>
    <row r="236" spans="2:24" ht="15" customHeight="1" x14ac:dyDescent="0.25">
      <c r="B236" s="3" t="s">
        <v>1526</v>
      </c>
      <c r="C236" s="1" t="s">
        <v>1527</v>
      </c>
      <c r="D236" s="2" t="s">
        <v>1386</v>
      </c>
      <c r="E236" s="1" t="s">
        <v>1047</v>
      </c>
      <c r="F236" s="2" t="s">
        <v>1372</v>
      </c>
      <c r="G236" s="1" t="s">
        <v>1528</v>
      </c>
      <c r="H236" s="12" t="s">
        <v>1046</v>
      </c>
      <c r="I236" s="13" t="str">
        <f t="shared" si="24"/>
        <v>1A</v>
      </c>
      <c r="J236" t="str">
        <f t="shared" si="25"/>
        <v>0840½</v>
      </c>
      <c r="K236" t="str">
        <f t="shared" si="26"/>
        <v>0841½</v>
      </c>
      <c r="L236" t="str">
        <f t="shared" si="27"/>
        <v>Plat 9</v>
      </c>
      <c r="M236" s="8" t="str">
        <f t="shared" si="28"/>
        <v xml:space="preserve"> 9</v>
      </c>
      <c r="N236" s="4" t="s">
        <v>1372</v>
      </c>
      <c r="O236"/>
    </row>
    <row r="237" spans="2:24" ht="15" customHeight="1" x14ac:dyDescent="0.25">
      <c r="B237" s="3" t="s">
        <v>1529</v>
      </c>
      <c r="C237" s="1" t="s">
        <v>1530</v>
      </c>
      <c r="D237" s="2" t="s">
        <v>1372</v>
      </c>
      <c r="E237" s="1" t="s">
        <v>1156</v>
      </c>
      <c r="F237" s="2" t="s">
        <v>1058</v>
      </c>
      <c r="G237" s="1" t="s">
        <v>156</v>
      </c>
      <c r="H237" s="12" t="s">
        <v>1046</v>
      </c>
      <c r="I237" s="13" t="str">
        <f t="shared" si="24"/>
        <v>1K</v>
      </c>
      <c r="J237" t="str">
        <f t="shared" si="25"/>
        <v>0841½</v>
      </c>
      <c r="K237" t="str">
        <f t="shared" si="26"/>
        <v xml:space="preserve">0842 </v>
      </c>
      <c r="L237" t="str">
        <f t="shared" si="27"/>
        <v>Plat10</v>
      </c>
      <c r="M237" s="8" t="str">
        <f t="shared" si="28"/>
        <v>10</v>
      </c>
      <c r="N237" s="4" t="s">
        <v>1044</v>
      </c>
      <c r="O237" s="4" t="s">
        <v>3019</v>
      </c>
      <c r="P237" s="4" t="s">
        <v>3020</v>
      </c>
      <c r="Q237" s="4" t="s">
        <v>3021</v>
      </c>
      <c r="R237" s="4" t="s">
        <v>3022</v>
      </c>
      <c r="S237" s="4" t="s">
        <v>3023</v>
      </c>
      <c r="T237" s="4" t="s">
        <v>3024</v>
      </c>
      <c r="U237" s="4" t="s">
        <v>3025</v>
      </c>
      <c r="V237" s="4" t="s">
        <v>1058</v>
      </c>
    </row>
    <row r="238" spans="2:24" ht="15" customHeight="1" x14ac:dyDescent="0.25">
      <c r="B238" s="3" t="s">
        <v>1531</v>
      </c>
      <c r="C238" s="1" t="s">
        <v>1532</v>
      </c>
      <c r="D238" s="2" t="s">
        <v>1058</v>
      </c>
      <c r="E238" s="1" t="s">
        <v>1156</v>
      </c>
      <c r="F238" s="2" t="s">
        <v>1372</v>
      </c>
      <c r="G238" s="1" t="s">
        <v>1534</v>
      </c>
      <c r="H238" s="12" t="s">
        <v>1046</v>
      </c>
      <c r="I238" s="13" t="str">
        <f t="shared" si="24"/>
        <v>1K</v>
      </c>
      <c r="J238" t="str">
        <f t="shared" si="25"/>
        <v xml:space="preserve">0843 </v>
      </c>
      <c r="K238" t="str">
        <f t="shared" si="26"/>
        <v xml:space="preserve">0844 </v>
      </c>
      <c r="L238" t="str">
        <f t="shared" si="27"/>
        <v>Plat10</v>
      </c>
      <c r="M238" s="8" t="str">
        <f t="shared" si="28"/>
        <v>10</v>
      </c>
      <c r="N238" s="4" t="s">
        <v>1372</v>
      </c>
      <c r="O238"/>
    </row>
    <row r="239" spans="2:24" ht="15" customHeight="1" x14ac:dyDescent="0.25">
      <c r="B239" s="3" t="s">
        <v>1533</v>
      </c>
      <c r="C239" s="1" t="s">
        <v>1532</v>
      </c>
      <c r="D239" s="2" t="s">
        <v>1044</v>
      </c>
      <c r="E239" s="1" t="s">
        <v>1054</v>
      </c>
      <c r="F239" s="2" t="s">
        <v>1372</v>
      </c>
      <c r="G239" s="1" t="s">
        <v>1534</v>
      </c>
      <c r="H239" s="12" t="s">
        <v>1046</v>
      </c>
      <c r="I239" s="13" t="str">
        <f t="shared" si="24"/>
        <v>2W</v>
      </c>
      <c r="J239" t="str">
        <f t="shared" si="25"/>
        <v xml:space="preserve">0843 </v>
      </c>
      <c r="K239" t="str">
        <f t="shared" si="26"/>
        <v xml:space="preserve">0844 </v>
      </c>
      <c r="L239" t="str">
        <f t="shared" si="27"/>
        <v>Plat 5</v>
      </c>
      <c r="M239" s="8" t="str">
        <f t="shared" si="28"/>
        <v xml:space="preserve"> 5</v>
      </c>
      <c r="N239" s="4" t="s">
        <v>1372</v>
      </c>
      <c r="O239"/>
    </row>
    <row r="240" spans="2:24" ht="15" customHeight="1" x14ac:dyDescent="0.25">
      <c r="B240" s="3" t="s">
        <v>1535</v>
      </c>
      <c r="C240" s="1" t="s">
        <v>1536</v>
      </c>
      <c r="D240" s="2" t="s">
        <v>1074</v>
      </c>
      <c r="E240" s="1" t="s">
        <v>1050</v>
      </c>
      <c r="F240" s="1" t="s">
        <v>1051</v>
      </c>
      <c r="G240" s="1"/>
      <c r="H240" s="12" t="s">
        <v>1040</v>
      </c>
      <c r="I240" s="13" t="str">
        <f t="shared" si="24"/>
        <v>2N</v>
      </c>
      <c r="J240" t="str">
        <f t="shared" si="25"/>
        <v xml:space="preserve">0844 </v>
      </c>
      <c r="K240" t="str">
        <f t="shared" si="26"/>
        <v/>
      </c>
      <c r="L240" t="str">
        <f t="shared" si="27"/>
        <v>Plat 1</v>
      </c>
      <c r="M240" s="8" t="str">
        <f t="shared" si="28"/>
        <v xml:space="preserve"> 1</v>
      </c>
      <c r="O240"/>
    </row>
    <row r="241" spans="2:24" ht="15" customHeight="1" x14ac:dyDescent="0.25">
      <c r="B241" s="3" t="s">
        <v>142</v>
      </c>
      <c r="C241" s="1" t="s">
        <v>158</v>
      </c>
      <c r="D241" s="2" t="s">
        <v>1372</v>
      </c>
      <c r="E241" s="1" t="s">
        <v>1156</v>
      </c>
      <c r="F241" s="2" t="s">
        <v>1304</v>
      </c>
      <c r="G241" s="1" t="s">
        <v>161</v>
      </c>
      <c r="H241" s="12" t="s">
        <v>1046</v>
      </c>
      <c r="I241" s="13" t="str">
        <f t="shared" si="24"/>
        <v>1F</v>
      </c>
      <c r="J241" t="str">
        <f t="shared" si="25"/>
        <v>0844½</v>
      </c>
      <c r="K241" t="str">
        <f t="shared" si="26"/>
        <v xml:space="preserve">0845 </v>
      </c>
      <c r="L241" t="str">
        <f t="shared" si="27"/>
        <v>Plat10</v>
      </c>
      <c r="M241" s="8" t="str">
        <f t="shared" si="28"/>
        <v>10</v>
      </c>
      <c r="N241" s="4" t="s">
        <v>1044</v>
      </c>
      <c r="O241" s="4" t="s">
        <v>2999</v>
      </c>
      <c r="P241" s="4" t="s">
        <v>1473</v>
      </c>
      <c r="Q241" s="4" t="s">
        <v>3000</v>
      </c>
      <c r="R241" s="4" t="s">
        <v>3001</v>
      </c>
      <c r="S241" s="4" t="s">
        <v>3002</v>
      </c>
      <c r="T241" s="4" t="s">
        <v>3003</v>
      </c>
      <c r="U241" s="4" t="s">
        <v>1091</v>
      </c>
      <c r="V241" s="4" t="s">
        <v>1304</v>
      </c>
    </row>
    <row r="242" spans="2:24" ht="15" customHeight="1" x14ac:dyDescent="0.25">
      <c r="B242" s="3" t="s">
        <v>1537</v>
      </c>
      <c r="C242" s="1"/>
      <c r="D242" s="1" t="s">
        <v>1037</v>
      </c>
      <c r="E242" s="1" t="s">
        <v>1061</v>
      </c>
      <c r="F242" s="2" t="s">
        <v>1039</v>
      </c>
      <c r="G242" s="1" t="s">
        <v>161</v>
      </c>
      <c r="H242" s="12" t="s">
        <v>1040</v>
      </c>
      <c r="I242" s="13" t="str">
        <f t="shared" si="24"/>
        <v>2Y</v>
      </c>
      <c r="J242" t="str">
        <f t="shared" si="25"/>
        <v/>
      </c>
      <c r="K242" t="str">
        <f t="shared" si="26"/>
        <v xml:space="preserve">0845 </v>
      </c>
      <c r="L242" t="str">
        <f t="shared" si="27"/>
        <v>Plat 2</v>
      </c>
      <c r="M242" s="8" t="str">
        <f t="shared" si="28"/>
        <v xml:space="preserve"> 2</v>
      </c>
      <c r="N242" s="4" t="s">
        <v>3010</v>
      </c>
      <c r="O242" s="15" t="s">
        <v>3011</v>
      </c>
    </row>
    <row r="243" spans="2:24" ht="15" customHeight="1" x14ac:dyDescent="0.25">
      <c r="B243" s="3" t="s">
        <v>1538</v>
      </c>
      <c r="C243" s="1" t="s">
        <v>161</v>
      </c>
      <c r="D243" s="2" t="s">
        <v>1286</v>
      </c>
      <c r="E243" s="1" t="s">
        <v>1047</v>
      </c>
      <c r="F243" s="2" t="s">
        <v>1372</v>
      </c>
      <c r="G243" s="1" t="s">
        <v>1539</v>
      </c>
      <c r="H243" s="12" t="s">
        <v>1046</v>
      </c>
      <c r="I243" s="13" t="str">
        <f t="shared" si="24"/>
        <v>1A</v>
      </c>
      <c r="J243" t="str">
        <f t="shared" si="25"/>
        <v xml:space="preserve">0845 </v>
      </c>
      <c r="K243" t="str">
        <f t="shared" si="26"/>
        <v>0846½</v>
      </c>
      <c r="L243" t="str">
        <f t="shared" si="27"/>
        <v>Plat 9</v>
      </c>
      <c r="M243" s="8" t="str">
        <f t="shared" si="28"/>
        <v xml:space="preserve"> 9</v>
      </c>
      <c r="N243" s="4" t="s">
        <v>1372</v>
      </c>
      <c r="O243"/>
    </row>
    <row r="244" spans="2:24" ht="15" customHeight="1" x14ac:dyDescent="0.25">
      <c r="B244" s="3" t="s">
        <v>1540</v>
      </c>
      <c r="C244" s="1" t="s">
        <v>1541</v>
      </c>
      <c r="D244" s="2" t="s">
        <v>1181</v>
      </c>
      <c r="E244" s="1" t="s">
        <v>1054</v>
      </c>
      <c r="F244" s="2" t="s">
        <v>1372</v>
      </c>
      <c r="G244" s="1" t="s">
        <v>1542</v>
      </c>
      <c r="H244" s="12" t="s">
        <v>1046</v>
      </c>
      <c r="I244" s="13" t="str">
        <f t="shared" si="24"/>
        <v>2C</v>
      </c>
      <c r="J244" t="str">
        <f t="shared" si="25"/>
        <v xml:space="preserve">0846 </v>
      </c>
      <c r="K244" t="str">
        <f t="shared" si="26"/>
        <v xml:space="preserve">0848 </v>
      </c>
      <c r="L244" t="str">
        <f t="shared" si="27"/>
        <v>Plat 5</v>
      </c>
      <c r="M244" s="8" t="str">
        <f t="shared" si="28"/>
        <v xml:space="preserve"> 5</v>
      </c>
      <c r="N244" s="4" t="s">
        <v>1372</v>
      </c>
      <c r="O244"/>
    </row>
    <row r="245" spans="2:24" ht="15" customHeight="1" x14ac:dyDescent="0.25">
      <c r="B245" s="3" t="s">
        <v>1141</v>
      </c>
      <c r="C245" s="1" t="s">
        <v>1543</v>
      </c>
      <c r="D245" s="2" t="s">
        <v>1372</v>
      </c>
      <c r="E245" s="1" t="s">
        <v>1043</v>
      </c>
      <c r="F245" s="2" t="s">
        <v>1044</v>
      </c>
      <c r="G245" s="1" t="s">
        <v>159</v>
      </c>
      <c r="H245" s="12" t="s">
        <v>1046</v>
      </c>
      <c r="I245" s="13" t="str">
        <f t="shared" si="24"/>
        <v>2W</v>
      </c>
      <c r="J245" t="str">
        <f t="shared" si="25"/>
        <v>0846½</v>
      </c>
      <c r="K245" t="str">
        <f t="shared" si="26"/>
        <v>0848½</v>
      </c>
      <c r="L245" t="str">
        <f t="shared" si="27"/>
        <v>Plat 8</v>
      </c>
      <c r="M245" s="8" t="str">
        <f t="shared" si="28"/>
        <v xml:space="preserve"> 8</v>
      </c>
      <c r="N245" s="4" t="s">
        <v>3012</v>
      </c>
      <c r="O245" s="4" t="s">
        <v>3013</v>
      </c>
      <c r="P245" s="4" t="s">
        <v>1181</v>
      </c>
      <c r="Q245" s="4" t="s">
        <v>3014</v>
      </c>
      <c r="R245" s="4" t="s">
        <v>3015</v>
      </c>
      <c r="S245" s="4" t="s">
        <v>3016</v>
      </c>
      <c r="T245" s="4" t="s">
        <v>3004</v>
      </c>
      <c r="U245" s="4" t="s">
        <v>1161</v>
      </c>
      <c r="V245" s="4" t="s">
        <v>3017</v>
      </c>
      <c r="W245" s="4" t="s">
        <v>3018</v>
      </c>
      <c r="X245" s="4" t="s">
        <v>1044</v>
      </c>
    </row>
    <row r="246" spans="2:24" ht="15" customHeight="1" x14ac:dyDescent="0.25">
      <c r="B246" s="3" t="s">
        <v>1544</v>
      </c>
      <c r="C246" s="1" t="s">
        <v>1542</v>
      </c>
      <c r="D246" s="2" t="s">
        <v>1242</v>
      </c>
      <c r="E246" s="1" t="s">
        <v>1156</v>
      </c>
      <c r="F246" s="2" t="s">
        <v>1372</v>
      </c>
      <c r="G246" s="1" t="s">
        <v>162</v>
      </c>
      <c r="H246" s="12" t="s">
        <v>1046</v>
      </c>
      <c r="I246" s="13" t="str">
        <f t="shared" si="24"/>
        <v>1Y</v>
      </c>
      <c r="J246" t="str">
        <f t="shared" si="25"/>
        <v xml:space="preserve">0848 </v>
      </c>
      <c r="K246" t="str">
        <f t="shared" si="26"/>
        <v xml:space="preserve">0849 </v>
      </c>
      <c r="L246" t="str">
        <f t="shared" si="27"/>
        <v>Plat10</v>
      </c>
      <c r="M246" s="8" t="str">
        <f t="shared" si="28"/>
        <v>10</v>
      </c>
      <c r="N246" s="4" t="s">
        <v>1372</v>
      </c>
      <c r="O246"/>
    </row>
    <row r="247" spans="2:24" ht="15" customHeight="1" x14ac:dyDescent="0.25">
      <c r="B247" s="3" t="s">
        <v>1545</v>
      </c>
      <c r="C247" s="1" t="s">
        <v>1546</v>
      </c>
      <c r="D247" s="2" t="s">
        <v>1039</v>
      </c>
      <c r="E247" s="1" t="s">
        <v>1075</v>
      </c>
      <c r="F247" s="1" t="s">
        <v>1051</v>
      </c>
      <c r="G247" s="1"/>
      <c r="H247" s="12" t="s">
        <v>1040</v>
      </c>
      <c r="I247" s="13" t="str">
        <f t="shared" si="24"/>
        <v>2L</v>
      </c>
      <c r="J247" t="str">
        <f t="shared" si="25"/>
        <v xml:space="preserve">0849 </v>
      </c>
      <c r="K247" t="str">
        <f t="shared" si="26"/>
        <v/>
      </c>
      <c r="L247" t="str">
        <f t="shared" si="27"/>
        <v>Plat 2</v>
      </c>
      <c r="M247" s="8" t="str">
        <f t="shared" si="28"/>
        <v xml:space="preserve"> 2</v>
      </c>
      <c r="O247"/>
    </row>
    <row r="248" spans="2:24" ht="15" customHeight="1" x14ac:dyDescent="0.25">
      <c r="B248" s="3" t="s">
        <v>1547</v>
      </c>
      <c r="C248" s="1" t="s">
        <v>1548</v>
      </c>
      <c r="D248" s="2" t="s">
        <v>1161</v>
      </c>
      <c r="E248" s="1" t="s">
        <v>1054</v>
      </c>
      <c r="F248" s="2" t="s">
        <v>1372</v>
      </c>
      <c r="G248" s="1" t="s">
        <v>164</v>
      </c>
      <c r="H248" s="12" t="s">
        <v>1046</v>
      </c>
      <c r="I248" s="13" t="str">
        <f t="shared" si="24"/>
        <v>2C</v>
      </c>
      <c r="J248" t="str">
        <f t="shared" si="25"/>
        <v xml:space="preserve">0850 </v>
      </c>
      <c r="K248" t="str">
        <f t="shared" si="26"/>
        <v xml:space="preserve">0851 </v>
      </c>
      <c r="L248" t="str">
        <f t="shared" si="27"/>
        <v>Plat 5</v>
      </c>
      <c r="M248" s="8" t="str">
        <f t="shared" si="28"/>
        <v xml:space="preserve"> 5</v>
      </c>
      <c r="N248" s="4" t="s">
        <v>1372</v>
      </c>
      <c r="O248"/>
    </row>
    <row r="249" spans="2:24" ht="15" customHeight="1" x14ac:dyDescent="0.25">
      <c r="B249" s="3" t="s">
        <v>1549</v>
      </c>
      <c r="C249" s="1"/>
      <c r="D249" s="1" t="s">
        <v>1037</v>
      </c>
      <c r="E249" s="1" t="s">
        <v>1038</v>
      </c>
      <c r="F249" s="2" t="s">
        <v>1074</v>
      </c>
      <c r="G249" s="1" t="s">
        <v>167</v>
      </c>
      <c r="H249" s="12" t="s">
        <v>1040</v>
      </c>
      <c r="I249" s="13" t="str">
        <f t="shared" si="24"/>
        <v>2N</v>
      </c>
      <c r="J249" t="str">
        <f t="shared" si="25"/>
        <v/>
      </c>
      <c r="K249" t="str">
        <f t="shared" si="26"/>
        <v xml:space="preserve">0852 </v>
      </c>
      <c r="L249" t="str">
        <f t="shared" si="27"/>
        <v>Plat 1</v>
      </c>
      <c r="M249" s="8" t="str">
        <f t="shared" si="28"/>
        <v xml:space="preserve"> 1</v>
      </c>
      <c r="N249" s="4" t="s">
        <v>3010</v>
      </c>
      <c r="O249" s="15" t="s">
        <v>3011</v>
      </c>
    </row>
    <row r="250" spans="2:24" ht="15" customHeight="1" x14ac:dyDescent="0.25">
      <c r="B250" s="3" t="s">
        <v>1550</v>
      </c>
      <c r="C250" s="1" t="s">
        <v>1551</v>
      </c>
      <c r="D250" s="2" t="s">
        <v>1372</v>
      </c>
      <c r="E250" s="1" t="s">
        <v>1043</v>
      </c>
      <c r="F250" s="2" t="s">
        <v>1161</v>
      </c>
      <c r="G250" s="1" t="s">
        <v>1552</v>
      </c>
      <c r="H250" s="12" t="s">
        <v>1046</v>
      </c>
      <c r="I250" s="13" t="str">
        <f t="shared" si="24"/>
        <v>2C</v>
      </c>
      <c r="J250" t="str">
        <f t="shared" si="25"/>
        <v>0850½</v>
      </c>
      <c r="K250" t="str">
        <f t="shared" si="26"/>
        <v>0852½</v>
      </c>
      <c r="L250" t="str">
        <f t="shared" si="27"/>
        <v>Plat 8</v>
      </c>
      <c r="M250" s="8" t="str">
        <f t="shared" si="28"/>
        <v xml:space="preserve"> 8</v>
      </c>
      <c r="N250" t="s">
        <v>1181</v>
      </c>
      <c r="O250" t="s">
        <v>3004</v>
      </c>
      <c r="P250" t="s">
        <v>1161</v>
      </c>
    </row>
    <row r="251" spans="2:24" ht="15" customHeight="1" x14ac:dyDescent="0.25">
      <c r="B251" s="3" t="s">
        <v>1553</v>
      </c>
      <c r="C251" s="1" t="s">
        <v>1554</v>
      </c>
      <c r="D251" s="2" t="s">
        <v>1066</v>
      </c>
      <c r="E251" s="1" t="s">
        <v>1047</v>
      </c>
      <c r="F251" s="2" t="s">
        <v>1372</v>
      </c>
      <c r="G251" s="1" t="s">
        <v>1556</v>
      </c>
      <c r="H251" s="12" t="s">
        <v>1046</v>
      </c>
      <c r="I251" s="13" t="str">
        <f t="shared" si="24"/>
        <v>1P</v>
      </c>
      <c r="J251" t="str">
        <f t="shared" si="25"/>
        <v>0851½</v>
      </c>
      <c r="K251" t="str">
        <f t="shared" si="26"/>
        <v xml:space="preserve">0853 </v>
      </c>
      <c r="L251" t="str">
        <f t="shared" si="27"/>
        <v>Plat 9</v>
      </c>
      <c r="M251" s="8" t="str">
        <f t="shared" si="28"/>
        <v xml:space="preserve"> 9</v>
      </c>
      <c r="N251" s="4" t="s">
        <v>1372</v>
      </c>
      <c r="O251"/>
    </row>
    <row r="252" spans="2:24" ht="15" customHeight="1" x14ac:dyDescent="0.25">
      <c r="B252" s="3" t="s">
        <v>1555</v>
      </c>
      <c r="C252" s="1" t="s">
        <v>1556</v>
      </c>
      <c r="D252" s="2" t="s">
        <v>1044</v>
      </c>
      <c r="E252" s="1" t="s">
        <v>1054</v>
      </c>
      <c r="F252" s="2" t="s">
        <v>1372</v>
      </c>
      <c r="G252" s="1" t="s">
        <v>1557</v>
      </c>
      <c r="H252" s="12" t="s">
        <v>1046</v>
      </c>
      <c r="I252" s="13" t="str">
        <f t="shared" si="24"/>
        <v>2W</v>
      </c>
      <c r="J252" t="str">
        <f t="shared" si="25"/>
        <v xml:space="preserve">0853 </v>
      </c>
      <c r="K252" t="str">
        <f t="shared" si="26"/>
        <v xml:space="preserve">0854 </v>
      </c>
      <c r="L252" t="str">
        <f t="shared" si="27"/>
        <v>Plat 5</v>
      </c>
      <c r="M252" s="8" t="str">
        <f t="shared" si="28"/>
        <v xml:space="preserve"> 5</v>
      </c>
      <c r="N252" s="4" t="s">
        <v>1372</v>
      </c>
      <c r="O252"/>
    </row>
    <row r="253" spans="2:24" ht="15" customHeight="1" x14ac:dyDescent="0.25">
      <c r="B253" s="3" t="s">
        <v>1558</v>
      </c>
      <c r="C253" s="1" t="s">
        <v>1559</v>
      </c>
      <c r="D253" s="2" t="s">
        <v>1062</v>
      </c>
      <c r="E253" s="1" t="s">
        <v>1050</v>
      </c>
      <c r="F253" s="1" t="s">
        <v>1051</v>
      </c>
      <c r="G253" s="1"/>
      <c r="H253" s="12" t="s">
        <v>1040</v>
      </c>
      <c r="I253" s="13" t="str">
        <f t="shared" si="24"/>
        <v>2G</v>
      </c>
      <c r="J253" t="str">
        <f t="shared" si="25"/>
        <v xml:space="preserve">0855 </v>
      </c>
      <c r="K253" t="str">
        <f t="shared" si="26"/>
        <v/>
      </c>
      <c r="L253" t="str">
        <f t="shared" si="27"/>
        <v>Plat 1</v>
      </c>
      <c r="M253" s="8" t="str">
        <f t="shared" si="28"/>
        <v xml:space="preserve"> 1</v>
      </c>
      <c r="O253"/>
    </row>
    <row r="254" spans="2:24" ht="15" customHeight="1" x14ac:dyDescent="0.25">
      <c r="B254" s="3" t="s">
        <v>154</v>
      </c>
      <c r="C254" s="1" t="s">
        <v>1560</v>
      </c>
      <c r="D254" s="2" t="s">
        <v>1372</v>
      </c>
      <c r="E254" s="1" t="s">
        <v>1156</v>
      </c>
      <c r="F254" s="2" t="s">
        <v>1237</v>
      </c>
      <c r="G254" s="1" t="s">
        <v>165</v>
      </c>
      <c r="H254" s="12" t="s">
        <v>1046</v>
      </c>
      <c r="I254" s="13" t="str">
        <f t="shared" si="24"/>
        <v>1F</v>
      </c>
      <c r="J254" t="str">
        <f t="shared" si="25"/>
        <v>0854½</v>
      </c>
      <c r="K254" t="str">
        <f t="shared" si="26"/>
        <v xml:space="preserve">0855 </v>
      </c>
      <c r="L254" t="str">
        <f t="shared" si="27"/>
        <v>Plat10</v>
      </c>
      <c r="M254" s="8" t="str">
        <f t="shared" si="28"/>
        <v>10</v>
      </c>
      <c r="N254" t="s">
        <v>1044</v>
      </c>
      <c r="O254" t="s">
        <v>2999</v>
      </c>
      <c r="P254" t="s">
        <v>1473</v>
      </c>
      <c r="Q254" t="s">
        <v>3001</v>
      </c>
      <c r="R254" t="s">
        <v>3043</v>
      </c>
      <c r="S254" t="s">
        <v>3044</v>
      </c>
      <c r="T254" t="s">
        <v>3045</v>
      </c>
      <c r="U254" t="s">
        <v>1237</v>
      </c>
    </row>
    <row r="255" spans="2:24" ht="15" customHeight="1" x14ac:dyDescent="0.25">
      <c r="B255" s="3" t="s">
        <v>1561</v>
      </c>
      <c r="C255" s="1"/>
      <c r="D255" s="1" t="s">
        <v>1037</v>
      </c>
      <c r="E255" s="1" t="s">
        <v>1061</v>
      </c>
      <c r="F255" s="2" t="s">
        <v>1062</v>
      </c>
      <c r="G255" s="1" t="s">
        <v>168</v>
      </c>
      <c r="H255" s="12" t="s">
        <v>1040</v>
      </c>
      <c r="I255" s="13" t="str">
        <f t="shared" ref="I255:I262" si="29">LEFT(B255,2)</f>
        <v>2G</v>
      </c>
      <c r="J255" t="str">
        <f t="shared" ref="J255:J262" si="30">LEFT(C255,5)</f>
        <v/>
      </c>
      <c r="K255" t="str">
        <f t="shared" ref="K255:K262" si="31">LEFT(G255,5)</f>
        <v xml:space="preserve">0856 </v>
      </c>
      <c r="L255" t="str">
        <f t="shared" ref="L255:L262" si="32">LEFT(E255,6)</f>
        <v>Plat 2</v>
      </c>
      <c r="M255" s="8" t="str">
        <f t="shared" si="28"/>
        <v xml:space="preserve"> 2</v>
      </c>
      <c r="N255" s="4" t="s">
        <v>3010</v>
      </c>
      <c r="O255" s="15" t="s">
        <v>3011</v>
      </c>
    </row>
    <row r="256" spans="2:24" ht="15" customHeight="1" x14ac:dyDescent="0.25">
      <c r="B256" s="3" t="s">
        <v>1562</v>
      </c>
      <c r="C256" s="1" t="s">
        <v>1563</v>
      </c>
      <c r="D256" s="2" t="s">
        <v>1058</v>
      </c>
      <c r="E256" s="1" t="s">
        <v>1047</v>
      </c>
      <c r="F256" s="2" t="s">
        <v>1372</v>
      </c>
      <c r="G256" s="1" t="s">
        <v>1564</v>
      </c>
      <c r="H256" s="12" t="s">
        <v>1046</v>
      </c>
      <c r="I256" s="13" t="str">
        <f t="shared" si="29"/>
        <v>1K</v>
      </c>
      <c r="J256" t="str">
        <f t="shared" si="30"/>
        <v>0855½</v>
      </c>
      <c r="K256" t="str">
        <f t="shared" si="31"/>
        <v>0856½</v>
      </c>
      <c r="L256" t="str">
        <f t="shared" si="32"/>
        <v>Plat 9</v>
      </c>
      <c r="M256" s="8" t="str">
        <f t="shared" si="28"/>
        <v xml:space="preserve"> 9</v>
      </c>
      <c r="N256" s="4" t="s">
        <v>1372</v>
      </c>
      <c r="O256"/>
    </row>
    <row r="257" spans="2:24" ht="15" customHeight="1" x14ac:dyDescent="0.25">
      <c r="B257" s="3" t="s">
        <v>1565</v>
      </c>
      <c r="C257" s="1" t="s">
        <v>1566</v>
      </c>
      <c r="D257" s="2" t="s">
        <v>1372</v>
      </c>
      <c r="E257" s="1" t="s">
        <v>1043</v>
      </c>
      <c r="F257" s="2" t="s">
        <v>1044</v>
      </c>
      <c r="G257" s="1" t="s">
        <v>1567</v>
      </c>
      <c r="H257" s="12" t="s">
        <v>1046</v>
      </c>
      <c r="I257" s="13" t="str">
        <f t="shared" si="29"/>
        <v>2W</v>
      </c>
      <c r="J257" t="str">
        <f t="shared" si="30"/>
        <v>0856½</v>
      </c>
      <c r="K257" t="str">
        <f t="shared" si="31"/>
        <v>0858½</v>
      </c>
      <c r="L257" t="str">
        <f t="shared" si="32"/>
        <v>Plat 8</v>
      </c>
      <c r="M257" s="8" t="str">
        <f t="shared" si="28"/>
        <v xml:space="preserve"> 8</v>
      </c>
      <c r="N257" s="4" t="s">
        <v>3012</v>
      </c>
      <c r="O257" s="4" t="s">
        <v>3013</v>
      </c>
      <c r="P257" s="4" t="s">
        <v>1181</v>
      </c>
      <c r="Q257" s="4" t="s">
        <v>3014</v>
      </c>
      <c r="R257" s="4" t="s">
        <v>3015</v>
      </c>
      <c r="S257" s="4" t="s">
        <v>3016</v>
      </c>
      <c r="T257" s="4" t="s">
        <v>3004</v>
      </c>
      <c r="U257" s="4" t="s">
        <v>1161</v>
      </c>
      <c r="V257" s="4" t="s">
        <v>3017</v>
      </c>
      <c r="W257" s="4" t="s">
        <v>3018</v>
      </c>
      <c r="X257" s="4" t="s">
        <v>1044</v>
      </c>
    </row>
    <row r="258" spans="2:24" ht="15" customHeight="1" x14ac:dyDescent="0.25">
      <c r="B258" s="3" t="s">
        <v>1568</v>
      </c>
      <c r="C258" s="1" t="s">
        <v>1569</v>
      </c>
      <c r="D258" s="2" t="s">
        <v>1074</v>
      </c>
      <c r="E258" s="1" t="s">
        <v>1075</v>
      </c>
      <c r="F258" s="1" t="s">
        <v>1051</v>
      </c>
      <c r="G258" s="1"/>
      <c r="H258" s="12" t="s">
        <v>1040</v>
      </c>
      <c r="I258" s="13" t="str">
        <f t="shared" si="29"/>
        <v>2N</v>
      </c>
      <c r="J258" t="str">
        <f t="shared" si="30"/>
        <v xml:space="preserve">0859 </v>
      </c>
      <c r="K258" t="str">
        <f t="shared" si="31"/>
        <v/>
      </c>
      <c r="L258" t="str">
        <f t="shared" si="32"/>
        <v>Plat 2</v>
      </c>
      <c r="M258" s="8" t="str">
        <f t="shared" si="28"/>
        <v xml:space="preserve"> 2</v>
      </c>
      <c r="O258"/>
    </row>
    <row r="259" spans="2:24" ht="15" customHeight="1" x14ac:dyDescent="0.25">
      <c r="B259" s="3" t="s">
        <v>317</v>
      </c>
      <c r="C259" s="1" t="s">
        <v>173</v>
      </c>
      <c r="D259" s="2" t="s">
        <v>1473</v>
      </c>
      <c r="E259" s="1" t="s">
        <v>1047</v>
      </c>
      <c r="F259" s="2" t="s">
        <v>1372</v>
      </c>
      <c r="G259" s="1" t="s">
        <v>1571</v>
      </c>
      <c r="H259" s="12" t="s">
        <v>1046</v>
      </c>
      <c r="I259" s="13" t="str">
        <f t="shared" si="29"/>
        <v>1F</v>
      </c>
      <c r="J259" t="str">
        <f t="shared" si="30"/>
        <v xml:space="preserve">0859 </v>
      </c>
      <c r="K259" t="str">
        <f t="shared" si="31"/>
        <v xml:space="preserve">0900 </v>
      </c>
      <c r="L259" t="str">
        <f t="shared" si="32"/>
        <v>Plat 9</v>
      </c>
      <c r="M259" s="8" t="str">
        <f t="shared" si="28"/>
        <v xml:space="preserve"> 9</v>
      </c>
      <c r="N259" s="4" t="s">
        <v>1372</v>
      </c>
      <c r="O259"/>
    </row>
    <row r="260" spans="2:24" ht="15" customHeight="1" x14ac:dyDescent="0.25">
      <c r="B260" s="3" t="s">
        <v>1570</v>
      </c>
      <c r="C260" s="1"/>
      <c r="D260" s="1" t="s">
        <v>1037</v>
      </c>
      <c r="E260" s="1" t="s">
        <v>1038</v>
      </c>
      <c r="F260" s="2" t="s">
        <v>1039</v>
      </c>
      <c r="G260" s="1" t="s">
        <v>1571</v>
      </c>
      <c r="H260" s="12" t="s">
        <v>1040</v>
      </c>
      <c r="I260" s="13" t="str">
        <f t="shared" si="29"/>
        <v>2Y</v>
      </c>
      <c r="J260" t="str">
        <f t="shared" si="30"/>
        <v/>
      </c>
      <c r="K260" t="str">
        <f t="shared" si="31"/>
        <v xml:space="preserve">0900 </v>
      </c>
      <c r="L260" t="str">
        <f t="shared" si="32"/>
        <v>Plat 1</v>
      </c>
      <c r="M260" s="8" t="str">
        <f t="shared" si="28"/>
        <v xml:space="preserve"> 1</v>
      </c>
      <c r="N260" s="4" t="s">
        <v>3010</v>
      </c>
      <c r="O260" s="15" t="s">
        <v>3011</v>
      </c>
    </row>
    <row r="261" spans="2:24" ht="15" customHeight="1" x14ac:dyDescent="0.25">
      <c r="B261" s="3" t="s">
        <v>1572</v>
      </c>
      <c r="C261" s="1" t="s">
        <v>170</v>
      </c>
      <c r="D261" s="2" t="s">
        <v>1181</v>
      </c>
      <c r="E261" s="1" t="s">
        <v>1054</v>
      </c>
      <c r="F261" s="2" t="s">
        <v>1372</v>
      </c>
      <c r="G261" s="1" t="s">
        <v>1571</v>
      </c>
      <c r="H261" s="12" t="s">
        <v>1046</v>
      </c>
      <c r="I261" s="13" t="str">
        <f t="shared" si="29"/>
        <v>2C</v>
      </c>
      <c r="J261" t="str">
        <f t="shared" si="30"/>
        <v xml:space="preserve">0858 </v>
      </c>
      <c r="K261" t="str">
        <f t="shared" si="31"/>
        <v xml:space="preserve">0900 </v>
      </c>
      <c r="L261" t="str">
        <f t="shared" si="32"/>
        <v>Plat 5</v>
      </c>
      <c r="M261" s="8" t="str">
        <f t="shared" si="28"/>
        <v xml:space="preserve"> 5</v>
      </c>
      <c r="N261" s="4" t="s">
        <v>1372</v>
      </c>
      <c r="O261"/>
    </row>
    <row r="262" spans="2:24" ht="15" customHeight="1" x14ac:dyDescent="0.25">
      <c r="B262" s="3" t="s">
        <v>1573</v>
      </c>
      <c r="C262" s="1"/>
      <c r="D262" s="1" t="s">
        <v>1037</v>
      </c>
      <c r="E262" s="1" t="s">
        <v>2148</v>
      </c>
      <c r="F262" s="2" t="s">
        <v>1254</v>
      </c>
      <c r="G262" s="1" t="s">
        <v>1571</v>
      </c>
      <c r="H262" s="12" t="s">
        <v>1046</v>
      </c>
      <c r="I262" s="13" t="str">
        <f t="shared" si="29"/>
        <v>2S</v>
      </c>
      <c r="J262" t="str">
        <f t="shared" si="30"/>
        <v/>
      </c>
      <c r="K262" t="str">
        <f t="shared" si="31"/>
        <v xml:space="preserve">0900 </v>
      </c>
      <c r="L262" t="str">
        <f t="shared" si="32"/>
        <v>Plat11</v>
      </c>
      <c r="M262" s="8" t="str">
        <f t="shared" si="28"/>
        <v>11</v>
      </c>
      <c r="N262" t="s">
        <v>2975</v>
      </c>
      <c r="O262" t="s">
        <v>3039</v>
      </c>
      <c r="P262" t="s">
        <v>3040</v>
      </c>
      <c r="Q262" t="s">
        <v>2978</v>
      </c>
      <c r="R262" t="s">
        <v>1298</v>
      </c>
      <c r="S262" t="s">
        <v>2979</v>
      </c>
      <c r="T262" t="s">
        <v>2980</v>
      </c>
      <c r="U262" t="s">
        <v>2981</v>
      </c>
      <c r="V262" t="s">
        <v>2982</v>
      </c>
      <c r="W262" t="s">
        <v>1254</v>
      </c>
    </row>
    <row r="263" spans="2:24" ht="15" customHeight="1" x14ac:dyDescent="0.25">
      <c r="B263" s="3" t="s">
        <v>1577</v>
      </c>
      <c r="C263" s="1" t="s">
        <v>1578</v>
      </c>
      <c r="D263" s="2" t="s">
        <v>1372</v>
      </c>
      <c r="E263" s="1" t="s">
        <v>1043</v>
      </c>
      <c r="F263" s="2" t="s">
        <v>1161</v>
      </c>
      <c r="G263" s="1" t="s">
        <v>1579</v>
      </c>
      <c r="H263" s="12" t="s">
        <v>1046</v>
      </c>
      <c r="I263" s="13" t="str">
        <f t="shared" ref="I263:I312" si="33">LEFT(B263,2)</f>
        <v>2C</v>
      </c>
      <c r="J263" t="str">
        <f t="shared" ref="J263:J312" si="34">LEFT(C263,5)</f>
        <v>0900½</v>
      </c>
      <c r="K263" t="str">
        <f t="shared" ref="K263:K312" si="35">LEFT(G263,5)</f>
        <v>0901½</v>
      </c>
      <c r="L263" t="str">
        <f t="shared" ref="L263:L312" si="36">LEFT(E263,6)</f>
        <v>Plat 8</v>
      </c>
      <c r="M263" s="8" t="str">
        <f t="shared" si="28"/>
        <v xml:space="preserve"> 8</v>
      </c>
      <c r="N263" t="s">
        <v>1181</v>
      </c>
      <c r="O263" t="s">
        <v>3004</v>
      </c>
      <c r="P263" t="s">
        <v>1161</v>
      </c>
    </row>
    <row r="264" spans="2:24" ht="15" customHeight="1" x14ac:dyDescent="0.25">
      <c r="B264" s="3" t="s">
        <v>1580</v>
      </c>
      <c r="C264" s="1" t="s">
        <v>1581</v>
      </c>
      <c r="D264" s="2" t="s">
        <v>1372</v>
      </c>
      <c r="E264" s="1" t="s">
        <v>1156</v>
      </c>
      <c r="F264" s="2" t="s">
        <v>1058</v>
      </c>
      <c r="G264" s="1" t="s">
        <v>171</v>
      </c>
      <c r="H264" s="12" t="s">
        <v>1046</v>
      </c>
      <c r="I264" s="13" t="str">
        <f t="shared" si="33"/>
        <v>1K</v>
      </c>
      <c r="J264" t="str">
        <f t="shared" si="34"/>
        <v>0901½</v>
      </c>
      <c r="K264" t="str">
        <f t="shared" si="35"/>
        <v xml:space="preserve">0902 </v>
      </c>
      <c r="L264" t="str">
        <f t="shared" si="36"/>
        <v>Plat10</v>
      </c>
      <c r="M264" s="8" t="str">
        <f t="shared" si="28"/>
        <v>10</v>
      </c>
      <c r="N264" s="4" t="s">
        <v>1044</v>
      </c>
      <c r="O264" s="4" t="s">
        <v>3019</v>
      </c>
      <c r="P264" s="4" t="s">
        <v>3020</v>
      </c>
      <c r="Q264" s="4" t="s">
        <v>3021</v>
      </c>
      <c r="R264" s="4" t="s">
        <v>3022</v>
      </c>
      <c r="S264" s="4" t="s">
        <v>3023</v>
      </c>
      <c r="T264" s="4" t="s">
        <v>3024</v>
      </c>
      <c r="U264" s="4" t="s">
        <v>3025</v>
      </c>
      <c r="V264" s="4" t="s">
        <v>1058</v>
      </c>
    </row>
    <row r="265" spans="2:24" ht="15" customHeight="1" x14ac:dyDescent="0.25">
      <c r="B265" s="3" t="s">
        <v>1582</v>
      </c>
      <c r="C265" s="1" t="s">
        <v>171</v>
      </c>
      <c r="D265" s="2" t="s">
        <v>1161</v>
      </c>
      <c r="E265" s="1" t="s">
        <v>1054</v>
      </c>
      <c r="F265" s="2" t="s">
        <v>1372</v>
      </c>
      <c r="G265" s="1" t="s">
        <v>174</v>
      </c>
      <c r="H265" s="12" t="s">
        <v>1046</v>
      </c>
      <c r="I265" s="13" t="str">
        <f t="shared" si="33"/>
        <v>2C</v>
      </c>
      <c r="J265" t="str">
        <f t="shared" si="34"/>
        <v xml:space="preserve">0902 </v>
      </c>
      <c r="K265" t="str">
        <f t="shared" si="35"/>
        <v xml:space="preserve">0903 </v>
      </c>
      <c r="L265" t="str">
        <f t="shared" si="36"/>
        <v>Plat 5</v>
      </c>
      <c r="M265" s="8" t="str">
        <f t="shared" si="28"/>
        <v xml:space="preserve"> 5</v>
      </c>
      <c r="N265" s="4" t="s">
        <v>1372</v>
      </c>
      <c r="O265"/>
    </row>
    <row r="266" spans="2:24" ht="15" customHeight="1" x14ac:dyDescent="0.25">
      <c r="B266" s="3" t="s">
        <v>1583</v>
      </c>
      <c r="C266" s="1" t="s">
        <v>1584</v>
      </c>
      <c r="D266" s="2" t="s">
        <v>1039</v>
      </c>
      <c r="E266" s="1" t="s">
        <v>1050</v>
      </c>
      <c r="F266" s="1" t="s">
        <v>1051</v>
      </c>
      <c r="G266" s="1"/>
      <c r="H266" s="12" t="s">
        <v>1040</v>
      </c>
      <c r="I266" s="13" t="str">
        <f t="shared" si="33"/>
        <v>2L</v>
      </c>
      <c r="J266" t="str">
        <f t="shared" si="34"/>
        <v xml:space="preserve">0904 </v>
      </c>
      <c r="K266" t="str">
        <f t="shared" si="35"/>
        <v/>
      </c>
      <c r="L266" t="str">
        <f t="shared" si="36"/>
        <v>Plat 1</v>
      </c>
      <c r="M266" s="8" t="str">
        <f t="shared" si="28"/>
        <v xml:space="preserve"> 1</v>
      </c>
      <c r="O266"/>
    </row>
    <row r="267" spans="2:24" ht="15" customHeight="1" x14ac:dyDescent="0.25">
      <c r="B267" s="3" t="s">
        <v>1585</v>
      </c>
      <c r="C267" s="1" t="s">
        <v>1586</v>
      </c>
      <c r="D267" s="2" t="s">
        <v>1372</v>
      </c>
      <c r="E267" s="1" t="s">
        <v>1043</v>
      </c>
      <c r="F267" s="2" t="s">
        <v>1181</v>
      </c>
      <c r="G267" s="1" t="s">
        <v>1587</v>
      </c>
      <c r="H267" s="12" t="s">
        <v>1046</v>
      </c>
      <c r="I267" s="13" t="str">
        <f t="shared" si="33"/>
        <v>2C</v>
      </c>
      <c r="J267" t="str">
        <f t="shared" si="34"/>
        <v>0903½</v>
      </c>
      <c r="K267" t="str">
        <f t="shared" si="35"/>
        <v>0904½</v>
      </c>
      <c r="L267" t="str">
        <f t="shared" si="36"/>
        <v>Plat 8</v>
      </c>
      <c r="M267" s="8" t="str">
        <f t="shared" si="28"/>
        <v xml:space="preserve"> 8</v>
      </c>
      <c r="N267" t="s">
        <v>1181</v>
      </c>
      <c r="O267"/>
    </row>
    <row r="268" spans="2:24" ht="15" customHeight="1" x14ac:dyDescent="0.25">
      <c r="B268" s="3" t="s">
        <v>1588</v>
      </c>
      <c r="C268" s="1" t="s">
        <v>1589</v>
      </c>
      <c r="D268" s="2" t="s">
        <v>1058</v>
      </c>
      <c r="E268" s="1" t="s">
        <v>1047</v>
      </c>
      <c r="F268" s="2" t="s">
        <v>1372</v>
      </c>
      <c r="G268" s="1" t="s">
        <v>1590</v>
      </c>
      <c r="H268" s="12" t="s">
        <v>1046</v>
      </c>
      <c r="I268" s="13" t="str">
        <f t="shared" si="33"/>
        <v>2K</v>
      </c>
      <c r="J268" t="str">
        <f t="shared" si="34"/>
        <v>0904½</v>
      </c>
      <c r="K268" t="str">
        <f t="shared" si="35"/>
        <v>0905½</v>
      </c>
      <c r="L268" t="str">
        <f t="shared" si="36"/>
        <v>Plat 9</v>
      </c>
      <c r="M268" s="8" t="str">
        <f t="shared" si="28"/>
        <v xml:space="preserve"> 9</v>
      </c>
      <c r="N268" s="4" t="s">
        <v>1372</v>
      </c>
      <c r="O268"/>
    </row>
    <row r="269" spans="2:24" ht="15" customHeight="1" x14ac:dyDescent="0.25">
      <c r="B269" s="3" t="s">
        <v>1591</v>
      </c>
      <c r="C269" s="1" t="s">
        <v>276</v>
      </c>
      <c r="D269" s="2" t="s">
        <v>1044</v>
      </c>
      <c r="E269" s="1" t="s">
        <v>1054</v>
      </c>
      <c r="F269" s="2" t="s">
        <v>1372</v>
      </c>
      <c r="G269" s="1" t="s">
        <v>1592</v>
      </c>
      <c r="H269" s="12" t="s">
        <v>1046</v>
      </c>
      <c r="I269" s="13" t="str">
        <f t="shared" si="33"/>
        <v>2W</v>
      </c>
      <c r="J269" t="str">
        <f t="shared" si="34"/>
        <v xml:space="preserve">0905 </v>
      </c>
      <c r="K269" t="str">
        <f t="shared" si="35"/>
        <v xml:space="preserve">0906 </v>
      </c>
      <c r="L269" t="str">
        <f t="shared" si="36"/>
        <v>Plat 5</v>
      </c>
      <c r="M269" s="8" t="str">
        <f t="shared" si="28"/>
        <v xml:space="preserve"> 5</v>
      </c>
      <c r="N269" s="4" t="s">
        <v>1372</v>
      </c>
      <c r="O269"/>
    </row>
    <row r="270" spans="2:24" ht="15" customHeight="1" x14ac:dyDescent="0.25">
      <c r="B270" s="3" t="s">
        <v>1593</v>
      </c>
      <c r="C270" s="1"/>
      <c r="D270" s="1" t="s">
        <v>1037</v>
      </c>
      <c r="E270" s="1" t="s">
        <v>1061</v>
      </c>
      <c r="F270" s="2" t="s">
        <v>1074</v>
      </c>
      <c r="G270" s="1" t="s">
        <v>1594</v>
      </c>
      <c r="H270" s="12" t="s">
        <v>1040</v>
      </c>
      <c r="I270" s="13" t="str">
        <f t="shared" si="33"/>
        <v>2N</v>
      </c>
      <c r="J270" t="str">
        <f t="shared" si="34"/>
        <v/>
      </c>
      <c r="K270" t="str">
        <f t="shared" si="35"/>
        <v xml:space="preserve">0907 </v>
      </c>
      <c r="L270" t="str">
        <f t="shared" si="36"/>
        <v>Plat 2</v>
      </c>
      <c r="M270" s="8" t="str">
        <f t="shared" si="28"/>
        <v xml:space="preserve"> 2</v>
      </c>
      <c r="N270" s="4" t="s">
        <v>3010</v>
      </c>
      <c r="O270" s="15" t="s">
        <v>3011</v>
      </c>
    </row>
    <row r="271" spans="2:24" ht="15" customHeight="1" x14ac:dyDescent="0.25">
      <c r="B271" s="3" t="s">
        <v>1153</v>
      </c>
      <c r="C271" s="1" t="s">
        <v>1595</v>
      </c>
      <c r="D271" s="2" t="s">
        <v>1372</v>
      </c>
      <c r="E271" s="1" t="s">
        <v>1043</v>
      </c>
      <c r="F271" s="2" t="s">
        <v>1044</v>
      </c>
      <c r="G271" s="1" t="s">
        <v>1596</v>
      </c>
      <c r="H271" s="12" t="s">
        <v>1046</v>
      </c>
      <c r="I271" s="13" t="str">
        <f t="shared" si="33"/>
        <v>2W</v>
      </c>
      <c r="J271" t="str">
        <f t="shared" si="34"/>
        <v>0906½</v>
      </c>
      <c r="K271" t="str">
        <f t="shared" si="35"/>
        <v>0907½</v>
      </c>
      <c r="L271" t="str">
        <f t="shared" si="36"/>
        <v>Plat 8</v>
      </c>
      <c r="M271" s="8" t="str">
        <f t="shared" si="28"/>
        <v xml:space="preserve"> 8</v>
      </c>
      <c r="N271" s="4" t="s">
        <v>3012</v>
      </c>
      <c r="O271" s="4" t="s">
        <v>3013</v>
      </c>
      <c r="P271" s="4" t="s">
        <v>1181</v>
      </c>
      <c r="Q271" s="4" t="s">
        <v>3014</v>
      </c>
      <c r="R271" s="4" t="s">
        <v>3015</v>
      </c>
      <c r="S271" s="4" t="s">
        <v>3016</v>
      </c>
      <c r="T271" s="4" t="s">
        <v>3004</v>
      </c>
      <c r="U271" s="4" t="s">
        <v>1161</v>
      </c>
      <c r="V271" s="4" t="s">
        <v>3017</v>
      </c>
      <c r="W271" s="4" t="s">
        <v>3018</v>
      </c>
      <c r="X271" s="4" t="s">
        <v>1044</v>
      </c>
    </row>
    <row r="272" spans="2:24" ht="15" customHeight="1" x14ac:dyDescent="0.25">
      <c r="B272" s="3" t="s">
        <v>347</v>
      </c>
      <c r="C272" s="1" t="s">
        <v>1597</v>
      </c>
      <c r="D272" s="2" t="s">
        <v>1237</v>
      </c>
      <c r="E272" s="1" t="s">
        <v>1047</v>
      </c>
      <c r="F272" s="2" t="s">
        <v>1372</v>
      </c>
      <c r="G272" s="1" t="s">
        <v>1598</v>
      </c>
      <c r="H272" s="12" t="s">
        <v>1046</v>
      </c>
      <c r="I272" s="13" t="str">
        <f t="shared" si="33"/>
        <v>1F</v>
      </c>
      <c r="J272" t="str">
        <f t="shared" si="34"/>
        <v>0907½</v>
      </c>
      <c r="K272" t="str">
        <f t="shared" si="35"/>
        <v>0908½</v>
      </c>
      <c r="L272" t="str">
        <f t="shared" si="36"/>
        <v>Plat 9</v>
      </c>
      <c r="M272" s="8" t="str">
        <f t="shared" si="28"/>
        <v xml:space="preserve"> 9</v>
      </c>
      <c r="N272" s="4" t="s">
        <v>1372</v>
      </c>
      <c r="O272"/>
    </row>
    <row r="273" spans="2:24" ht="15" customHeight="1" x14ac:dyDescent="0.25">
      <c r="B273" s="3" t="s">
        <v>1599</v>
      </c>
      <c r="C273" s="1" t="s">
        <v>1600</v>
      </c>
      <c r="D273" s="2" t="s">
        <v>1372</v>
      </c>
      <c r="E273" s="1" t="s">
        <v>1156</v>
      </c>
      <c r="F273" s="2" t="s">
        <v>1242</v>
      </c>
      <c r="G273" s="1" t="s">
        <v>277</v>
      </c>
      <c r="H273" s="12" t="s">
        <v>1046</v>
      </c>
      <c r="I273" s="13" t="str">
        <f t="shared" si="33"/>
        <v>1Y</v>
      </c>
      <c r="J273" t="str">
        <f t="shared" si="34"/>
        <v>0908½</v>
      </c>
      <c r="K273" t="str">
        <f t="shared" si="35"/>
        <v xml:space="preserve">0909 </v>
      </c>
      <c r="L273" t="str">
        <f t="shared" si="36"/>
        <v>Plat10</v>
      </c>
      <c r="M273" s="8" t="str">
        <f t="shared" si="28"/>
        <v>10</v>
      </c>
      <c r="N273" t="s">
        <v>1044</v>
      </c>
      <c r="O273" t="s">
        <v>1473</v>
      </c>
      <c r="P273" t="s">
        <v>3000</v>
      </c>
      <c r="Q273" t="s">
        <v>3001</v>
      </c>
      <c r="R273" t="s">
        <v>3002</v>
      </c>
      <c r="S273" t="s">
        <v>3003</v>
      </c>
      <c r="T273" t="s">
        <v>1091</v>
      </c>
      <c r="U273" t="s">
        <v>3006</v>
      </c>
      <c r="V273" t="s">
        <v>1242</v>
      </c>
    </row>
    <row r="274" spans="2:24" ht="15" customHeight="1" x14ac:dyDescent="0.25">
      <c r="B274" s="3" t="s">
        <v>1601</v>
      </c>
      <c r="C274" s="1" t="s">
        <v>1602</v>
      </c>
      <c r="D274" s="2" t="s">
        <v>1181</v>
      </c>
      <c r="E274" s="1" t="s">
        <v>1054</v>
      </c>
      <c r="F274" s="2" t="s">
        <v>1372</v>
      </c>
      <c r="G274" s="1" t="s">
        <v>279</v>
      </c>
      <c r="H274" s="12" t="s">
        <v>1046</v>
      </c>
      <c r="I274" s="13" t="str">
        <f t="shared" si="33"/>
        <v>2C</v>
      </c>
      <c r="J274" t="str">
        <f t="shared" si="34"/>
        <v xml:space="preserve">0908 </v>
      </c>
      <c r="K274" t="str">
        <f t="shared" si="35"/>
        <v xml:space="preserve">0910 </v>
      </c>
      <c r="L274" t="str">
        <f t="shared" si="36"/>
        <v>Plat 5</v>
      </c>
      <c r="M274" s="8" t="str">
        <f t="shared" si="28"/>
        <v xml:space="preserve"> 5</v>
      </c>
      <c r="N274" s="4" t="s">
        <v>1372</v>
      </c>
      <c r="O274"/>
    </row>
    <row r="275" spans="2:24" ht="15" customHeight="1" x14ac:dyDescent="0.25">
      <c r="B275" s="3" t="s">
        <v>1603</v>
      </c>
      <c r="C275" s="1" t="s">
        <v>1604</v>
      </c>
      <c r="D275" s="2" t="s">
        <v>1079</v>
      </c>
      <c r="E275" s="1" t="s">
        <v>2148</v>
      </c>
      <c r="F275" s="1" t="s">
        <v>1051</v>
      </c>
      <c r="G275" s="1"/>
      <c r="H275" s="12" t="s">
        <v>1046</v>
      </c>
      <c r="I275" s="13" t="str">
        <f t="shared" si="33"/>
        <v>2O</v>
      </c>
      <c r="J275" t="str">
        <f t="shared" si="34"/>
        <v xml:space="preserve">0911 </v>
      </c>
      <c r="K275" t="str">
        <f t="shared" si="35"/>
        <v/>
      </c>
      <c r="L275" t="str">
        <f t="shared" si="36"/>
        <v>Plat11</v>
      </c>
      <c r="M275" s="8" t="str">
        <f t="shared" si="28"/>
        <v>11</v>
      </c>
      <c r="O275"/>
    </row>
    <row r="276" spans="2:24" ht="15" customHeight="1" x14ac:dyDescent="0.25">
      <c r="B276" s="3" t="s">
        <v>1605</v>
      </c>
      <c r="C276" s="1" t="s">
        <v>1606</v>
      </c>
      <c r="D276" s="2" t="s">
        <v>1372</v>
      </c>
      <c r="E276" s="1" t="s">
        <v>1043</v>
      </c>
      <c r="F276" s="2" t="s">
        <v>1161</v>
      </c>
      <c r="G276" s="1" t="s">
        <v>1607</v>
      </c>
      <c r="H276" s="12" t="s">
        <v>1046</v>
      </c>
      <c r="I276" s="13" t="str">
        <f t="shared" si="33"/>
        <v>2C</v>
      </c>
      <c r="J276" t="str">
        <f t="shared" si="34"/>
        <v>0911½</v>
      </c>
      <c r="K276" t="str">
        <f t="shared" si="35"/>
        <v>0912½</v>
      </c>
      <c r="L276" t="str">
        <f t="shared" si="36"/>
        <v>Plat 8</v>
      </c>
      <c r="M276" s="8" t="str">
        <f t="shared" si="28"/>
        <v xml:space="preserve"> 8</v>
      </c>
      <c r="N276" t="s">
        <v>1181</v>
      </c>
      <c r="O276" t="s">
        <v>3004</v>
      </c>
      <c r="P276" t="s">
        <v>1161</v>
      </c>
    </row>
    <row r="277" spans="2:24" ht="15" customHeight="1" x14ac:dyDescent="0.25">
      <c r="B277" s="3" t="s">
        <v>1608</v>
      </c>
      <c r="C277" s="1" t="s">
        <v>282</v>
      </c>
      <c r="D277" s="2" t="s">
        <v>1161</v>
      </c>
      <c r="E277" s="1" t="s">
        <v>1054</v>
      </c>
      <c r="F277" s="2" t="s">
        <v>1372</v>
      </c>
      <c r="G277" s="1" t="s">
        <v>1609</v>
      </c>
      <c r="H277" s="12" t="s">
        <v>1046</v>
      </c>
      <c r="I277" s="13" t="str">
        <f t="shared" si="33"/>
        <v>2C</v>
      </c>
      <c r="J277" t="str">
        <f t="shared" si="34"/>
        <v xml:space="preserve">0912 </v>
      </c>
      <c r="K277" t="str">
        <f t="shared" si="35"/>
        <v xml:space="preserve">0913 </v>
      </c>
      <c r="L277" t="str">
        <f t="shared" si="36"/>
        <v>Plat 5</v>
      </c>
      <c r="M277" s="8" t="str">
        <f t="shared" si="28"/>
        <v xml:space="preserve"> 5</v>
      </c>
      <c r="N277" s="4" t="s">
        <v>1372</v>
      </c>
      <c r="O277"/>
    </row>
    <row r="278" spans="2:24" ht="15" customHeight="1" x14ac:dyDescent="0.25">
      <c r="B278" s="3" t="s">
        <v>1610</v>
      </c>
      <c r="C278" s="1" t="s">
        <v>1611</v>
      </c>
      <c r="D278" s="2" t="s">
        <v>1074</v>
      </c>
      <c r="E278" s="1" t="s">
        <v>1075</v>
      </c>
      <c r="F278" s="1" t="s">
        <v>1051</v>
      </c>
      <c r="G278" s="1"/>
      <c r="H278" s="12" t="s">
        <v>1040</v>
      </c>
      <c r="I278" s="13" t="str">
        <f t="shared" si="33"/>
        <v>2N</v>
      </c>
      <c r="J278" t="str">
        <f t="shared" si="34"/>
        <v xml:space="preserve">0914 </v>
      </c>
      <c r="K278" t="str">
        <f t="shared" si="35"/>
        <v/>
      </c>
      <c r="L278" t="str">
        <f t="shared" si="36"/>
        <v>Plat 2</v>
      </c>
      <c r="M278" s="8" t="str">
        <f t="shared" si="28"/>
        <v xml:space="preserve"> 2</v>
      </c>
      <c r="O278"/>
    </row>
    <row r="279" spans="2:24" ht="15" customHeight="1" x14ac:dyDescent="0.25">
      <c r="B279" s="3" t="s">
        <v>1612</v>
      </c>
      <c r="C279" s="1"/>
      <c r="D279" s="1" t="s">
        <v>1037</v>
      </c>
      <c r="E279" s="1" t="s">
        <v>1038</v>
      </c>
      <c r="F279" s="2" t="s">
        <v>1039</v>
      </c>
      <c r="G279" s="1" t="s">
        <v>1613</v>
      </c>
      <c r="H279" s="12" t="s">
        <v>1040</v>
      </c>
      <c r="I279" s="13" t="str">
        <f t="shared" si="33"/>
        <v>2Y</v>
      </c>
      <c r="J279" t="str">
        <f t="shared" si="34"/>
        <v/>
      </c>
      <c r="K279" t="str">
        <f t="shared" si="35"/>
        <v xml:space="preserve">0915 </v>
      </c>
      <c r="L279" t="str">
        <f t="shared" si="36"/>
        <v>Plat 1</v>
      </c>
      <c r="M279" s="8" t="str">
        <f t="shared" si="28"/>
        <v xml:space="preserve"> 1</v>
      </c>
      <c r="N279" s="4" t="s">
        <v>3010</v>
      </c>
      <c r="O279" s="15" t="s">
        <v>3011</v>
      </c>
    </row>
    <row r="280" spans="2:24" ht="15" customHeight="1" x14ac:dyDescent="0.25">
      <c r="B280" s="3" t="s">
        <v>1614</v>
      </c>
      <c r="C280" s="1" t="s">
        <v>280</v>
      </c>
      <c r="D280" s="2" t="s">
        <v>1066</v>
      </c>
      <c r="E280" s="1" t="s">
        <v>1047</v>
      </c>
      <c r="F280" s="2" t="s">
        <v>1372</v>
      </c>
      <c r="G280" s="1" t="s">
        <v>1613</v>
      </c>
      <c r="H280" s="12" t="s">
        <v>1046</v>
      </c>
      <c r="I280" s="13" t="str">
        <f t="shared" si="33"/>
        <v>1P</v>
      </c>
      <c r="J280" t="str">
        <f t="shared" si="34"/>
        <v xml:space="preserve">0914 </v>
      </c>
      <c r="K280" t="str">
        <f t="shared" si="35"/>
        <v xml:space="preserve">0915 </v>
      </c>
      <c r="L280" t="str">
        <f t="shared" si="36"/>
        <v>Plat 9</v>
      </c>
      <c r="M280" s="8" t="str">
        <f t="shared" si="28"/>
        <v xml:space="preserve"> 9</v>
      </c>
      <c r="N280" s="4" t="s">
        <v>1372</v>
      </c>
      <c r="O280"/>
    </row>
    <row r="281" spans="2:24" ht="15" customHeight="1" x14ac:dyDescent="0.25">
      <c r="B281" s="3" t="s">
        <v>1615</v>
      </c>
      <c r="C281" s="1" t="s">
        <v>1616</v>
      </c>
      <c r="D281" s="2" t="s">
        <v>1372</v>
      </c>
      <c r="E281" s="1" t="s">
        <v>1043</v>
      </c>
      <c r="F281" s="2" t="s">
        <v>1044</v>
      </c>
      <c r="G281" s="1" t="s">
        <v>1617</v>
      </c>
      <c r="H281" s="12" t="s">
        <v>1046</v>
      </c>
      <c r="I281" s="13" t="str">
        <f t="shared" si="33"/>
        <v>2W</v>
      </c>
      <c r="J281" t="str">
        <f t="shared" si="34"/>
        <v>0916½</v>
      </c>
      <c r="K281" t="str">
        <f t="shared" si="35"/>
        <v>0917½</v>
      </c>
      <c r="L281" t="str">
        <f t="shared" si="36"/>
        <v>Plat 8</v>
      </c>
      <c r="M281" s="8" t="str">
        <f t="shared" si="28"/>
        <v xml:space="preserve"> 8</v>
      </c>
      <c r="N281" s="4" t="s">
        <v>3012</v>
      </c>
      <c r="O281" s="4" t="s">
        <v>3013</v>
      </c>
      <c r="P281" s="4" t="s">
        <v>1181</v>
      </c>
      <c r="Q281" s="4" t="s">
        <v>3014</v>
      </c>
      <c r="R281" s="4" t="s">
        <v>3015</v>
      </c>
      <c r="S281" s="4" t="s">
        <v>3016</v>
      </c>
      <c r="T281" s="4" t="s">
        <v>3004</v>
      </c>
      <c r="U281" s="4" t="s">
        <v>1161</v>
      </c>
      <c r="V281" s="4" t="s">
        <v>3017</v>
      </c>
      <c r="W281" s="4" t="s">
        <v>3018</v>
      </c>
      <c r="X281" s="4" t="s">
        <v>1044</v>
      </c>
    </row>
    <row r="282" spans="2:24" ht="15" customHeight="1" x14ac:dyDescent="0.25">
      <c r="B282" s="3" t="s">
        <v>95</v>
      </c>
      <c r="C282" s="1" t="s">
        <v>285</v>
      </c>
      <c r="D282" s="2" t="s">
        <v>1331</v>
      </c>
      <c r="E282" s="1" t="s">
        <v>1047</v>
      </c>
      <c r="F282" s="2" t="s">
        <v>1372</v>
      </c>
      <c r="G282" s="1" t="s">
        <v>1749</v>
      </c>
      <c r="H282" s="12" t="s">
        <v>1046</v>
      </c>
      <c r="I282" s="13" t="str">
        <f t="shared" si="33"/>
        <v>1J</v>
      </c>
      <c r="J282" t="str">
        <f t="shared" si="34"/>
        <v xml:space="preserve">0917 </v>
      </c>
      <c r="K282" t="str">
        <f t="shared" si="35"/>
        <v xml:space="preserve">0918 </v>
      </c>
      <c r="L282" t="str">
        <f t="shared" si="36"/>
        <v>Plat 9</v>
      </c>
      <c r="M282" s="8" t="str">
        <f t="shared" si="28"/>
        <v xml:space="preserve"> 9</v>
      </c>
      <c r="N282" s="4" t="s">
        <v>1372</v>
      </c>
      <c r="O282"/>
    </row>
    <row r="283" spans="2:24" ht="15" customHeight="1" x14ac:dyDescent="0.25">
      <c r="B283" s="3" t="s">
        <v>1618</v>
      </c>
      <c r="C283" s="1" t="s">
        <v>285</v>
      </c>
      <c r="D283" s="2" t="s">
        <v>1044</v>
      </c>
      <c r="E283" s="1" t="s">
        <v>1054</v>
      </c>
      <c r="F283" s="2" t="s">
        <v>1372</v>
      </c>
      <c r="G283" s="1" t="s">
        <v>288</v>
      </c>
      <c r="H283" s="12" t="s">
        <v>1046</v>
      </c>
      <c r="I283" s="13" t="str">
        <f t="shared" si="33"/>
        <v>2W</v>
      </c>
      <c r="J283" t="str">
        <f t="shared" si="34"/>
        <v xml:space="preserve">0917 </v>
      </c>
      <c r="K283" t="str">
        <f t="shared" si="35"/>
        <v xml:space="preserve">0919 </v>
      </c>
      <c r="L283" t="str">
        <f t="shared" si="36"/>
        <v>Plat 5</v>
      </c>
      <c r="M283" s="8" t="str">
        <f t="shared" si="28"/>
        <v xml:space="preserve"> 5</v>
      </c>
      <c r="N283" s="4" t="s">
        <v>1372</v>
      </c>
      <c r="O283"/>
    </row>
    <row r="284" spans="2:24" ht="15" customHeight="1" x14ac:dyDescent="0.25">
      <c r="B284" s="3" t="s">
        <v>1619</v>
      </c>
      <c r="C284" s="1" t="s">
        <v>1620</v>
      </c>
      <c r="D284" s="2" t="s">
        <v>1039</v>
      </c>
      <c r="E284" s="1" t="s">
        <v>1050</v>
      </c>
      <c r="F284" s="1" t="s">
        <v>1051</v>
      </c>
      <c r="G284" s="1"/>
      <c r="H284" s="12" t="s">
        <v>1040</v>
      </c>
      <c r="I284" s="13" t="str">
        <f t="shared" si="33"/>
        <v>2L</v>
      </c>
      <c r="J284" t="str">
        <f t="shared" si="34"/>
        <v xml:space="preserve">0919 </v>
      </c>
      <c r="K284" t="str">
        <f t="shared" si="35"/>
        <v/>
      </c>
      <c r="L284" t="str">
        <f t="shared" si="36"/>
        <v>Plat 1</v>
      </c>
      <c r="M284" s="8" t="str">
        <f t="shared" si="28"/>
        <v xml:space="preserve"> 1</v>
      </c>
      <c r="O284"/>
    </row>
    <row r="285" spans="2:24" ht="15" customHeight="1" x14ac:dyDescent="0.25">
      <c r="B285" s="3" t="s">
        <v>1621</v>
      </c>
      <c r="C285" s="1" t="s">
        <v>1622</v>
      </c>
      <c r="D285" s="2" t="s">
        <v>1372</v>
      </c>
      <c r="E285" s="1" t="s">
        <v>1156</v>
      </c>
      <c r="F285" s="2" t="s">
        <v>1058</v>
      </c>
      <c r="G285" s="1" t="s">
        <v>286</v>
      </c>
      <c r="H285" s="12" t="s">
        <v>1046</v>
      </c>
      <c r="I285" s="13" t="str">
        <f t="shared" si="33"/>
        <v>1K</v>
      </c>
      <c r="J285" t="str">
        <f t="shared" si="34"/>
        <v>0920½</v>
      </c>
      <c r="K285" t="str">
        <f t="shared" si="35"/>
        <v xml:space="preserve">0921 </v>
      </c>
      <c r="L285" t="str">
        <f t="shared" si="36"/>
        <v>Plat10</v>
      </c>
      <c r="M285" s="8" t="str">
        <f t="shared" si="28"/>
        <v>10</v>
      </c>
      <c r="N285" s="4" t="s">
        <v>1044</v>
      </c>
      <c r="O285" s="4" t="s">
        <v>3019</v>
      </c>
      <c r="P285" s="4" t="s">
        <v>3020</v>
      </c>
      <c r="Q285" s="4" t="s">
        <v>3021</v>
      </c>
      <c r="R285" s="4" t="s">
        <v>3022</v>
      </c>
      <c r="S285" s="4" t="s">
        <v>3023</v>
      </c>
      <c r="T285" s="4" t="s">
        <v>3024</v>
      </c>
      <c r="U285" s="4" t="s">
        <v>3025</v>
      </c>
      <c r="V285" s="4" t="s">
        <v>1058</v>
      </c>
    </row>
    <row r="286" spans="2:24" ht="15" customHeight="1" x14ac:dyDescent="0.25">
      <c r="B286" s="3" t="s">
        <v>1623</v>
      </c>
      <c r="C286" s="1"/>
      <c r="D286" s="1" t="s">
        <v>1037</v>
      </c>
      <c r="E286" s="1" t="s">
        <v>1061</v>
      </c>
      <c r="F286" s="2" t="s">
        <v>1074</v>
      </c>
      <c r="G286" s="1" t="s">
        <v>1624</v>
      </c>
      <c r="H286" s="12" t="s">
        <v>1040</v>
      </c>
      <c r="I286" s="13" t="str">
        <f t="shared" si="33"/>
        <v>2N</v>
      </c>
      <c r="J286" t="str">
        <f t="shared" si="34"/>
        <v/>
      </c>
      <c r="K286" t="str">
        <f t="shared" si="35"/>
        <v xml:space="preserve">0922 </v>
      </c>
      <c r="L286" t="str">
        <f t="shared" si="36"/>
        <v>Plat 2</v>
      </c>
      <c r="M286" s="8" t="str">
        <f t="shared" ref="M286:M336" si="37">RIGHT(L286,2)</f>
        <v xml:space="preserve"> 2</v>
      </c>
      <c r="N286" s="4" t="s">
        <v>3010</v>
      </c>
      <c r="O286" s="15" t="s">
        <v>3011</v>
      </c>
    </row>
    <row r="287" spans="2:24" ht="15" customHeight="1" x14ac:dyDescent="0.25">
      <c r="B287" s="3" t="s">
        <v>1625</v>
      </c>
      <c r="C287" s="1" t="s">
        <v>1626</v>
      </c>
      <c r="D287" s="2" t="s">
        <v>1058</v>
      </c>
      <c r="E287" s="1" t="s">
        <v>1054</v>
      </c>
      <c r="F287" s="2" t="s">
        <v>1372</v>
      </c>
      <c r="G287" s="1" t="s">
        <v>1627</v>
      </c>
      <c r="H287" s="12" t="s">
        <v>1046</v>
      </c>
      <c r="I287" s="13" t="str">
        <f t="shared" si="33"/>
        <v>1K</v>
      </c>
      <c r="J287" t="str">
        <f t="shared" si="34"/>
        <v>0921½</v>
      </c>
      <c r="K287" t="str">
        <f t="shared" si="35"/>
        <v>0922½</v>
      </c>
      <c r="L287" t="str">
        <f t="shared" si="36"/>
        <v>Plat 5</v>
      </c>
      <c r="M287" s="8" t="str">
        <f t="shared" si="37"/>
        <v xml:space="preserve"> 5</v>
      </c>
      <c r="N287" s="4" t="s">
        <v>1372</v>
      </c>
      <c r="O287"/>
    </row>
    <row r="288" spans="2:24" ht="15" customHeight="1" x14ac:dyDescent="0.25">
      <c r="B288" s="3" t="s">
        <v>1628</v>
      </c>
      <c r="C288" s="1" t="s">
        <v>289</v>
      </c>
      <c r="D288" s="2" t="s">
        <v>1286</v>
      </c>
      <c r="E288" s="1" t="s">
        <v>1047</v>
      </c>
      <c r="F288" s="2" t="s">
        <v>1372</v>
      </c>
      <c r="G288" s="1" t="s">
        <v>291</v>
      </c>
      <c r="H288" s="12" t="s">
        <v>1046</v>
      </c>
      <c r="I288" s="13" t="str">
        <f t="shared" si="33"/>
        <v>1A</v>
      </c>
      <c r="J288" t="str">
        <f t="shared" si="34"/>
        <v xml:space="preserve">0923 </v>
      </c>
      <c r="K288" t="str">
        <f t="shared" si="35"/>
        <v xml:space="preserve">0924 </v>
      </c>
      <c r="L288" t="str">
        <f t="shared" si="36"/>
        <v>Plat 9</v>
      </c>
      <c r="M288" s="8" t="str">
        <f t="shared" si="37"/>
        <v xml:space="preserve"> 9</v>
      </c>
      <c r="N288" s="4" t="s">
        <v>1372</v>
      </c>
      <c r="O288"/>
    </row>
    <row r="289" spans="2:24" ht="15" customHeight="1" x14ac:dyDescent="0.25">
      <c r="B289" s="3" t="s">
        <v>1629</v>
      </c>
      <c r="C289" s="1" t="s">
        <v>1626</v>
      </c>
      <c r="D289" s="2" t="s">
        <v>1372</v>
      </c>
      <c r="E289" s="1" t="s">
        <v>1043</v>
      </c>
      <c r="F289" s="2" t="s">
        <v>1161</v>
      </c>
      <c r="G289" s="1" t="s">
        <v>1630</v>
      </c>
      <c r="H289" s="12" t="s">
        <v>1046</v>
      </c>
      <c r="I289" s="13" t="str">
        <f t="shared" si="33"/>
        <v>2C</v>
      </c>
      <c r="J289" t="str">
        <f t="shared" si="34"/>
        <v>0921½</v>
      </c>
      <c r="K289" t="str">
        <f t="shared" si="35"/>
        <v>0924½</v>
      </c>
      <c r="L289" t="str">
        <f t="shared" si="36"/>
        <v>Plat 8</v>
      </c>
      <c r="M289" s="8" t="str">
        <f t="shared" si="37"/>
        <v xml:space="preserve"> 8</v>
      </c>
      <c r="N289" t="s">
        <v>1181</v>
      </c>
      <c r="O289" t="s">
        <v>3004</v>
      </c>
      <c r="P289" t="s">
        <v>1161</v>
      </c>
    </row>
    <row r="290" spans="2:24" ht="15" customHeight="1" x14ac:dyDescent="0.25">
      <c r="B290" s="3" t="s">
        <v>1631</v>
      </c>
      <c r="C290" s="1" t="s">
        <v>1632</v>
      </c>
      <c r="D290" s="2" t="s">
        <v>1372</v>
      </c>
      <c r="E290" s="1" t="s">
        <v>1156</v>
      </c>
      <c r="F290" s="2" t="s">
        <v>1185</v>
      </c>
      <c r="G290" s="1" t="s">
        <v>1633</v>
      </c>
      <c r="H290" s="12" t="s">
        <v>1046</v>
      </c>
      <c r="I290" s="13" t="str">
        <f t="shared" si="33"/>
        <v>1N</v>
      </c>
      <c r="J290" t="str">
        <f t="shared" si="34"/>
        <v>0924½</v>
      </c>
      <c r="K290" t="str">
        <f t="shared" si="35"/>
        <v xml:space="preserve">0925 </v>
      </c>
      <c r="L290" t="str">
        <f t="shared" si="36"/>
        <v>Plat10</v>
      </c>
      <c r="M290" s="8" t="str">
        <f t="shared" si="37"/>
        <v>10</v>
      </c>
      <c r="N290" t="s">
        <v>1044</v>
      </c>
      <c r="O290" t="s">
        <v>2999</v>
      </c>
      <c r="P290" t="s">
        <v>1473</v>
      </c>
      <c r="Q290" t="s">
        <v>3001</v>
      </c>
      <c r="R290" t="s">
        <v>3003</v>
      </c>
      <c r="S290" t="s">
        <v>1091</v>
      </c>
      <c r="T290" t="s">
        <v>3031</v>
      </c>
      <c r="U290" t="s">
        <v>3046</v>
      </c>
      <c r="V290" t="s">
        <v>3047</v>
      </c>
    </row>
    <row r="291" spans="2:24" ht="15" customHeight="1" x14ac:dyDescent="0.25">
      <c r="B291" s="3" t="s">
        <v>1634</v>
      </c>
      <c r="C291" s="1" t="s">
        <v>1635</v>
      </c>
      <c r="D291" s="2" t="s">
        <v>1062</v>
      </c>
      <c r="E291" s="1" t="s">
        <v>1075</v>
      </c>
      <c r="F291" s="1" t="s">
        <v>1051</v>
      </c>
      <c r="G291" s="1"/>
      <c r="H291" s="12" t="s">
        <v>1040</v>
      </c>
      <c r="I291" s="13" t="str">
        <f t="shared" si="33"/>
        <v>2G</v>
      </c>
      <c r="J291" t="str">
        <f t="shared" si="34"/>
        <v xml:space="preserve">0925 </v>
      </c>
      <c r="K291" t="str">
        <f t="shared" si="35"/>
        <v/>
      </c>
      <c r="L291" t="str">
        <f t="shared" si="36"/>
        <v>Plat 2</v>
      </c>
      <c r="M291" s="8" t="str">
        <f t="shared" si="37"/>
        <v xml:space="preserve"> 2</v>
      </c>
      <c r="O291"/>
    </row>
    <row r="292" spans="2:24" ht="15" customHeight="1" x14ac:dyDescent="0.25">
      <c r="B292" s="3" t="s">
        <v>1636</v>
      </c>
      <c r="C292" s="1"/>
      <c r="D292" s="1" t="s">
        <v>1037</v>
      </c>
      <c r="E292" s="1" t="s">
        <v>1038</v>
      </c>
      <c r="F292" s="2" t="s">
        <v>1062</v>
      </c>
      <c r="G292" s="1" t="s">
        <v>294</v>
      </c>
      <c r="H292" s="12" t="s">
        <v>1040</v>
      </c>
      <c r="I292" s="13" t="str">
        <f t="shared" si="33"/>
        <v>2G</v>
      </c>
      <c r="J292" t="str">
        <f t="shared" si="34"/>
        <v/>
      </c>
      <c r="K292" t="str">
        <f t="shared" si="35"/>
        <v xml:space="preserve">0926 </v>
      </c>
      <c r="L292" t="str">
        <f t="shared" si="36"/>
        <v>Plat 1</v>
      </c>
      <c r="M292" s="8" t="str">
        <f t="shared" si="37"/>
        <v xml:space="preserve"> 1</v>
      </c>
      <c r="N292" s="4" t="s">
        <v>3010</v>
      </c>
      <c r="O292" s="15" t="s">
        <v>3011</v>
      </c>
    </row>
    <row r="293" spans="2:24" ht="15" customHeight="1" x14ac:dyDescent="0.25">
      <c r="B293" s="3" t="s">
        <v>1637</v>
      </c>
      <c r="C293" s="1" t="s">
        <v>1638</v>
      </c>
      <c r="D293" s="2" t="s">
        <v>1501</v>
      </c>
      <c r="E293" s="1" t="s">
        <v>1047</v>
      </c>
      <c r="F293" s="2" t="s">
        <v>1372</v>
      </c>
      <c r="G293" s="1" t="s">
        <v>1639</v>
      </c>
      <c r="H293" s="12" t="s">
        <v>1046</v>
      </c>
      <c r="I293" s="13" t="str">
        <f t="shared" si="33"/>
        <v>1P</v>
      </c>
      <c r="J293" t="str">
        <f t="shared" si="34"/>
        <v>0927½</v>
      </c>
      <c r="K293" t="str">
        <f t="shared" si="35"/>
        <v>0928½</v>
      </c>
      <c r="L293" t="str">
        <f t="shared" si="36"/>
        <v>Plat 9</v>
      </c>
      <c r="M293" s="8" t="str">
        <f t="shared" si="37"/>
        <v xml:space="preserve"> 9</v>
      </c>
      <c r="N293" s="4" t="s">
        <v>1372</v>
      </c>
      <c r="O293"/>
    </row>
    <row r="294" spans="2:24" ht="15" customHeight="1" x14ac:dyDescent="0.25">
      <c r="B294" s="3" t="s">
        <v>1640</v>
      </c>
      <c r="C294" s="1" t="s">
        <v>1641</v>
      </c>
      <c r="D294" s="2" t="s">
        <v>1372</v>
      </c>
      <c r="E294" s="1" t="s">
        <v>1043</v>
      </c>
      <c r="F294" s="2" t="s">
        <v>1044</v>
      </c>
      <c r="G294" s="1" t="s">
        <v>1642</v>
      </c>
      <c r="H294" s="12" t="s">
        <v>1046</v>
      </c>
      <c r="I294" s="13" t="str">
        <f t="shared" si="33"/>
        <v>2W</v>
      </c>
      <c r="J294" t="str">
        <f t="shared" si="34"/>
        <v>0926½</v>
      </c>
      <c r="K294" t="str">
        <f t="shared" si="35"/>
        <v>0928½</v>
      </c>
      <c r="L294" t="str">
        <f t="shared" si="36"/>
        <v>Plat 8</v>
      </c>
      <c r="M294" s="8" t="str">
        <f t="shared" si="37"/>
        <v xml:space="preserve"> 8</v>
      </c>
      <c r="N294" s="4" t="s">
        <v>3012</v>
      </c>
      <c r="O294" s="4" t="s">
        <v>3013</v>
      </c>
      <c r="P294" s="4" t="s">
        <v>1181</v>
      </c>
      <c r="Q294" s="4" t="s">
        <v>3014</v>
      </c>
      <c r="R294" s="4" t="s">
        <v>3015</v>
      </c>
      <c r="S294" s="4" t="s">
        <v>3016</v>
      </c>
      <c r="T294" s="4" t="s">
        <v>3004</v>
      </c>
      <c r="U294" s="4" t="s">
        <v>1161</v>
      </c>
      <c r="V294" s="4" t="s">
        <v>3017</v>
      </c>
      <c r="W294" s="4" t="s">
        <v>3018</v>
      </c>
      <c r="X294" s="4" t="s">
        <v>1044</v>
      </c>
    </row>
    <row r="295" spans="2:24" ht="15" customHeight="1" x14ac:dyDescent="0.25">
      <c r="B295" s="3" t="s">
        <v>1643</v>
      </c>
      <c r="C295" s="1" t="s">
        <v>1644</v>
      </c>
      <c r="D295" s="2" t="s">
        <v>1074</v>
      </c>
      <c r="E295" s="1" t="s">
        <v>1050</v>
      </c>
      <c r="F295" s="1" t="s">
        <v>1051</v>
      </c>
      <c r="G295" s="1"/>
      <c r="H295" s="12" t="s">
        <v>1040</v>
      </c>
      <c r="I295" s="13" t="str">
        <f t="shared" si="33"/>
        <v>2N</v>
      </c>
      <c r="J295" t="str">
        <f t="shared" si="34"/>
        <v xml:space="preserve">0929 </v>
      </c>
      <c r="K295" t="str">
        <f t="shared" si="35"/>
        <v/>
      </c>
      <c r="L295" t="str">
        <f t="shared" si="36"/>
        <v>Plat 1</v>
      </c>
      <c r="M295" s="8" t="str">
        <f t="shared" si="37"/>
        <v xml:space="preserve"> 1</v>
      </c>
      <c r="O295"/>
    </row>
    <row r="296" spans="2:24" ht="15" customHeight="1" x14ac:dyDescent="0.25">
      <c r="B296" s="3" t="s">
        <v>1645</v>
      </c>
      <c r="C296" s="1" t="s">
        <v>1646</v>
      </c>
      <c r="D296" s="2" t="s">
        <v>1044</v>
      </c>
      <c r="E296" s="1" t="s">
        <v>1054</v>
      </c>
      <c r="F296" s="2" t="s">
        <v>1372</v>
      </c>
      <c r="G296" s="1" t="s">
        <v>1647</v>
      </c>
      <c r="H296" s="12" t="s">
        <v>1046</v>
      </c>
      <c r="I296" s="13" t="str">
        <f t="shared" si="33"/>
        <v>2W</v>
      </c>
      <c r="J296" t="str">
        <f t="shared" si="34"/>
        <v xml:space="preserve">0927 </v>
      </c>
      <c r="K296" t="str">
        <f t="shared" si="35"/>
        <v xml:space="preserve">0929 </v>
      </c>
      <c r="L296" t="str">
        <f t="shared" si="36"/>
        <v>Plat 5</v>
      </c>
      <c r="M296" s="8" t="str">
        <f t="shared" si="37"/>
        <v xml:space="preserve"> 5</v>
      </c>
      <c r="N296" s="4" t="s">
        <v>1372</v>
      </c>
      <c r="O296"/>
    </row>
    <row r="297" spans="2:24" ht="15" customHeight="1" x14ac:dyDescent="0.25">
      <c r="B297" s="3" t="s">
        <v>1648</v>
      </c>
      <c r="C297" s="1"/>
      <c r="D297" s="1" t="s">
        <v>1037</v>
      </c>
      <c r="E297" s="1" t="s">
        <v>2148</v>
      </c>
      <c r="F297" s="2" t="s">
        <v>1254</v>
      </c>
      <c r="G297" s="1" t="s">
        <v>295</v>
      </c>
      <c r="H297" s="12" t="s">
        <v>1046</v>
      </c>
      <c r="I297" s="13" t="str">
        <f t="shared" si="33"/>
        <v>2S</v>
      </c>
      <c r="J297" t="str">
        <f t="shared" si="34"/>
        <v/>
      </c>
      <c r="K297" t="str">
        <f t="shared" si="35"/>
        <v xml:space="preserve">0930 </v>
      </c>
      <c r="L297" t="str">
        <f t="shared" si="36"/>
        <v>Plat11</v>
      </c>
      <c r="M297" s="8" t="str">
        <f t="shared" si="37"/>
        <v>11</v>
      </c>
      <c r="N297" t="s">
        <v>2975</v>
      </c>
      <c r="O297" t="s">
        <v>3039</v>
      </c>
      <c r="P297" t="s">
        <v>3041</v>
      </c>
      <c r="Q297" t="s">
        <v>3042</v>
      </c>
      <c r="R297" t="s">
        <v>2978</v>
      </c>
      <c r="S297" t="s">
        <v>1298</v>
      </c>
      <c r="T297" t="s">
        <v>2980</v>
      </c>
      <c r="U297" t="s">
        <v>2982</v>
      </c>
      <c r="V297" t="s">
        <v>1254</v>
      </c>
    </row>
    <row r="298" spans="2:24" ht="15" customHeight="1" x14ac:dyDescent="0.25">
      <c r="B298" s="3" t="s">
        <v>1649</v>
      </c>
      <c r="C298" s="1"/>
      <c r="D298" s="1" t="s">
        <v>1037</v>
      </c>
      <c r="E298" s="1" t="s">
        <v>1061</v>
      </c>
      <c r="F298" s="2" t="s">
        <v>1039</v>
      </c>
      <c r="G298" s="1" t="s">
        <v>295</v>
      </c>
      <c r="H298" s="12" t="s">
        <v>1040</v>
      </c>
      <c r="I298" s="13" t="str">
        <f t="shared" si="33"/>
        <v>2Y</v>
      </c>
      <c r="J298" t="str">
        <f t="shared" si="34"/>
        <v/>
      </c>
      <c r="K298" t="str">
        <f t="shared" si="35"/>
        <v xml:space="preserve">0930 </v>
      </c>
      <c r="L298" t="str">
        <f t="shared" si="36"/>
        <v>Plat 2</v>
      </c>
      <c r="M298" s="8" t="str">
        <f t="shared" si="37"/>
        <v xml:space="preserve"> 2</v>
      </c>
      <c r="N298" s="4" t="s">
        <v>3010</v>
      </c>
      <c r="O298" s="15" t="s">
        <v>3011</v>
      </c>
    </row>
    <row r="299" spans="2:24" ht="15" customHeight="1" x14ac:dyDescent="0.25">
      <c r="B299" s="3" t="s">
        <v>1650</v>
      </c>
      <c r="C299" s="1" t="s">
        <v>1651</v>
      </c>
      <c r="D299" s="2" t="s">
        <v>1372</v>
      </c>
      <c r="E299" s="1" t="s">
        <v>1043</v>
      </c>
      <c r="F299" s="2" t="s">
        <v>1161</v>
      </c>
      <c r="G299" s="1" t="s">
        <v>1652</v>
      </c>
      <c r="H299" s="12" t="s">
        <v>1046</v>
      </c>
      <c r="I299" s="13" t="str">
        <f t="shared" si="33"/>
        <v>2C</v>
      </c>
      <c r="J299" t="str">
        <f t="shared" si="34"/>
        <v>0930½</v>
      </c>
      <c r="K299" t="str">
        <f t="shared" si="35"/>
        <v>0932½</v>
      </c>
      <c r="L299" t="str">
        <f t="shared" si="36"/>
        <v>Plat 8</v>
      </c>
      <c r="M299" s="8" t="str">
        <f t="shared" si="37"/>
        <v xml:space="preserve"> 8</v>
      </c>
      <c r="N299" t="s">
        <v>1181</v>
      </c>
      <c r="O299" t="s">
        <v>3004</v>
      </c>
      <c r="P299" t="s">
        <v>1161</v>
      </c>
    </row>
    <row r="300" spans="2:24" ht="15" customHeight="1" x14ac:dyDescent="0.25">
      <c r="B300" s="3" t="s">
        <v>1653</v>
      </c>
      <c r="C300" s="1" t="s">
        <v>1654</v>
      </c>
      <c r="D300" s="2" t="s">
        <v>1039</v>
      </c>
      <c r="E300" s="1" t="s">
        <v>1075</v>
      </c>
      <c r="F300" s="1" t="s">
        <v>1051</v>
      </c>
      <c r="G300" s="1"/>
      <c r="H300" s="12" t="s">
        <v>1040</v>
      </c>
      <c r="I300" s="13" t="str">
        <f t="shared" si="33"/>
        <v>2L</v>
      </c>
      <c r="J300" t="str">
        <f t="shared" si="34"/>
        <v xml:space="preserve">0934 </v>
      </c>
      <c r="K300" t="str">
        <f t="shared" si="35"/>
        <v/>
      </c>
      <c r="L300" t="str">
        <f t="shared" si="36"/>
        <v>Plat 2</v>
      </c>
      <c r="M300" s="8" t="str">
        <f t="shared" si="37"/>
        <v xml:space="preserve"> 2</v>
      </c>
      <c r="O300"/>
    </row>
    <row r="301" spans="2:24" ht="15" customHeight="1" x14ac:dyDescent="0.25">
      <c r="B301" s="3" t="s">
        <v>1655</v>
      </c>
      <c r="C301" s="1"/>
      <c r="D301" s="1" t="s">
        <v>1037</v>
      </c>
      <c r="E301" s="1" t="s">
        <v>1038</v>
      </c>
      <c r="F301" s="2" t="s">
        <v>1074</v>
      </c>
      <c r="G301" s="1" t="s">
        <v>301</v>
      </c>
      <c r="H301" s="12" t="s">
        <v>1040</v>
      </c>
      <c r="I301" s="13" t="str">
        <f t="shared" si="33"/>
        <v>2N</v>
      </c>
      <c r="J301" t="str">
        <f t="shared" si="34"/>
        <v/>
      </c>
      <c r="K301" t="str">
        <f t="shared" si="35"/>
        <v xml:space="preserve">0937 </v>
      </c>
      <c r="L301" t="str">
        <f t="shared" si="36"/>
        <v>Plat 1</v>
      </c>
      <c r="M301" s="8" t="str">
        <f t="shared" si="37"/>
        <v xml:space="preserve"> 1</v>
      </c>
      <c r="N301" s="4" t="s">
        <v>3010</v>
      </c>
      <c r="O301" s="15" t="s">
        <v>3011</v>
      </c>
    </row>
    <row r="302" spans="2:24" ht="15" customHeight="1" x14ac:dyDescent="0.25">
      <c r="B302" s="3" t="s">
        <v>1656</v>
      </c>
      <c r="C302" s="1" t="s">
        <v>1657</v>
      </c>
      <c r="D302" s="2" t="s">
        <v>1372</v>
      </c>
      <c r="E302" s="1" t="s">
        <v>1043</v>
      </c>
      <c r="F302" s="2" t="s">
        <v>1044</v>
      </c>
      <c r="G302" s="1" t="s">
        <v>1658</v>
      </c>
      <c r="H302" s="12" t="s">
        <v>1046</v>
      </c>
      <c r="I302" s="13" t="str">
        <f t="shared" si="33"/>
        <v>2W</v>
      </c>
      <c r="J302" t="str">
        <f t="shared" si="34"/>
        <v>0936½</v>
      </c>
      <c r="K302" t="str">
        <f t="shared" si="35"/>
        <v>0937½</v>
      </c>
      <c r="L302" t="str">
        <f t="shared" si="36"/>
        <v>Plat 8</v>
      </c>
      <c r="M302" s="8" t="str">
        <f t="shared" si="37"/>
        <v xml:space="preserve"> 8</v>
      </c>
      <c r="N302" s="4" t="s">
        <v>3012</v>
      </c>
      <c r="O302" s="4" t="s">
        <v>3013</v>
      </c>
      <c r="P302" s="4" t="s">
        <v>1181</v>
      </c>
      <c r="Q302" s="4" t="s">
        <v>3014</v>
      </c>
      <c r="R302" s="4" t="s">
        <v>3015</v>
      </c>
      <c r="S302" s="4" t="s">
        <v>3016</v>
      </c>
      <c r="T302" s="4" t="s">
        <v>3004</v>
      </c>
      <c r="U302" s="4" t="s">
        <v>1161</v>
      </c>
      <c r="V302" s="4" t="s">
        <v>3017</v>
      </c>
      <c r="W302" s="4" t="s">
        <v>3018</v>
      </c>
      <c r="X302" s="4" t="s">
        <v>1044</v>
      </c>
    </row>
    <row r="303" spans="2:24" ht="15" customHeight="1" x14ac:dyDescent="0.25">
      <c r="B303" s="3" t="s">
        <v>395</v>
      </c>
      <c r="C303" s="1" t="s">
        <v>301</v>
      </c>
      <c r="D303" s="2" t="s">
        <v>1309</v>
      </c>
      <c r="E303" s="1" t="s">
        <v>1047</v>
      </c>
      <c r="F303" s="2" t="s">
        <v>1372</v>
      </c>
      <c r="G303" s="1" t="s">
        <v>303</v>
      </c>
      <c r="H303" s="12" t="s">
        <v>1046</v>
      </c>
      <c r="I303" s="13" t="str">
        <f t="shared" si="33"/>
        <v>1F</v>
      </c>
      <c r="J303" t="str">
        <f t="shared" si="34"/>
        <v xml:space="preserve">0937 </v>
      </c>
      <c r="K303" t="str">
        <f t="shared" si="35"/>
        <v xml:space="preserve">0938 </v>
      </c>
      <c r="L303" t="str">
        <f t="shared" si="36"/>
        <v>Plat 9</v>
      </c>
      <c r="M303" s="8" t="str">
        <f t="shared" si="37"/>
        <v xml:space="preserve"> 9</v>
      </c>
      <c r="N303" s="4" t="s">
        <v>1372</v>
      </c>
      <c r="O303"/>
    </row>
    <row r="304" spans="2:24" ht="15" customHeight="1" x14ac:dyDescent="0.25">
      <c r="B304" s="3" t="s">
        <v>1659</v>
      </c>
      <c r="C304" s="1" t="s">
        <v>1660</v>
      </c>
      <c r="D304" s="2" t="s">
        <v>1372</v>
      </c>
      <c r="E304" s="1" t="s">
        <v>1156</v>
      </c>
      <c r="F304" s="2" t="s">
        <v>1066</v>
      </c>
      <c r="G304" s="1" t="s">
        <v>1661</v>
      </c>
      <c r="H304" s="12" t="s">
        <v>1046</v>
      </c>
      <c r="I304" s="13" t="str">
        <f t="shared" si="33"/>
        <v>1P</v>
      </c>
      <c r="J304" t="str">
        <f t="shared" si="34"/>
        <v>0937½</v>
      </c>
      <c r="K304" t="str">
        <f t="shared" si="35"/>
        <v>0938½</v>
      </c>
      <c r="L304" t="str">
        <f t="shared" si="36"/>
        <v>Plat10</v>
      </c>
      <c r="M304" s="8" t="str">
        <f t="shared" si="37"/>
        <v>10</v>
      </c>
      <c r="N304" t="s">
        <v>1473</v>
      </c>
      <c r="O304" t="s">
        <v>1091</v>
      </c>
      <c r="P304" t="s">
        <v>3006</v>
      </c>
      <c r="Q304" t="s">
        <v>1242</v>
      </c>
      <c r="R304" t="s">
        <v>1501</v>
      </c>
      <c r="S304" t="s">
        <v>3052</v>
      </c>
      <c r="T304" t="s">
        <v>1066</v>
      </c>
    </row>
    <row r="305" spans="2:24" ht="15" customHeight="1" x14ac:dyDescent="0.25">
      <c r="B305" s="3" t="s">
        <v>1662</v>
      </c>
      <c r="C305" s="1" t="s">
        <v>301</v>
      </c>
      <c r="D305" s="2" t="s">
        <v>1044</v>
      </c>
      <c r="E305" s="1" t="s">
        <v>1054</v>
      </c>
      <c r="F305" s="2" t="s">
        <v>1372</v>
      </c>
      <c r="G305" s="1" t="s">
        <v>1663</v>
      </c>
      <c r="H305" s="12" t="s">
        <v>1046</v>
      </c>
      <c r="I305" s="13" t="str">
        <f t="shared" si="33"/>
        <v>2W</v>
      </c>
      <c r="J305" t="str">
        <f t="shared" si="34"/>
        <v xml:space="preserve">0937 </v>
      </c>
      <c r="K305" t="str">
        <f t="shared" si="35"/>
        <v xml:space="preserve">0939 </v>
      </c>
      <c r="L305" t="str">
        <f t="shared" si="36"/>
        <v>Plat 5</v>
      </c>
      <c r="M305" s="8" t="str">
        <f t="shared" si="37"/>
        <v xml:space="preserve"> 5</v>
      </c>
      <c r="N305" s="4" t="s">
        <v>1372</v>
      </c>
      <c r="O305"/>
    </row>
    <row r="306" spans="2:24" ht="15" customHeight="1" x14ac:dyDescent="0.25">
      <c r="B306" s="3" t="s">
        <v>1664</v>
      </c>
      <c r="C306" s="1" t="s">
        <v>1665</v>
      </c>
      <c r="D306" s="2" t="s">
        <v>1254</v>
      </c>
      <c r="E306" s="1" t="s">
        <v>2148</v>
      </c>
      <c r="F306" s="1" t="s">
        <v>1051</v>
      </c>
      <c r="G306" s="1"/>
      <c r="H306" s="12" t="s">
        <v>1046</v>
      </c>
      <c r="I306" s="13" t="str">
        <f t="shared" si="33"/>
        <v>2S</v>
      </c>
      <c r="J306" t="str">
        <f t="shared" si="34"/>
        <v xml:space="preserve">0940 </v>
      </c>
      <c r="K306" t="str">
        <f t="shared" si="35"/>
        <v/>
      </c>
      <c r="L306" t="str">
        <f t="shared" si="36"/>
        <v>Plat11</v>
      </c>
      <c r="M306" s="8" t="str">
        <f t="shared" si="37"/>
        <v>11</v>
      </c>
      <c r="O306"/>
    </row>
    <row r="307" spans="2:24" ht="15" customHeight="1" x14ac:dyDescent="0.25">
      <c r="B307" s="3" t="s">
        <v>1666</v>
      </c>
      <c r="C307" s="1" t="s">
        <v>1667</v>
      </c>
      <c r="D307" s="2" t="s">
        <v>1372</v>
      </c>
      <c r="E307" s="1" t="s">
        <v>1043</v>
      </c>
      <c r="F307" s="2" t="s">
        <v>1161</v>
      </c>
      <c r="G307" s="1" t="s">
        <v>1668</v>
      </c>
      <c r="H307" s="12" t="s">
        <v>1046</v>
      </c>
      <c r="I307" s="13" t="str">
        <f t="shared" si="33"/>
        <v>2C</v>
      </c>
      <c r="J307" t="str">
        <f t="shared" si="34"/>
        <v>0939½</v>
      </c>
      <c r="K307" t="str">
        <f t="shared" si="35"/>
        <v>0940½</v>
      </c>
      <c r="L307" t="str">
        <f t="shared" si="36"/>
        <v>Plat 8</v>
      </c>
      <c r="M307" s="8" t="str">
        <f t="shared" si="37"/>
        <v xml:space="preserve"> 8</v>
      </c>
      <c r="N307" t="s">
        <v>1181</v>
      </c>
      <c r="O307" t="s">
        <v>3004</v>
      </c>
      <c r="P307" t="s">
        <v>1161</v>
      </c>
    </row>
    <row r="308" spans="2:24" ht="15" customHeight="1" x14ac:dyDescent="0.25">
      <c r="B308" s="3" t="s">
        <v>1669</v>
      </c>
      <c r="C308" s="1" t="s">
        <v>1670</v>
      </c>
      <c r="D308" s="2" t="s">
        <v>1185</v>
      </c>
      <c r="E308" s="1" t="s">
        <v>1047</v>
      </c>
      <c r="F308" s="2" t="s">
        <v>1372</v>
      </c>
      <c r="G308" s="1" t="s">
        <v>304</v>
      </c>
      <c r="H308" s="12" t="s">
        <v>1046</v>
      </c>
      <c r="I308" s="13" t="str">
        <f t="shared" si="33"/>
        <v>1N</v>
      </c>
      <c r="J308" t="str">
        <f t="shared" si="34"/>
        <v xml:space="preserve">0941 </v>
      </c>
      <c r="K308" t="str">
        <f t="shared" si="35"/>
        <v xml:space="preserve">0942 </v>
      </c>
      <c r="L308" t="str">
        <f t="shared" si="36"/>
        <v>Plat 9</v>
      </c>
      <c r="M308" s="8" t="str">
        <f t="shared" si="37"/>
        <v xml:space="preserve"> 9</v>
      </c>
      <c r="N308" s="4" t="s">
        <v>1372</v>
      </c>
      <c r="O308"/>
    </row>
    <row r="309" spans="2:24" ht="15" customHeight="1" x14ac:dyDescent="0.25">
      <c r="B309" s="3" t="s">
        <v>1671</v>
      </c>
      <c r="C309" s="1" t="s">
        <v>1672</v>
      </c>
      <c r="D309" s="2" t="s">
        <v>1372</v>
      </c>
      <c r="E309" s="1" t="s">
        <v>1156</v>
      </c>
      <c r="F309" s="2" t="s">
        <v>1058</v>
      </c>
      <c r="G309" s="1" t="s">
        <v>304</v>
      </c>
      <c r="H309" s="12" t="s">
        <v>1046</v>
      </c>
      <c r="I309" s="13" t="str">
        <f t="shared" si="33"/>
        <v>1K</v>
      </c>
      <c r="J309" t="str">
        <f t="shared" si="34"/>
        <v>0940½</v>
      </c>
      <c r="K309" t="str">
        <f t="shared" si="35"/>
        <v xml:space="preserve">0942 </v>
      </c>
      <c r="L309" t="str">
        <f t="shared" si="36"/>
        <v>Plat10</v>
      </c>
      <c r="M309" s="8" t="str">
        <f t="shared" si="37"/>
        <v>10</v>
      </c>
      <c r="N309" s="4" t="s">
        <v>1044</v>
      </c>
      <c r="O309" s="4" t="s">
        <v>3019</v>
      </c>
      <c r="P309" s="4" t="s">
        <v>3020</v>
      </c>
      <c r="Q309" s="4" t="s">
        <v>3021</v>
      </c>
      <c r="R309" s="4" t="s">
        <v>3022</v>
      </c>
      <c r="S309" s="4" t="s">
        <v>3023</v>
      </c>
      <c r="T309" s="4" t="s">
        <v>3024</v>
      </c>
      <c r="U309" s="4" t="s">
        <v>3025</v>
      </c>
      <c r="V309" s="4" t="s">
        <v>1058</v>
      </c>
    </row>
    <row r="310" spans="2:24" ht="15" customHeight="1" x14ac:dyDescent="0.25">
      <c r="B310" s="3" t="s">
        <v>1673</v>
      </c>
      <c r="C310" s="1" t="s">
        <v>1674</v>
      </c>
      <c r="D310" s="2" t="s">
        <v>1074</v>
      </c>
      <c r="E310" s="1" t="s">
        <v>1050</v>
      </c>
      <c r="F310" s="1" t="s">
        <v>1051</v>
      </c>
      <c r="G310" s="1"/>
      <c r="H310" s="12" t="s">
        <v>1040</v>
      </c>
      <c r="I310" s="13" t="str">
        <f t="shared" si="33"/>
        <v>2N</v>
      </c>
      <c r="J310" t="str">
        <f t="shared" si="34"/>
        <v xml:space="preserve">0944 </v>
      </c>
      <c r="K310" t="str">
        <f t="shared" si="35"/>
        <v/>
      </c>
      <c r="L310" t="str">
        <f t="shared" si="36"/>
        <v>Plat 1</v>
      </c>
      <c r="M310" s="8" t="str">
        <f t="shared" si="37"/>
        <v xml:space="preserve"> 1</v>
      </c>
      <c r="O310"/>
    </row>
    <row r="311" spans="2:24" ht="15" customHeight="1" x14ac:dyDescent="0.25">
      <c r="B311" s="3" t="s">
        <v>1675</v>
      </c>
      <c r="C311" s="1" t="s">
        <v>1676</v>
      </c>
      <c r="D311" s="2" t="s">
        <v>1058</v>
      </c>
      <c r="E311" s="1" t="s">
        <v>1054</v>
      </c>
      <c r="F311" s="2" t="s">
        <v>1372</v>
      </c>
      <c r="G311" s="1" t="s">
        <v>1677</v>
      </c>
      <c r="H311" s="12" t="s">
        <v>1046</v>
      </c>
      <c r="I311" s="13" t="str">
        <f t="shared" si="33"/>
        <v>1K</v>
      </c>
      <c r="J311" t="str">
        <f t="shared" si="34"/>
        <v>0943½</v>
      </c>
      <c r="K311" t="str">
        <f t="shared" si="35"/>
        <v>0944½</v>
      </c>
      <c r="L311" t="str">
        <f t="shared" si="36"/>
        <v>Plat 5</v>
      </c>
      <c r="M311" s="8" t="str">
        <f t="shared" si="37"/>
        <v xml:space="preserve"> 5</v>
      </c>
      <c r="N311" s="4" t="s">
        <v>1372</v>
      </c>
      <c r="O311"/>
    </row>
    <row r="312" spans="2:24" ht="15" customHeight="1" x14ac:dyDescent="0.25">
      <c r="B312" s="3" t="s">
        <v>1678</v>
      </c>
      <c r="C312" s="1" t="s">
        <v>306</v>
      </c>
      <c r="D312" s="2" t="s">
        <v>1372</v>
      </c>
      <c r="E312" s="1" t="s">
        <v>1156</v>
      </c>
      <c r="F312" s="2" t="s">
        <v>1304</v>
      </c>
      <c r="G312" s="1" t="s">
        <v>309</v>
      </c>
      <c r="H312" s="12" t="s">
        <v>1046</v>
      </c>
      <c r="I312" s="13" t="str">
        <f t="shared" si="33"/>
        <v>2F</v>
      </c>
      <c r="J312" t="str">
        <f t="shared" si="34"/>
        <v>0944½</v>
      </c>
      <c r="K312" t="str">
        <f t="shared" si="35"/>
        <v xml:space="preserve">0945 </v>
      </c>
      <c r="L312" t="str">
        <f t="shared" si="36"/>
        <v>Plat10</v>
      </c>
      <c r="M312" s="8" t="str">
        <f t="shared" si="37"/>
        <v>10</v>
      </c>
      <c r="N312" s="4" t="s">
        <v>3004</v>
      </c>
      <c r="O312" s="4" t="s">
        <v>1044</v>
      </c>
      <c r="P312" s="4" t="s">
        <v>2999</v>
      </c>
      <c r="Q312" s="4" t="s">
        <v>1473</v>
      </c>
      <c r="R312" s="4" t="s">
        <v>3000</v>
      </c>
      <c r="S312" s="4" t="s">
        <v>3001</v>
      </c>
      <c r="T312" s="4" t="s">
        <v>3002</v>
      </c>
      <c r="U312" s="4" t="s">
        <v>3003</v>
      </c>
      <c r="V312" s="4" t="s">
        <v>1091</v>
      </c>
      <c r="W312" s="4" t="s">
        <v>1304</v>
      </c>
    </row>
    <row r="313" spans="2:24" ht="15" customHeight="1" x14ac:dyDescent="0.25">
      <c r="B313" s="3" t="s">
        <v>1679</v>
      </c>
      <c r="C313" s="1"/>
      <c r="D313" s="1" t="s">
        <v>1037</v>
      </c>
      <c r="E313" s="1" t="s">
        <v>1061</v>
      </c>
      <c r="F313" s="2" t="s">
        <v>1039</v>
      </c>
      <c r="G313" s="1" t="s">
        <v>309</v>
      </c>
      <c r="H313" s="12" t="s">
        <v>1040</v>
      </c>
      <c r="I313" s="13" t="str">
        <f t="shared" ref="I313:I348" si="38">LEFT(B313,2)</f>
        <v>2Y</v>
      </c>
      <c r="J313" t="str">
        <f t="shared" ref="J313:J348" si="39">LEFT(C313,5)</f>
        <v/>
      </c>
      <c r="K313" t="str">
        <f t="shared" ref="K313:K348" si="40">LEFT(G313,5)</f>
        <v xml:space="preserve">0945 </v>
      </c>
      <c r="L313" t="str">
        <f t="shared" ref="L313:L348" si="41">LEFT(E313,6)</f>
        <v>Plat 2</v>
      </c>
      <c r="M313" s="8" t="str">
        <f t="shared" si="37"/>
        <v xml:space="preserve"> 2</v>
      </c>
      <c r="N313" s="4" t="s">
        <v>3010</v>
      </c>
      <c r="O313" s="15" t="s">
        <v>3011</v>
      </c>
    </row>
    <row r="314" spans="2:24" ht="15" customHeight="1" x14ac:dyDescent="0.25">
      <c r="B314" s="3" t="s">
        <v>1680</v>
      </c>
      <c r="C314" s="1" t="s">
        <v>1681</v>
      </c>
      <c r="D314" s="2" t="s">
        <v>1372</v>
      </c>
      <c r="E314" s="1" t="s">
        <v>1043</v>
      </c>
      <c r="F314" s="2" t="s">
        <v>1044</v>
      </c>
      <c r="G314" s="1" t="s">
        <v>307</v>
      </c>
      <c r="H314" s="12" t="s">
        <v>1046</v>
      </c>
      <c r="I314" s="13" t="str">
        <f t="shared" si="38"/>
        <v>2W</v>
      </c>
      <c r="J314" t="str">
        <f t="shared" si="39"/>
        <v>0946½</v>
      </c>
      <c r="K314" t="str">
        <f t="shared" si="40"/>
        <v>0948½</v>
      </c>
      <c r="L314" t="str">
        <f t="shared" si="41"/>
        <v>Plat 8</v>
      </c>
      <c r="M314" s="8" t="str">
        <f t="shared" si="37"/>
        <v xml:space="preserve"> 8</v>
      </c>
      <c r="N314" s="4" t="s">
        <v>3012</v>
      </c>
      <c r="O314" s="4" t="s">
        <v>3013</v>
      </c>
      <c r="P314" s="4" t="s">
        <v>1181</v>
      </c>
      <c r="Q314" s="4" t="s">
        <v>3014</v>
      </c>
      <c r="R314" s="4" t="s">
        <v>3015</v>
      </c>
      <c r="S314" s="4" t="s">
        <v>3016</v>
      </c>
      <c r="T314" s="4" t="s">
        <v>3004</v>
      </c>
      <c r="U314" s="4" t="s">
        <v>1161</v>
      </c>
      <c r="V314" s="4" t="s">
        <v>3017</v>
      </c>
      <c r="W314" s="4" t="s">
        <v>3018</v>
      </c>
      <c r="X314" s="4" t="s">
        <v>1044</v>
      </c>
    </row>
    <row r="315" spans="2:24" ht="15" customHeight="1" x14ac:dyDescent="0.25">
      <c r="B315" s="3" t="s">
        <v>1682</v>
      </c>
      <c r="C315" s="1" t="s">
        <v>1683</v>
      </c>
      <c r="D315" s="2" t="s">
        <v>1039</v>
      </c>
      <c r="E315" s="1" t="s">
        <v>1075</v>
      </c>
      <c r="F315" s="1" t="s">
        <v>1051</v>
      </c>
      <c r="G315" s="1"/>
      <c r="H315" s="12" t="s">
        <v>1040</v>
      </c>
      <c r="I315" s="13" t="str">
        <f t="shared" si="38"/>
        <v>2L</v>
      </c>
      <c r="J315" t="str">
        <f t="shared" si="39"/>
        <v xml:space="preserve">0949 </v>
      </c>
      <c r="K315" t="str">
        <f t="shared" si="40"/>
        <v/>
      </c>
      <c r="L315" t="str">
        <f t="shared" si="41"/>
        <v>Plat 2</v>
      </c>
      <c r="M315" s="8" t="str">
        <f t="shared" si="37"/>
        <v xml:space="preserve"> 2</v>
      </c>
      <c r="O315"/>
    </row>
    <row r="316" spans="2:24" ht="15" customHeight="1" x14ac:dyDescent="0.25">
      <c r="B316" s="3" t="s">
        <v>1684</v>
      </c>
      <c r="C316" s="1" t="s">
        <v>1685</v>
      </c>
      <c r="D316" s="2" t="s">
        <v>1044</v>
      </c>
      <c r="E316" s="1" t="s">
        <v>1054</v>
      </c>
      <c r="F316" s="2" t="s">
        <v>1372</v>
      </c>
      <c r="G316" s="1" t="s">
        <v>310</v>
      </c>
      <c r="H316" s="12" t="s">
        <v>1046</v>
      </c>
      <c r="I316" s="13" t="str">
        <f t="shared" si="38"/>
        <v>2W</v>
      </c>
      <c r="J316" t="str">
        <f t="shared" si="39"/>
        <v xml:space="preserve">0947 </v>
      </c>
      <c r="K316" t="str">
        <f t="shared" si="40"/>
        <v xml:space="preserve">0949 </v>
      </c>
      <c r="L316" t="str">
        <f t="shared" si="41"/>
        <v>Plat 5</v>
      </c>
      <c r="M316" s="8" t="str">
        <f t="shared" si="37"/>
        <v xml:space="preserve"> 5</v>
      </c>
      <c r="N316" s="4" t="s">
        <v>1372</v>
      </c>
      <c r="O316"/>
    </row>
    <row r="317" spans="2:24" ht="15" customHeight="1" x14ac:dyDescent="0.25">
      <c r="B317" s="3" t="s">
        <v>1686</v>
      </c>
      <c r="C317" s="1"/>
      <c r="D317" s="1" t="s">
        <v>1037</v>
      </c>
      <c r="E317" s="1" t="s">
        <v>1038</v>
      </c>
      <c r="F317" s="2" t="s">
        <v>1074</v>
      </c>
      <c r="G317" s="1" t="s">
        <v>315</v>
      </c>
      <c r="H317" s="12" t="s">
        <v>1040</v>
      </c>
      <c r="I317" s="13" t="str">
        <f t="shared" si="38"/>
        <v>2N</v>
      </c>
      <c r="J317" t="str">
        <f t="shared" si="39"/>
        <v/>
      </c>
      <c r="K317" t="str">
        <f t="shared" si="40"/>
        <v xml:space="preserve">0952 </v>
      </c>
      <c r="L317" t="str">
        <f t="shared" si="41"/>
        <v>Plat 1</v>
      </c>
      <c r="M317" s="8" t="str">
        <f t="shared" si="37"/>
        <v xml:space="preserve"> 1</v>
      </c>
      <c r="N317" s="4" t="s">
        <v>3010</v>
      </c>
      <c r="O317" s="15" t="s">
        <v>3011</v>
      </c>
    </row>
    <row r="318" spans="2:24" ht="15" customHeight="1" x14ac:dyDescent="0.25">
      <c r="B318" s="3" t="s">
        <v>443</v>
      </c>
      <c r="C318" s="1" t="s">
        <v>315</v>
      </c>
      <c r="D318" s="2" t="s">
        <v>1237</v>
      </c>
      <c r="E318" s="1" t="s">
        <v>1054</v>
      </c>
      <c r="F318" s="2" t="s">
        <v>1372</v>
      </c>
      <c r="G318" s="1" t="s">
        <v>1687</v>
      </c>
      <c r="H318" s="12" t="s">
        <v>1046</v>
      </c>
      <c r="I318" s="13" t="str">
        <f t="shared" si="38"/>
        <v>1F</v>
      </c>
      <c r="J318" t="str">
        <f t="shared" si="39"/>
        <v xml:space="preserve">0952 </v>
      </c>
      <c r="K318" t="str">
        <f t="shared" si="40"/>
        <v>0952½</v>
      </c>
      <c r="L318" t="str">
        <f t="shared" si="41"/>
        <v>Plat 5</v>
      </c>
      <c r="M318" s="8" t="str">
        <f t="shared" si="37"/>
        <v xml:space="preserve"> 5</v>
      </c>
      <c r="N318" s="4" t="s">
        <v>1372</v>
      </c>
      <c r="O318"/>
    </row>
    <row r="319" spans="2:24" ht="15" customHeight="1" x14ac:dyDescent="0.25">
      <c r="B319" s="3" t="s">
        <v>290</v>
      </c>
      <c r="C319" s="1" t="s">
        <v>1688</v>
      </c>
      <c r="D319" s="2" t="s">
        <v>1372</v>
      </c>
      <c r="E319" s="1" t="s">
        <v>1156</v>
      </c>
      <c r="F319" s="2" t="s">
        <v>1237</v>
      </c>
      <c r="G319" s="1" t="s">
        <v>313</v>
      </c>
      <c r="H319" s="12" t="s">
        <v>1046</v>
      </c>
      <c r="I319" s="13" t="str">
        <f t="shared" si="38"/>
        <v>1F</v>
      </c>
      <c r="J319" t="str">
        <f t="shared" si="39"/>
        <v>0954½</v>
      </c>
      <c r="K319" t="str">
        <f t="shared" si="40"/>
        <v xml:space="preserve">0955 </v>
      </c>
      <c r="L319" t="str">
        <f t="shared" si="41"/>
        <v>Plat10</v>
      </c>
      <c r="M319" s="8" t="str">
        <f t="shared" si="37"/>
        <v>10</v>
      </c>
      <c r="N319" t="s">
        <v>1044</v>
      </c>
      <c r="O319" t="s">
        <v>2999</v>
      </c>
      <c r="P319" t="s">
        <v>1473</v>
      </c>
      <c r="Q319" t="s">
        <v>3001</v>
      </c>
      <c r="R319" t="s">
        <v>3043</v>
      </c>
      <c r="S319" t="s">
        <v>3044</v>
      </c>
      <c r="T319" t="s">
        <v>3045</v>
      </c>
      <c r="U319" t="s">
        <v>1237</v>
      </c>
    </row>
    <row r="320" spans="2:24" ht="15" customHeight="1" x14ac:dyDescent="0.25">
      <c r="B320" s="3" t="s">
        <v>1689</v>
      </c>
      <c r="C320" s="1" t="s">
        <v>1690</v>
      </c>
      <c r="D320" s="2" t="s">
        <v>1372</v>
      </c>
      <c r="E320" s="1" t="s">
        <v>1043</v>
      </c>
      <c r="F320" s="2" t="s">
        <v>1044</v>
      </c>
      <c r="G320" s="1" t="s">
        <v>1691</v>
      </c>
      <c r="H320" s="12" t="s">
        <v>1046</v>
      </c>
      <c r="I320" s="13" t="str">
        <f t="shared" si="38"/>
        <v>2W</v>
      </c>
      <c r="J320" t="str">
        <f t="shared" si="39"/>
        <v>0956½</v>
      </c>
      <c r="K320" t="str">
        <f t="shared" si="40"/>
        <v>0958½</v>
      </c>
      <c r="L320" t="str">
        <f t="shared" si="41"/>
        <v>Plat 8</v>
      </c>
      <c r="M320" s="8" t="str">
        <f t="shared" si="37"/>
        <v xml:space="preserve"> 8</v>
      </c>
      <c r="N320" s="4" t="s">
        <v>3012</v>
      </c>
      <c r="O320" s="4" t="s">
        <v>3013</v>
      </c>
      <c r="P320" s="4" t="s">
        <v>1181</v>
      </c>
      <c r="Q320" s="4" t="s">
        <v>3014</v>
      </c>
      <c r="R320" s="4" t="s">
        <v>3015</v>
      </c>
      <c r="S320" s="4" t="s">
        <v>3016</v>
      </c>
      <c r="T320" s="4" t="s">
        <v>3004</v>
      </c>
      <c r="U320" s="4" t="s">
        <v>1161</v>
      </c>
      <c r="V320" s="4" t="s">
        <v>3017</v>
      </c>
      <c r="W320" s="4" t="s">
        <v>3018</v>
      </c>
      <c r="X320" s="4" t="s">
        <v>1044</v>
      </c>
    </row>
    <row r="321" spans="2:24" ht="15" customHeight="1" x14ac:dyDescent="0.25">
      <c r="B321" s="3" t="s">
        <v>1692</v>
      </c>
      <c r="C321" s="1" t="s">
        <v>1693</v>
      </c>
      <c r="D321" s="2" t="s">
        <v>1044</v>
      </c>
      <c r="E321" s="1" t="s">
        <v>1054</v>
      </c>
      <c r="F321" s="2" t="s">
        <v>1372</v>
      </c>
      <c r="G321" s="1" t="s">
        <v>321</v>
      </c>
      <c r="H321" s="12" t="s">
        <v>1046</v>
      </c>
      <c r="I321" s="13" t="str">
        <f t="shared" si="38"/>
        <v>2W</v>
      </c>
      <c r="J321" t="str">
        <f t="shared" si="39"/>
        <v xml:space="preserve">0957 </v>
      </c>
      <c r="K321" t="str">
        <f t="shared" si="40"/>
        <v xml:space="preserve">0959 </v>
      </c>
      <c r="L321" t="str">
        <f t="shared" si="41"/>
        <v>Plat 5</v>
      </c>
      <c r="M321" s="8" t="str">
        <f t="shared" si="37"/>
        <v xml:space="preserve"> 5</v>
      </c>
      <c r="N321" s="4" t="s">
        <v>1372</v>
      </c>
      <c r="O321"/>
    </row>
    <row r="322" spans="2:24" ht="15" customHeight="1" x14ac:dyDescent="0.25">
      <c r="B322" s="3" t="s">
        <v>1694</v>
      </c>
      <c r="C322" s="1" t="s">
        <v>1695</v>
      </c>
      <c r="D322" s="2" t="s">
        <v>1074</v>
      </c>
      <c r="E322" s="1" t="s">
        <v>1050</v>
      </c>
      <c r="F322" s="1" t="s">
        <v>1051</v>
      </c>
      <c r="G322" s="1"/>
      <c r="H322" s="12" t="s">
        <v>1040</v>
      </c>
      <c r="I322" s="13" t="str">
        <f t="shared" si="38"/>
        <v>2N</v>
      </c>
      <c r="J322" t="str">
        <f t="shared" si="39"/>
        <v xml:space="preserve">0959 </v>
      </c>
      <c r="K322" t="str">
        <f t="shared" si="40"/>
        <v/>
      </c>
      <c r="L322" t="str">
        <f t="shared" si="41"/>
        <v>Plat 1</v>
      </c>
      <c r="M322" s="8" t="str">
        <f t="shared" si="37"/>
        <v xml:space="preserve"> 1</v>
      </c>
      <c r="O322"/>
    </row>
    <row r="323" spans="2:24" ht="15" customHeight="1" x14ac:dyDescent="0.25">
      <c r="B323" s="3" t="s">
        <v>1696</v>
      </c>
      <c r="C323" s="1"/>
      <c r="D323" s="1" t="s">
        <v>1037</v>
      </c>
      <c r="E323" s="1" t="s">
        <v>1061</v>
      </c>
      <c r="F323" s="2" t="s">
        <v>1039</v>
      </c>
      <c r="G323" s="1" t="s">
        <v>1697</v>
      </c>
      <c r="H323" s="12" t="s">
        <v>1040</v>
      </c>
      <c r="I323" s="13" t="str">
        <f t="shared" si="38"/>
        <v>2Y</v>
      </c>
      <c r="J323" t="str">
        <f t="shared" si="39"/>
        <v/>
      </c>
      <c r="K323" t="str">
        <f t="shared" si="40"/>
        <v xml:space="preserve">1000 </v>
      </c>
      <c r="L323" t="str">
        <f t="shared" si="41"/>
        <v>Plat 2</v>
      </c>
      <c r="M323" s="8" t="str">
        <f t="shared" si="37"/>
        <v xml:space="preserve"> 2</v>
      </c>
      <c r="N323" s="4" t="s">
        <v>3010</v>
      </c>
      <c r="O323" s="15" t="s">
        <v>3011</v>
      </c>
    </row>
    <row r="324" spans="2:24" ht="15" customHeight="1" x14ac:dyDescent="0.25">
      <c r="B324" s="3" t="s">
        <v>1698</v>
      </c>
      <c r="C324" s="1"/>
      <c r="D324" s="1" t="s">
        <v>1037</v>
      </c>
      <c r="E324" s="1" t="s">
        <v>2148</v>
      </c>
      <c r="F324" s="2" t="s">
        <v>1254</v>
      </c>
      <c r="G324" s="1" t="s">
        <v>1697</v>
      </c>
      <c r="H324" s="12" t="s">
        <v>1046</v>
      </c>
      <c r="I324" s="13" t="str">
        <f t="shared" si="38"/>
        <v>2S</v>
      </c>
      <c r="J324" t="str">
        <f t="shared" si="39"/>
        <v/>
      </c>
      <c r="K324" t="str">
        <f t="shared" si="40"/>
        <v xml:space="preserve">1000 </v>
      </c>
      <c r="L324" t="str">
        <f t="shared" si="41"/>
        <v>Plat11</v>
      </c>
      <c r="M324" s="8" t="str">
        <f t="shared" si="37"/>
        <v>11</v>
      </c>
      <c r="N324" t="s">
        <v>2975</v>
      </c>
      <c r="O324" t="s">
        <v>3039</v>
      </c>
      <c r="P324" t="s">
        <v>3040</v>
      </c>
      <c r="Q324" t="s">
        <v>2978</v>
      </c>
      <c r="R324" t="s">
        <v>1298</v>
      </c>
      <c r="S324" t="s">
        <v>2979</v>
      </c>
      <c r="T324" t="s">
        <v>2980</v>
      </c>
      <c r="U324" t="s">
        <v>2981</v>
      </c>
      <c r="V324" t="s">
        <v>2982</v>
      </c>
      <c r="W324" t="s">
        <v>1254</v>
      </c>
    </row>
    <row r="325" spans="2:24" ht="15" customHeight="1" x14ac:dyDescent="0.25">
      <c r="B325" s="3" t="s">
        <v>1699</v>
      </c>
      <c r="C325" s="1" t="s">
        <v>1700</v>
      </c>
      <c r="D325" s="2" t="s">
        <v>1058</v>
      </c>
      <c r="E325" s="1" t="s">
        <v>1047</v>
      </c>
      <c r="F325" s="2" t="s">
        <v>1372</v>
      </c>
      <c r="G325" s="1" t="s">
        <v>1701</v>
      </c>
      <c r="H325" s="12" t="s">
        <v>1046</v>
      </c>
      <c r="I325" s="13" t="str">
        <f t="shared" si="38"/>
        <v>2K</v>
      </c>
      <c r="J325" t="str">
        <f t="shared" si="39"/>
        <v xml:space="preserve">1001 </v>
      </c>
      <c r="K325" t="str">
        <f t="shared" si="40"/>
        <v>1001½</v>
      </c>
      <c r="L325" t="str">
        <f t="shared" si="41"/>
        <v>Plat 9</v>
      </c>
      <c r="M325" s="8" t="str">
        <f t="shared" si="37"/>
        <v xml:space="preserve"> 9</v>
      </c>
      <c r="N325" s="4" t="s">
        <v>1372</v>
      </c>
      <c r="O325"/>
    </row>
    <row r="326" spans="2:24" ht="15" customHeight="1" x14ac:dyDescent="0.25">
      <c r="B326" s="3" t="s">
        <v>1702</v>
      </c>
      <c r="C326" s="1" t="s">
        <v>1703</v>
      </c>
      <c r="D326" s="2" t="s">
        <v>1372</v>
      </c>
      <c r="E326" s="1" t="s">
        <v>1156</v>
      </c>
      <c r="F326" s="2" t="s">
        <v>1058</v>
      </c>
      <c r="G326" s="1" t="s">
        <v>319</v>
      </c>
      <c r="H326" s="12" t="s">
        <v>1046</v>
      </c>
      <c r="I326" s="13" t="str">
        <f t="shared" si="38"/>
        <v>1K</v>
      </c>
      <c r="J326" t="str">
        <f t="shared" si="39"/>
        <v>1001½</v>
      </c>
      <c r="K326" t="str">
        <f t="shared" si="40"/>
        <v xml:space="preserve">1002 </v>
      </c>
      <c r="L326" t="str">
        <f t="shared" si="41"/>
        <v>Plat10</v>
      </c>
      <c r="M326" s="8" t="str">
        <f t="shared" si="37"/>
        <v>10</v>
      </c>
      <c r="N326" s="4" t="s">
        <v>1044</v>
      </c>
      <c r="O326" s="4" t="s">
        <v>3019</v>
      </c>
      <c r="P326" s="4" t="s">
        <v>3020</v>
      </c>
      <c r="Q326" s="4" t="s">
        <v>3021</v>
      </c>
      <c r="R326" s="4" t="s">
        <v>3022</v>
      </c>
      <c r="S326" s="4" t="s">
        <v>3023</v>
      </c>
      <c r="T326" s="4" t="s">
        <v>3024</v>
      </c>
      <c r="U326" s="4" t="s">
        <v>3025</v>
      </c>
      <c r="V326" s="4" t="s">
        <v>1058</v>
      </c>
    </row>
    <row r="327" spans="2:24" ht="15" customHeight="1" x14ac:dyDescent="0.25">
      <c r="B327" s="3" t="s">
        <v>1704</v>
      </c>
      <c r="C327" s="1" t="s">
        <v>1705</v>
      </c>
      <c r="D327" s="2" t="s">
        <v>1039</v>
      </c>
      <c r="E327" s="1" t="s">
        <v>1075</v>
      </c>
      <c r="F327" s="1" t="s">
        <v>1051</v>
      </c>
      <c r="G327" s="1"/>
      <c r="H327" s="12" t="s">
        <v>1040</v>
      </c>
      <c r="I327" s="13" t="str">
        <f t="shared" si="38"/>
        <v>2L</v>
      </c>
      <c r="J327" t="str">
        <f t="shared" si="39"/>
        <v xml:space="preserve">1004 </v>
      </c>
      <c r="K327" t="str">
        <f t="shared" si="40"/>
        <v/>
      </c>
      <c r="L327" t="str">
        <f t="shared" si="41"/>
        <v>Plat 2</v>
      </c>
      <c r="M327" s="8" t="str">
        <f t="shared" si="37"/>
        <v xml:space="preserve"> 2</v>
      </c>
      <c r="O327"/>
    </row>
    <row r="328" spans="2:24" ht="15" customHeight="1" x14ac:dyDescent="0.25">
      <c r="B328" s="3" t="s">
        <v>461</v>
      </c>
      <c r="C328" s="1" t="s">
        <v>324</v>
      </c>
      <c r="D328" s="2" t="s">
        <v>1304</v>
      </c>
      <c r="E328" s="1" t="s">
        <v>1047</v>
      </c>
      <c r="F328" s="2" t="s">
        <v>1372</v>
      </c>
      <c r="G328" s="1" t="s">
        <v>1706</v>
      </c>
      <c r="H328" s="12" t="s">
        <v>1046</v>
      </c>
      <c r="I328" s="13" t="str">
        <f t="shared" si="38"/>
        <v>1F</v>
      </c>
      <c r="J328" t="str">
        <f t="shared" si="39"/>
        <v xml:space="preserve">1005 </v>
      </c>
      <c r="K328" t="str">
        <f t="shared" si="40"/>
        <v>1005½</v>
      </c>
      <c r="L328" t="str">
        <f t="shared" si="41"/>
        <v>Plat 9</v>
      </c>
      <c r="M328" s="8" t="str">
        <f t="shared" si="37"/>
        <v xml:space="preserve"> 9</v>
      </c>
      <c r="N328" s="4" t="s">
        <v>1372</v>
      </c>
      <c r="O328"/>
    </row>
    <row r="329" spans="2:24" ht="15" customHeight="1" x14ac:dyDescent="0.25">
      <c r="B329" s="3" t="s">
        <v>1707</v>
      </c>
      <c r="C329" s="1"/>
      <c r="D329" s="1" t="s">
        <v>1037</v>
      </c>
      <c r="E329" s="1" t="s">
        <v>1038</v>
      </c>
      <c r="F329" s="2" t="s">
        <v>1074</v>
      </c>
      <c r="G329" s="1" t="s">
        <v>1708</v>
      </c>
      <c r="H329" s="12" t="s">
        <v>1040</v>
      </c>
      <c r="I329" s="13" t="str">
        <f t="shared" si="38"/>
        <v>2N</v>
      </c>
      <c r="J329" t="str">
        <f t="shared" si="39"/>
        <v/>
      </c>
      <c r="K329" t="str">
        <f t="shared" si="40"/>
        <v xml:space="preserve">1007 </v>
      </c>
      <c r="L329" t="str">
        <f t="shared" si="41"/>
        <v>Plat 1</v>
      </c>
      <c r="M329" s="8" t="str">
        <f t="shared" si="37"/>
        <v xml:space="preserve"> 1</v>
      </c>
      <c r="N329" s="4" t="s">
        <v>3010</v>
      </c>
      <c r="O329" s="15" t="s">
        <v>3011</v>
      </c>
    </row>
    <row r="330" spans="2:24" ht="15" customHeight="1" x14ac:dyDescent="0.25">
      <c r="B330" s="3" t="s">
        <v>1709</v>
      </c>
      <c r="C330" s="1" t="s">
        <v>1710</v>
      </c>
      <c r="D330" s="2" t="s">
        <v>1254</v>
      </c>
      <c r="E330" s="1" t="s">
        <v>2148</v>
      </c>
      <c r="F330" s="1" t="s">
        <v>1051</v>
      </c>
      <c r="G330" s="1"/>
      <c r="H330" s="12" t="s">
        <v>1046</v>
      </c>
      <c r="I330" s="13" t="str">
        <f t="shared" si="38"/>
        <v>2S</v>
      </c>
      <c r="J330" t="str">
        <f t="shared" si="39"/>
        <v xml:space="preserve">1008 </v>
      </c>
      <c r="K330" t="str">
        <f t="shared" si="40"/>
        <v/>
      </c>
      <c r="L330" t="str">
        <f t="shared" si="41"/>
        <v>Plat11</v>
      </c>
      <c r="M330" s="8" t="str">
        <f t="shared" si="37"/>
        <v>11</v>
      </c>
      <c r="O330"/>
    </row>
    <row r="331" spans="2:24" ht="15" customHeight="1" x14ac:dyDescent="0.25">
      <c r="B331" s="3" t="s">
        <v>1711</v>
      </c>
      <c r="C331" s="1" t="s">
        <v>1712</v>
      </c>
      <c r="D331" s="2" t="s">
        <v>1372</v>
      </c>
      <c r="E331" s="1" t="s">
        <v>1043</v>
      </c>
      <c r="F331" s="2" t="s">
        <v>1044</v>
      </c>
      <c r="G331" s="1" t="s">
        <v>1713</v>
      </c>
      <c r="H331" s="12" t="s">
        <v>1046</v>
      </c>
      <c r="I331" s="13" t="str">
        <f t="shared" si="38"/>
        <v>2W</v>
      </c>
      <c r="J331" t="str">
        <f t="shared" si="39"/>
        <v>1006½</v>
      </c>
      <c r="K331" t="str">
        <f t="shared" si="40"/>
        <v>1008½</v>
      </c>
      <c r="L331" t="str">
        <f t="shared" si="41"/>
        <v>Plat 8</v>
      </c>
      <c r="M331" s="8" t="str">
        <f t="shared" si="37"/>
        <v xml:space="preserve"> 8</v>
      </c>
      <c r="N331" s="4" t="s">
        <v>3012</v>
      </c>
      <c r="O331" s="4" t="s">
        <v>3013</v>
      </c>
      <c r="P331" s="4" t="s">
        <v>1181</v>
      </c>
      <c r="Q331" s="4" t="s">
        <v>3014</v>
      </c>
      <c r="R331" s="4" t="s">
        <v>3015</v>
      </c>
      <c r="S331" s="4" t="s">
        <v>3016</v>
      </c>
      <c r="T331" s="4" t="s">
        <v>3004</v>
      </c>
      <c r="U331" s="4" t="s">
        <v>1161</v>
      </c>
      <c r="V331" s="4" t="s">
        <v>3017</v>
      </c>
      <c r="W331" s="4" t="s">
        <v>3018</v>
      </c>
      <c r="X331" s="4" t="s">
        <v>1044</v>
      </c>
    </row>
    <row r="332" spans="2:24" ht="15" customHeight="1" x14ac:dyDescent="0.25">
      <c r="B332" s="3" t="s">
        <v>1714</v>
      </c>
      <c r="C332" s="1" t="s">
        <v>1708</v>
      </c>
      <c r="D332" s="2" t="s">
        <v>1044</v>
      </c>
      <c r="E332" s="1" t="s">
        <v>1054</v>
      </c>
      <c r="F332" s="2" t="s">
        <v>1372</v>
      </c>
      <c r="G332" s="1" t="s">
        <v>325</v>
      </c>
      <c r="H332" s="12" t="s">
        <v>1046</v>
      </c>
      <c r="I332" s="13" t="str">
        <f t="shared" si="38"/>
        <v>2W</v>
      </c>
      <c r="J332" t="str">
        <f t="shared" si="39"/>
        <v xml:space="preserve">1007 </v>
      </c>
      <c r="K332" t="str">
        <f t="shared" si="40"/>
        <v xml:space="preserve">1009 </v>
      </c>
      <c r="L332" t="str">
        <f t="shared" si="41"/>
        <v>Plat 5</v>
      </c>
      <c r="M332" s="8" t="str">
        <f t="shared" si="37"/>
        <v xml:space="preserve"> 5</v>
      </c>
      <c r="N332" s="4" t="s">
        <v>1372</v>
      </c>
      <c r="O332"/>
    </row>
    <row r="333" spans="2:24" ht="15" customHeight="1" x14ac:dyDescent="0.25">
      <c r="B333" s="3" t="s">
        <v>1715</v>
      </c>
      <c r="C333" s="1" t="s">
        <v>1716</v>
      </c>
      <c r="D333" s="2" t="s">
        <v>1372</v>
      </c>
      <c r="E333" s="1" t="s">
        <v>1156</v>
      </c>
      <c r="F333" s="2" t="s">
        <v>1242</v>
      </c>
      <c r="G333" s="1" t="s">
        <v>325</v>
      </c>
      <c r="H333" s="12" t="s">
        <v>1046</v>
      </c>
      <c r="I333" s="13" t="str">
        <f t="shared" si="38"/>
        <v>1Y</v>
      </c>
      <c r="J333" t="str">
        <f t="shared" si="39"/>
        <v>1008½</v>
      </c>
      <c r="K333" t="str">
        <f t="shared" si="40"/>
        <v xml:space="preserve">1009 </v>
      </c>
      <c r="L333" t="str">
        <f t="shared" si="41"/>
        <v>Plat10</v>
      </c>
      <c r="M333" s="8" t="str">
        <f t="shared" si="37"/>
        <v>10</v>
      </c>
      <c r="N333" t="s">
        <v>1044</v>
      </c>
      <c r="O333" t="s">
        <v>1473</v>
      </c>
      <c r="P333" t="s">
        <v>3000</v>
      </c>
      <c r="Q333" t="s">
        <v>3001</v>
      </c>
      <c r="R333" t="s">
        <v>3002</v>
      </c>
      <c r="S333" t="s">
        <v>3003</v>
      </c>
      <c r="T333" t="s">
        <v>1091</v>
      </c>
      <c r="U333" t="s">
        <v>3006</v>
      </c>
      <c r="V333" t="s">
        <v>1242</v>
      </c>
    </row>
    <row r="334" spans="2:24" ht="15" customHeight="1" x14ac:dyDescent="0.25">
      <c r="B334" s="3" t="s">
        <v>1717</v>
      </c>
      <c r="C334" s="1" t="s">
        <v>1718</v>
      </c>
      <c r="D334" s="2" t="s">
        <v>1074</v>
      </c>
      <c r="E334" s="1" t="s">
        <v>1050</v>
      </c>
      <c r="F334" s="1" t="s">
        <v>1051</v>
      </c>
      <c r="G334" s="1"/>
      <c r="H334" s="12" t="s">
        <v>1040</v>
      </c>
      <c r="I334" s="13" t="str">
        <f t="shared" si="38"/>
        <v>2N</v>
      </c>
      <c r="J334" t="str">
        <f t="shared" si="39"/>
        <v xml:space="preserve">1014 </v>
      </c>
      <c r="K334" t="str">
        <f t="shared" si="40"/>
        <v/>
      </c>
      <c r="L334" t="str">
        <f t="shared" si="41"/>
        <v>Plat 1</v>
      </c>
      <c r="M334" s="8" t="str">
        <f t="shared" si="37"/>
        <v xml:space="preserve"> 1</v>
      </c>
      <c r="O334"/>
    </row>
    <row r="335" spans="2:24" ht="15" customHeight="1" x14ac:dyDescent="0.25">
      <c r="B335" s="3" t="s">
        <v>1719</v>
      </c>
      <c r="C335" s="1"/>
      <c r="D335" s="1" t="s">
        <v>1037</v>
      </c>
      <c r="E335" s="1" t="s">
        <v>1061</v>
      </c>
      <c r="F335" s="2" t="s">
        <v>1039</v>
      </c>
      <c r="G335" s="1" t="s">
        <v>1720</v>
      </c>
      <c r="H335" s="12" t="s">
        <v>1040</v>
      </c>
      <c r="I335" s="13" t="str">
        <f t="shared" si="38"/>
        <v>2Y</v>
      </c>
      <c r="J335" t="str">
        <f t="shared" si="39"/>
        <v/>
      </c>
      <c r="K335" t="str">
        <f t="shared" si="40"/>
        <v xml:space="preserve">1015 </v>
      </c>
      <c r="L335" t="str">
        <f t="shared" si="41"/>
        <v>Plat 2</v>
      </c>
      <c r="M335" s="8" t="str">
        <f t="shared" si="37"/>
        <v xml:space="preserve"> 2</v>
      </c>
      <c r="N335" s="4" t="s">
        <v>3010</v>
      </c>
      <c r="O335" s="15" t="s">
        <v>3011</v>
      </c>
    </row>
    <row r="336" spans="2:24" ht="15" customHeight="1" x14ac:dyDescent="0.25">
      <c r="B336" s="3" t="s">
        <v>1721</v>
      </c>
      <c r="C336" s="1" t="s">
        <v>1722</v>
      </c>
      <c r="D336" s="2" t="s">
        <v>1372</v>
      </c>
      <c r="E336" s="1" t="s">
        <v>1043</v>
      </c>
      <c r="F336" s="2" t="s">
        <v>1044</v>
      </c>
      <c r="G336" s="1" t="s">
        <v>1723</v>
      </c>
      <c r="H336" s="12" t="s">
        <v>1046</v>
      </c>
      <c r="I336" s="13" t="str">
        <f t="shared" si="38"/>
        <v>2W</v>
      </c>
      <c r="J336" t="str">
        <f t="shared" si="39"/>
        <v>1016½</v>
      </c>
      <c r="K336" t="str">
        <f t="shared" si="40"/>
        <v>1018½</v>
      </c>
      <c r="L336" t="str">
        <f t="shared" si="41"/>
        <v>Plat 8</v>
      </c>
      <c r="M336" s="8" t="str">
        <f t="shared" si="37"/>
        <v xml:space="preserve"> 8</v>
      </c>
      <c r="N336" s="4" t="s">
        <v>3012</v>
      </c>
      <c r="O336" s="4" t="s">
        <v>3013</v>
      </c>
      <c r="P336" s="4" t="s">
        <v>1181</v>
      </c>
      <c r="Q336" s="4" t="s">
        <v>3014</v>
      </c>
      <c r="R336" s="4" t="s">
        <v>3015</v>
      </c>
      <c r="S336" s="4" t="s">
        <v>3016</v>
      </c>
      <c r="T336" s="4" t="s">
        <v>3004</v>
      </c>
      <c r="U336" s="4" t="s">
        <v>1161</v>
      </c>
      <c r="V336" s="4" t="s">
        <v>3017</v>
      </c>
      <c r="W336" s="4" t="s">
        <v>3018</v>
      </c>
      <c r="X336" s="4" t="s">
        <v>1044</v>
      </c>
    </row>
    <row r="337" spans="2:24" ht="15" customHeight="1" x14ac:dyDescent="0.25">
      <c r="B337" s="3" t="s">
        <v>1724</v>
      </c>
      <c r="C337" s="1" t="s">
        <v>333</v>
      </c>
      <c r="D337" s="2" t="s">
        <v>1044</v>
      </c>
      <c r="E337" s="1" t="s">
        <v>1054</v>
      </c>
      <c r="F337" s="2" t="s">
        <v>1372</v>
      </c>
      <c r="G337" s="1" t="s">
        <v>336</v>
      </c>
      <c r="H337" s="12" t="s">
        <v>1046</v>
      </c>
      <c r="I337" s="13" t="str">
        <f t="shared" si="38"/>
        <v>2W</v>
      </c>
      <c r="J337" t="str">
        <f t="shared" si="39"/>
        <v xml:space="preserve">1017 </v>
      </c>
      <c r="K337" t="str">
        <f t="shared" si="40"/>
        <v xml:space="preserve">1019 </v>
      </c>
      <c r="L337" t="str">
        <f t="shared" si="41"/>
        <v>Plat 5</v>
      </c>
      <c r="M337" s="8" t="str">
        <f t="shared" ref="M337:M391" si="42">RIGHT(L337,2)</f>
        <v xml:space="preserve"> 5</v>
      </c>
      <c r="N337" s="4" t="s">
        <v>1372</v>
      </c>
      <c r="O337"/>
    </row>
    <row r="338" spans="2:24" ht="15" customHeight="1" x14ac:dyDescent="0.25">
      <c r="B338" s="3" t="s">
        <v>1725</v>
      </c>
      <c r="C338" s="1" t="s">
        <v>1726</v>
      </c>
      <c r="D338" s="2" t="s">
        <v>1039</v>
      </c>
      <c r="E338" s="1" t="s">
        <v>1075</v>
      </c>
      <c r="F338" s="1" t="s">
        <v>1051</v>
      </c>
      <c r="G338" s="1"/>
      <c r="H338" s="12" t="s">
        <v>1040</v>
      </c>
      <c r="I338" s="13" t="str">
        <f t="shared" si="38"/>
        <v>2L</v>
      </c>
      <c r="J338" t="str">
        <f t="shared" si="39"/>
        <v xml:space="preserve">1019 </v>
      </c>
      <c r="K338" t="str">
        <f t="shared" si="40"/>
        <v/>
      </c>
      <c r="L338" t="str">
        <f t="shared" si="41"/>
        <v>Plat 2</v>
      </c>
      <c r="M338" s="8" t="str">
        <f t="shared" si="42"/>
        <v xml:space="preserve"> 2</v>
      </c>
      <c r="O338"/>
    </row>
    <row r="339" spans="2:24" ht="15" customHeight="1" x14ac:dyDescent="0.25">
      <c r="B339" s="3" t="s">
        <v>1727</v>
      </c>
      <c r="C339" s="1" t="s">
        <v>336</v>
      </c>
      <c r="D339" s="2" t="s">
        <v>1058</v>
      </c>
      <c r="E339" s="1" t="s">
        <v>1047</v>
      </c>
      <c r="F339" s="2" t="s">
        <v>1372</v>
      </c>
      <c r="G339" s="1" t="s">
        <v>1728</v>
      </c>
      <c r="H339" s="12" t="s">
        <v>1046</v>
      </c>
      <c r="I339" s="13" t="str">
        <f t="shared" si="38"/>
        <v>1K</v>
      </c>
      <c r="J339" t="str">
        <f t="shared" si="39"/>
        <v xml:space="preserve">1019 </v>
      </c>
      <c r="K339" t="str">
        <f t="shared" si="40"/>
        <v>1019½</v>
      </c>
      <c r="L339" t="str">
        <f t="shared" si="41"/>
        <v>Plat 9</v>
      </c>
      <c r="M339" s="8" t="str">
        <f t="shared" si="42"/>
        <v xml:space="preserve"> 9</v>
      </c>
      <c r="N339" s="4" t="s">
        <v>1372</v>
      </c>
      <c r="O339"/>
    </row>
    <row r="340" spans="2:24" ht="15" customHeight="1" x14ac:dyDescent="0.25">
      <c r="B340" s="3" t="s">
        <v>1729</v>
      </c>
      <c r="C340" s="1" t="s">
        <v>1730</v>
      </c>
      <c r="D340" s="2" t="s">
        <v>1372</v>
      </c>
      <c r="E340" s="1" t="s">
        <v>1156</v>
      </c>
      <c r="F340" s="2" t="s">
        <v>1058</v>
      </c>
      <c r="G340" s="1" t="s">
        <v>1731</v>
      </c>
      <c r="H340" s="12" t="s">
        <v>1046</v>
      </c>
      <c r="I340" s="13" t="str">
        <f t="shared" si="38"/>
        <v>2K</v>
      </c>
      <c r="J340" t="str">
        <f t="shared" si="39"/>
        <v>1019½</v>
      </c>
      <c r="K340" t="str">
        <f t="shared" si="40"/>
        <v xml:space="preserve">1020 </v>
      </c>
      <c r="L340" t="str">
        <f t="shared" si="41"/>
        <v>Plat10</v>
      </c>
      <c r="M340" s="8" t="str">
        <f t="shared" si="42"/>
        <v>10</v>
      </c>
      <c r="O340"/>
    </row>
    <row r="341" spans="2:24" ht="15" customHeight="1" x14ac:dyDescent="0.25">
      <c r="B341" s="3" t="s">
        <v>1732</v>
      </c>
      <c r="C341" s="1"/>
      <c r="D341" s="1" t="s">
        <v>1037</v>
      </c>
      <c r="E341" s="1" t="s">
        <v>1038</v>
      </c>
      <c r="F341" s="2" t="s">
        <v>1074</v>
      </c>
      <c r="G341" s="1" t="s">
        <v>1733</v>
      </c>
      <c r="H341" s="12" t="s">
        <v>1040</v>
      </c>
      <c r="I341" s="13" t="str">
        <f t="shared" si="38"/>
        <v>2N</v>
      </c>
      <c r="J341" t="str">
        <f t="shared" si="39"/>
        <v/>
      </c>
      <c r="K341" t="str">
        <f t="shared" si="40"/>
        <v xml:space="preserve">1022 </v>
      </c>
      <c r="L341" t="str">
        <f t="shared" si="41"/>
        <v>Plat 1</v>
      </c>
      <c r="M341" s="8" t="str">
        <f t="shared" si="42"/>
        <v xml:space="preserve"> 1</v>
      </c>
      <c r="N341" s="4" t="s">
        <v>3010</v>
      </c>
      <c r="O341" s="15" t="s">
        <v>3011</v>
      </c>
    </row>
    <row r="342" spans="2:24" ht="15" customHeight="1" x14ac:dyDescent="0.25">
      <c r="B342" s="3" t="s">
        <v>1734</v>
      </c>
      <c r="C342" s="1" t="s">
        <v>1733</v>
      </c>
      <c r="D342" s="2" t="s">
        <v>1185</v>
      </c>
      <c r="E342" s="1" t="s">
        <v>1047</v>
      </c>
      <c r="F342" s="2" t="s">
        <v>1372</v>
      </c>
      <c r="G342" s="1" t="s">
        <v>1735</v>
      </c>
      <c r="H342" s="12" t="s">
        <v>1046</v>
      </c>
      <c r="I342" s="13" t="str">
        <f t="shared" si="38"/>
        <v>1N</v>
      </c>
      <c r="J342" t="str">
        <f t="shared" si="39"/>
        <v xml:space="preserve">1022 </v>
      </c>
      <c r="K342" t="str">
        <f t="shared" si="40"/>
        <v>1022½</v>
      </c>
      <c r="L342" t="str">
        <f t="shared" si="41"/>
        <v>Plat 9</v>
      </c>
      <c r="M342" s="8" t="str">
        <f t="shared" si="42"/>
        <v xml:space="preserve"> 9</v>
      </c>
      <c r="N342" s="4" t="s">
        <v>1372</v>
      </c>
      <c r="O342"/>
    </row>
    <row r="343" spans="2:24" ht="15" customHeight="1" x14ac:dyDescent="0.25">
      <c r="B343" s="3" t="s">
        <v>1736</v>
      </c>
      <c r="C343" s="1" t="s">
        <v>1737</v>
      </c>
      <c r="D343" s="2" t="s">
        <v>1372</v>
      </c>
      <c r="E343" s="1" t="s">
        <v>1156</v>
      </c>
      <c r="F343" s="2" t="s">
        <v>1185</v>
      </c>
      <c r="G343" s="1" t="s">
        <v>1738</v>
      </c>
      <c r="H343" s="12" t="s">
        <v>1046</v>
      </c>
      <c r="I343" s="13" t="str">
        <f t="shared" si="38"/>
        <v>1N</v>
      </c>
      <c r="J343" t="str">
        <f t="shared" si="39"/>
        <v>1024½</v>
      </c>
      <c r="K343" t="str">
        <f t="shared" si="40"/>
        <v xml:space="preserve">1025 </v>
      </c>
      <c r="L343" t="str">
        <f t="shared" si="41"/>
        <v>Plat10</v>
      </c>
      <c r="M343" s="8" t="str">
        <f t="shared" si="42"/>
        <v>10</v>
      </c>
      <c r="N343" t="s">
        <v>1044</v>
      </c>
      <c r="O343" t="s">
        <v>2999</v>
      </c>
      <c r="P343" t="s">
        <v>1473</v>
      </c>
      <c r="Q343" t="s">
        <v>3001</v>
      </c>
      <c r="R343" t="s">
        <v>3003</v>
      </c>
      <c r="S343" t="s">
        <v>1091</v>
      </c>
      <c r="T343" t="s">
        <v>3031</v>
      </c>
      <c r="U343" t="s">
        <v>3046</v>
      </c>
      <c r="V343" t="s">
        <v>3047</v>
      </c>
    </row>
    <row r="344" spans="2:24" ht="15" customHeight="1" x14ac:dyDescent="0.25">
      <c r="B344" s="3" t="s">
        <v>1739</v>
      </c>
      <c r="C344" s="1" t="s">
        <v>1740</v>
      </c>
      <c r="D344" s="2" t="s">
        <v>1372</v>
      </c>
      <c r="E344" s="1" t="s">
        <v>1043</v>
      </c>
      <c r="F344" s="2" t="s">
        <v>1044</v>
      </c>
      <c r="G344" s="1" t="s">
        <v>1741</v>
      </c>
      <c r="H344" s="12" t="s">
        <v>1046</v>
      </c>
      <c r="I344" s="13" t="str">
        <f t="shared" si="38"/>
        <v>2W</v>
      </c>
      <c r="J344" t="str">
        <f t="shared" si="39"/>
        <v>1026½</v>
      </c>
      <c r="K344" t="str">
        <f t="shared" si="40"/>
        <v>1028½</v>
      </c>
      <c r="L344" t="str">
        <f t="shared" si="41"/>
        <v>Plat 8</v>
      </c>
      <c r="M344" s="8" t="str">
        <f t="shared" si="42"/>
        <v xml:space="preserve"> 8</v>
      </c>
      <c r="N344" s="4" t="s">
        <v>3012</v>
      </c>
      <c r="O344" s="4" t="s">
        <v>3013</v>
      </c>
      <c r="P344" s="4" t="s">
        <v>1181</v>
      </c>
      <c r="Q344" s="4" t="s">
        <v>3014</v>
      </c>
      <c r="R344" s="4" t="s">
        <v>3015</v>
      </c>
      <c r="S344" s="4" t="s">
        <v>3016</v>
      </c>
      <c r="T344" s="4" t="s">
        <v>3004</v>
      </c>
      <c r="U344" s="4" t="s">
        <v>1161</v>
      </c>
      <c r="V344" s="4" t="s">
        <v>3017</v>
      </c>
      <c r="W344" s="4" t="s">
        <v>3018</v>
      </c>
      <c r="X344" s="4" t="s">
        <v>1044</v>
      </c>
    </row>
    <row r="345" spans="2:24" ht="15" customHeight="1" x14ac:dyDescent="0.25">
      <c r="B345" s="3" t="s">
        <v>1742</v>
      </c>
      <c r="C345" s="1" t="s">
        <v>1743</v>
      </c>
      <c r="D345" s="2" t="s">
        <v>1044</v>
      </c>
      <c r="E345" s="1" t="s">
        <v>1054</v>
      </c>
      <c r="F345" s="2" t="s">
        <v>1372</v>
      </c>
      <c r="G345" s="1" t="s">
        <v>1744</v>
      </c>
      <c r="H345" s="12" t="s">
        <v>1046</v>
      </c>
      <c r="I345" s="13" t="str">
        <f t="shared" si="38"/>
        <v>2W</v>
      </c>
      <c r="J345" t="str">
        <f t="shared" si="39"/>
        <v xml:space="preserve">1027 </v>
      </c>
      <c r="K345" t="str">
        <f t="shared" si="40"/>
        <v xml:space="preserve">1029 </v>
      </c>
      <c r="L345" t="str">
        <f t="shared" si="41"/>
        <v>Plat 5</v>
      </c>
      <c r="M345" s="8" t="str">
        <f t="shared" si="42"/>
        <v xml:space="preserve"> 5</v>
      </c>
      <c r="N345" s="4" t="s">
        <v>1372</v>
      </c>
      <c r="O345"/>
    </row>
    <row r="346" spans="2:24" ht="15" customHeight="1" x14ac:dyDescent="0.25">
      <c r="B346" s="3" t="s">
        <v>1745</v>
      </c>
      <c r="C346" s="1" t="s">
        <v>1746</v>
      </c>
      <c r="D346" s="2" t="s">
        <v>1074</v>
      </c>
      <c r="E346" s="1" t="s">
        <v>1050</v>
      </c>
      <c r="F346" s="1" t="s">
        <v>1051</v>
      </c>
      <c r="G346" s="1"/>
      <c r="H346" s="12" t="s">
        <v>1040</v>
      </c>
      <c r="I346" s="13" t="str">
        <f t="shared" si="38"/>
        <v>2N</v>
      </c>
      <c r="J346" t="str">
        <f t="shared" si="39"/>
        <v xml:space="preserve">1029 </v>
      </c>
      <c r="K346" t="str">
        <f t="shared" si="40"/>
        <v/>
      </c>
      <c r="L346" t="str">
        <f t="shared" si="41"/>
        <v>Plat 1</v>
      </c>
      <c r="M346" s="8" t="str">
        <f t="shared" si="42"/>
        <v xml:space="preserve"> 1</v>
      </c>
      <c r="O346"/>
    </row>
    <row r="347" spans="2:24" ht="15" customHeight="1" x14ac:dyDescent="0.25">
      <c r="B347" s="3" t="s">
        <v>1747</v>
      </c>
      <c r="C347" s="1"/>
      <c r="D347" s="1" t="s">
        <v>1037</v>
      </c>
      <c r="E347" s="1" t="s">
        <v>2148</v>
      </c>
      <c r="F347" s="2" t="s">
        <v>1254</v>
      </c>
      <c r="G347" s="1" t="s">
        <v>343</v>
      </c>
      <c r="H347" s="12" t="s">
        <v>1046</v>
      </c>
      <c r="I347" s="13" t="str">
        <f t="shared" si="38"/>
        <v>2S</v>
      </c>
      <c r="J347" t="str">
        <f t="shared" si="39"/>
        <v/>
      </c>
      <c r="K347" t="str">
        <f t="shared" si="40"/>
        <v xml:space="preserve">1030 </v>
      </c>
      <c r="L347" t="str">
        <f t="shared" si="41"/>
        <v>Plat11</v>
      </c>
      <c r="M347" s="8" t="str">
        <f t="shared" si="42"/>
        <v>11</v>
      </c>
      <c r="N347" t="s">
        <v>2975</v>
      </c>
      <c r="O347" t="s">
        <v>3039</v>
      </c>
      <c r="P347" t="s">
        <v>3041</v>
      </c>
      <c r="Q347" t="s">
        <v>3042</v>
      </c>
      <c r="R347" t="s">
        <v>2978</v>
      </c>
      <c r="S347" t="s">
        <v>1298</v>
      </c>
      <c r="T347" t="s">
        <v>2980</v>
      </c>
      <c r="U347" t="s">
        <v>2982</v>
      </c>
      <c r="V347" t="s">
        <v>1254</v>
      </c>
    </row>
    <row r="348" spans="2:24" ht="15" customHeight="1" x14ac:dyDescent="0.25">
      <c r="B348" s="3" t="s">
        <v>1748</v>
      </c>
      <c r="C348" s="1"/>
      <c r="D348" s="1" t="s">
        <v>1037</v>
      </c>
      <c r="E348" s="1" t="s">
        <v>1061</v>
      </c>
      <c r="F348" s="2" t="s">
        <v>1039</v>
      </c>
      <c r="G348" s="1" t="s">
        <v>343</v>
      </c>
      <c r="H348" s="12" t="s">
        <v>1040</v>
      </c>
      <c r="I348" s="13" t="str">
        <f t="shared" si="38"/>
        <v>2Y</v>
      </c>
      <c r="J348" t="str">
        <f t="shared" si="39"/>
        <v/>
      </c>
      <c r="K348" t="str">
        <f t="shared" si="40"/>
        <v xml:space="preserve">1030 </v>
      </c>
      <c r="L348" t="str">
        <f t="shared" si="41"/>
        <v>Plat 2</v>
      </c>
      <c r="M348" s="8" t="str">
        <f t="shared" si="42"/>
        <v xml:space="preserve"> 2</v>
      </c>
      <c r="N348" s="4" t="s">
        <v>3010</v>
      </c>
      <c r="O348" s="15" t="s">
        <v>3011</v>
      </c>
    </row>
    <row r="349" spans="2:24" ht="15" customHeight="1" x14ac:dyDescent="0.25">
      <c r="B349" s="3" t="s">
        <v>1750</v>
      </c>
      <c r="C349" s="1" t="s">
        <v>1751</v>
      </c>
      <c r="D349" s="2" t="s">
        <v>1039</v>
      </c>
      <c r="E349" s="1" t="s">
        <v>1075</v>
      </c>
      <c r="F349" s="1" t="s">
        <v>1051</v>
      </c>
      <c r="G349" s="1"/>
      <c r="H349" s="1" t="s">
        <v>1040</v>
      </c>
      <c r="I349" s="13" t="str">
        <f t="shared" ref="I349:I402" si="43">LEFT(B349,2)</f>
        <v>2L</v>
      </c>
      <c r="J349" t="str">
        <f t="shared" ref="J349:J402" si="44">LEFT(C349,5)</f>
        <v xml:space="preserve">1034 </v>
      </c>
      <c r="K349" t="str">
        <f t="shared" ref="K349:K402" si="45">LEFT(G349,5)</f>
        <v/>
      </c>
      <c r="L349" t="str">
        <f t="shared" ref="L349:L402" si="46">LEFT(E349,6)</f>
        <v>Plat 2</v>
      </c>
      <c r="M349" s="8" t="str">
        <f t="shared" si="42"/>
        <v xml:space="preserve"> 2</v>
      </c>
      <c r="O349"/>
    </row>
    <row r="350" spans="2:24" ht="15" customHeight="1" x14ac:dyDescent="0.25">
      <c r="B350" s="3" t="s">
        <v>1752</v>
      </c>
      <c r="C350" s="1" t="s">
        <v>1753</v>
      </c>
      <c r="D350" s="2" t="s">
        <v>1304</v>
      </c>
      <c r="E350" s="1" t="s">
        <v>1054</v>
      </c>
      <c r="F350" s="2" t="s">
        <v>1372</v>
      </c>
      <c r="G350" s="1" t="s">
        <v>1754</v>
      </c>
      <c r="H350" s="1" t="s">
        <v>1046</v>
      </c>
      <c r="I350" s="13" t="str">
        <f t="shared" si="43"/>
        <v>2F</v>
      </c>
      <c r="J350" t="str">
        <f t="shared" si="44"/>
        <v xml:space="preserve">1034 </v>
      </c>
      <c r="K350" t="str">
        <f t="shared" si="45"/>
        <v>1034½</v>
      </c>
      <c r="L350" t="str">
        <f t="shared" si="46"/>
        <v>Plat 5</v>
      </c>
      <c r="M350" s="8" t="str">
        <f t="shared" si="42"/>
        <v xml:space="preserve"> 5</v>
      </c>
      <c r="N350" s="4" t="s">
        <v>1372</v>
      </c>
      <c r="O350"/>
    </row>
    <row r="351" spans="2:24" ht="15" customHeight="1" x14ac:dyDescent="0.25">
      <c r="B351" s="3" t="s">
        <v>1755</v>
      </c>
      <c r="C351" s="1"/>
      <c r="D351" s="1" t="s">
        <v>1037</v>
      </c>
      <c r="E351" s="1" t="s">
        <v>1038</v>
      </c>
      <c r="F351" s="2" t="s">
        <v>1074</v>
      </c>
      <c r="G351" s="1" t="s">
        <v>349</v>
      </c>
      <c r="H351" s="1" t="s">
        <v>1040</v>
      </c>
      <c r="I351" s="13" t="str">
        <f t="shared" si="43"/>
        <v>2N</v>
      </c>
      <c r="J351" t="str">
        <f t="shared" si="44"/>
        <v/>
      </c>
      <c r="K351" t="str">
        <f t="shared" si="45"/>
        <v xml:space="preserve">1037 </v>
      </c>
      <c r="L351" t="str">
        <f t="shared" si="46"/>
        <v>Plat 1</v>
      </c>
      <c r="M351" s="8" t="str">
        <f t="shared" si="42"/>
        <v xml:space="preserve"> 1</v>
      </c>
      <c r="N351" s="4" t="s">
        <v>3010</v>
      </c>
      <c r="O351" s="15" t="s">
        <v>3011</v>
      </c>
    </row>
    <row r="352" spans="2:24" ht="15" customHeight="1" x14ac:dyDescent="0.25">
      <c r="B352" s="3" t="s">
        <v>1756</v>
      </c>
      <c r="C352" s="1" t="s">
        <v>349</v>
      </c>
      <c r="D352" s="2" t="s">
        <v>1254</v>
      </c>
      <c r="E352" s="1" t="s">
        <v>2148</v>
      </c>
      <c r="F352" s="1" t="s">
        <v>1051</v>
      </c>
      <c r="G352" s="1"/>
      <c r="H352" s="1" t="s">
        <v>1046</v>
      </c>
      <c r="I352" s="13" t="str">
        <f t="shared" si="43"/>
        <v>2S</v>
      </c>
      <c r="J352" t="str">
        <f t="shared" si="44"/>
        <v xml:space="preserve">1037 </v>
      </c>
      <c r="K352" t="str">
        <f t="shared" si="45"/>
        <v/>
      </c>
      <c r="L352" t="str">
        <f t="shared" si="46"/>
        <v>Plat11</v>
      </c>
      <c r="M352" s="8" t="str">
        <f t="shared" si="42"/>
        <v>11</v>
      </c>
      <c r="O352"/>
    </row>
    <row r="353" spans="2:24" ht="15" customHeight="1" x14ac:dyDescent="0.25">
      <c r="B353" s="3" t="s">
        <v>1757</v>
      </c>
      <c r="C353" s="1" t="s">
        <v>1758</v>
      </c>
      <c r="D353" s="2" t="s">
        <v>1372</v>
      </c>
      <c r="E353" s="1" t="s">
        <v>1043</v>
      </c>
      <c r="F353" s="2" t="s">
        <v>1044</v>
      </c>
      <c r="G353" s="1" t="s">
        <v>1759</v>
      </c>
      <c r="H353" s="1" t="s">
        <v>1046</v>
      </c>
      <c r="I353" s="13" t="str">
        <f t="shared" si="43"/>
        <v>2W</v>
      </c>
      <c r="J353" t="str">
        <f t="shared" si="44"/>
        <v>1036½</v>
      </c>
      <c r="K353" t="str">
        <f t="shared" si="45"/>
        <v>1038½</v>
      </c>
      <c r="L353" t="str">
        <f t="shared" si="46"/>
        <v>Plat 8</v>
      </c>
      <c r="M353" s="8" t="str">
        <f t="shared" si="42"/>
        <v xml:space="preserve"> 8</v>
      </c>
      <c r="N353" s="4" t="s">
        <v>3012</v>
      </c>
      <c r="O353" s="4" t="s">
        <v>3013</v>
      </c>
      <c r="P353" s="4" t="s">
        <v>1181</v>
      </c>
      <c r="Q353" s="4" t="s">
        <v>3014</v>
      </c>
      <c r="R353" s="4" t="s">
        <v>3015</v>
      </c>
      <c r="S353" s="4" t="s">
        <v>3016</v>
      </c>
      <c r="T353" s="4" t="s">
        <v>3004</v>
      </c>
      <c r="U353" s="4" t="s">
        <v>1161</v>
      </c>
      <c r="V353" s="4" t="s">
        <v>3017</v>
      </c>
      <c r="W353" s="4" t="s">
        <v>3018</v>
      </c>
      <c r="X353" s="4" t="s">
        <v>1044</v>
      </c>
    </row>
    <row r="354" spans="2:24" ht="15" customHeight="1" x14ac:dyDescent="0.25">
      <c r="B354" s="3" t="s">
        <v>1760</v>
      </c>
      <c r="C354" s="1" t="s">
        <v>1761</v>
      </c>
      <c r="D354" s="2" t="s">
        <v>1372</v>
      </c>
      <c r="E354" s="1" t="s">
        <v>1156</v>
      </c>
      <c r="F354" s="2" t="s">
        <v>1066</v>
      </c>
      <c r="G354" s="1" t="s">
        <v>1759</v>
      </c>
      <c r="H354" s="1" t="s">
        <v>1046</v>
      </c>
      <c r="I354" s="13" t="str">
        <f t="shared" si="43"/>
        <v>1P</v>
      </c>
      <c r="J354" t="str">
        <f t="shared" si="44"/>
        <v>1037½</v>
      </c>
      <c r="K354" t="str">
        <f t="shared" si="45"/>
        <v>1038½</v>
      </c>
      <c r="L354" t="str">
        <f t="shared" si="46"/>
        <v>Plat10</v>
      </c>
      <c r="M354" s="8" t="str">
        <f t="shared" si="42"/>
        <v>10</v>
      </c>
      <c r="N354" t="s">
        <v>1473</v>
      </c>
      <c r="O354" t="s">
        <v>1091</v>
      </c>
      <c r="P354" t="s">
        <v>3006</v>
      </c>
      <c r="Q354" t="s">
        <v>1242</v>
      </c>
      <c r="R354" t="s">
        <v>1501</v>
      </c>
      <c r="S354" t="s">
        <v>3052</v>
      </c>
      <c r="T354" t="s">
        <v>1066</v>
      </c>
    </row>
    <row r="355" spans="2:24" ht="15" customHeight="1" x14ac:dyDescent="0.25">
      <c r="B355" s="3" t="s">
        <v>1762</v>
      </c>
      <c r="C355" s="1" t="s">
        <v>349</v>
      </c>
      <c r="D355" s="2" t="s">
        <v>1044</v>
      </c>
      <c r="E355" s="1" t="s">
        <v>1054</v>
      </c>
      <c r="F355" s="2" t="s">
        <v>1372</v>
      </c>
      <c r="G355" s="1" t="s">
        <v>1763</v>
      </c>
      <c r="H355" s="1" t="s">
        <v>1046</v>
      </c>
      <c r="I355" s="13" t="str">
        <f t="shared" si="43"/>
        <v>2W</v>
      </c>
      <c r="J355" t="str">
        <f t="shared" si="44"/>
        <v xml:space="preserve">1037 </v>
      </c>
      <c r="K355" t="str">
        <f t="shared" si="45"/>
        <v xml:space="preserve">1039 </v>
      </c>
      <c r="L355" t="str">
        <f t="shared" si="46"/>
        <v>Plat 5</v>
      </c>
      <c r="M355" s="8" t="str">
        <f t="shared" si="42"/>
        <v xml:space="preserve"> 5</v>
      </c>
      <c r="N355" s="4" t="s">
        <v>1372</v>
      </c>
      <c r="O355"/>
    </row>
    <row r="356" spans="2:24" ht="15" customHeight="1" x14ac:dyDescent="0.25">
      <c r="B356" s="3" t="s">
        <v>1764</v>
      </c>
      <c r="C356" s="1" t="s">
        <v>1763</v>
      </c>
      <c r="D356" s="2" t="s">
        <v>1058</v>
      </c>
      <c r="E356" s="1" t="s">
        <v>1047</v>
      </c>
      <c r="F356" s="2" t="s">
        <v>1372</v>
      </c>
      <c r="G356" s="1" t="s">
        <v>1765</v>
      </c>
      <c r="H356" s="1" t="s">
        <v>1046</v>
      </c>
      <c r="I356" s="13" t="str">
        <f t="shared" si="43"/>
        <v>1K</v>
      </c>
      <c r="J356" t="str">
        <f t="shared" si="44"/>
        <v xml:space="preserve">1039 </v>
      </c>
      <c r="K356" t="str">
        <f t="shared" si="45"/>
        <v>1039½</v>
      </c>
      <c r="L356" t="str">
        <f t="shared" si="46"/>
        <v>Plat 9</v>
      </c>
      <c r="M356" s="8" t="str">
        <f t="shared" si="42"/>
        <v xml:space="preserve"> 9</v>
      </c>
      <c r="N356" s="4" t="s">
        <v>1372</v>
      </c>
      <c r="O356"/>
    </row>
    <row r="357" spans="2:24" ht="15" customHeight="1" x14ac:dyDescent="0.25">
      <c r="B357" s="3" t="s">
        <v>1056</v>
      </c>
      <c r="C357" s="1" t="s">
        <v>1766</v>
      </c>
      <c r="D357" s="2" t="s">
        <v>1372</v>
      </c>
      <c r="E357" s="1" t="s">
        <v>1156</v>
      </c>
      <c r="F357" s="2" t="s">
        <v>1058</v>
      </c>
      <c r="G357" s="1" t="s">
        <v>352</v>
      </c>
      <c r="H357" s="1" t="s">
        <v>1046</v>
      </c>
      <c r="I357" s="13" t="str">
        <f t="shared" si="43"/>
        <v>1K</v>
      </c>
      <c r="J357" t="str">
        <f t="shared" si="44"/>
        <v>1041½</v>
      </c>
      <c r="K357" t="str">
        <f t="shared" si="45"/>
        <v xml:space="preserve">1042 </v>
      </c>
      <c r="L357" t="str">
        <f t="shared" si="46"/>
        <v>Plat10</v>
      </c>
      <c r="M357" s="8" t="str">
        <f t="shared" si="42"/>
        <v>10</v>
      </c>
      <c r="N357" s="4" t="s">
        <v>1044</v>
      </c>
      <c r="O357" s="4" t="s">
        <v>3019</v>
      </c>
      <c r="P357" s="4" t="s">
        <v>3020</v>
      </c>
      <c r="Q357" s="4" t="s">
        <v>3021</v>
      </c>
      <c r="R357" s="4" t="s">
        <v>3022</v>
      </c>
      <c r="S357" s="4" t="s">
        <v>3023</v>
      </c>
      <c r="T357" s="4" t="s">
        <v>3024</v>
      </c>
      <c r="U357" s="4" t="s">
        <v>3025</v>
      </c>
      <c r="V357" s="4" t="s">
        <v>1058</v>
      </c>
    </row>
    <row r="358" spans="2:24" ht="15" customHeight="1" x14ac:dyDescent="0.25">
      <c r="B358" s="3" t="s">
        <v>1767</v>
      </c>
      <c r="C358" s="1" t="s">
        <v>354</v>
      </c>
      <c r="D358" s="2" t="s">
        <v>1372</v>
      </c>
      <c r="E358" s="1" t="s">
        <v>1156</v>
      </c>
      <c r="F358" s="2" t="s">
        <v>1304</v>
      </c>
      <c r="G358" s="1" t="s">
        <v>357</v>
      </c>
      <c r="H358" s="1" t="s">
        <v>1046</v>
      </c>
      <c r="I358" s="13" t="str">
        <f t="shared" si="43"/>
        <v>2F</v>
      </c>
      <c r="J358" t="str">
        <f t="shared" si="44"/>
        <v>1044½</v>
      </c>
      <c r="K358" t="str">
        <f t="shared" si="45"/>
        <v xml:space="preserve">1045 </v>
      </c>
      <c r="L358" t="str">
        <f t="shared" si="46"/>
        <v>Plat10</v>
      </c>
      <c r="M358" s="8" t="str">
        <f t="shared" si="42"/>
        <v>10</v>
      </c>
      <c r="N358" s="4" t="s">
        <v>3004</v>
      </c>
      <c r="O358" s="4" t="s">
        <v>1044</v>
      </c>
      <c r="P358" s="4" t="s">
        <v>2999</v>
      </c>
      <c r="Q358" s="4" t="s">
        <v>1473</v>
      </c>
      <c r="R358" s="4" t="s">
        <v>3000</v>
      </c>
      <c r="S358" s="4" t="s">
        <v>3001</v>
      </c>
      <c r="T358" s="4" t="s">
        <v>3002</v>
      </c>
      <c r="U358" s="4" t="s">
        <v>3003</v>
      </c>
      <c r="V358" s="4" t="s">
        <v>1091</v>
      </c>
      <c r="W358" s="4" t="s">
        <v>1304</v>
      </c>
    </row>
    <row r="359" spans="2:24" ht="15" customHeight="1" x14ac:dyDescent="0.25">
      <c r="B359" s="3" t="s">
        <v>1768</v>
      </c>
      <c r="C359" s="1" t="s">
        <v>1769</v>
      </c>
      <c r="D359" s="2" t="s">
        <v>1074</v>
      </c>
      <c r="E359" s="1" t="s">
        <v>1050</v>
      </c>
      <c r="F359" s="1" t="s">
        <v>1051</v>
      </c>
      <c r="G359" s="1"/>
      <c r="H359" s="1" t="s">
        <v>1040</v>
      </c>
      <c r="I359" s="13" t="str">
        <f t="shared" si="43"/>
        <v>2N</v>
      </c>
      <c r="J359" t="str">
        <f t="shared" si="44"/>
        <v xml:space="preserve">1045 </v>
      </c>
      <c r="K359" t="str">
        <f t="shared" si="45"/>
        <v/>
      </c>
      <c r="L359" t="str">
        <f t="shared" si="46"/>
        <v>Plat 1</v>
      </c>
      <c r="M359" s="8" t="str">
        <f t="shared" si="42"/>
        <v xml:space="preserve"> 1</v>
      </c>
      <c r="O359"/>
    </row>
    <row r="360" spans="2:24" ht="15" customHeight="1" x14ac:dyDescent="0.25">
      <c r="B360" s="3" t="s">
        <v>1770</v>
      </c>
      <c r="C360" s="1" t="s">
        <v>357</v>
      </c>
      <c r="D360" s="2" t="s">
        <v>1066</v>
      </c>
      <c r="E360" s="1" t="s">
        <v>1047</v>
      </c>
      <c r="F360" s="2" t="s">
        <v>1372</v>
      </c>
      <c r="G360" s="1" t="s">
        <v>1772</v>
      </c>
      <c r="H360" s="1" t="s">
        <v>1046</v>
      </c>
      <c r="I360" s="13" t="str">
        <f t="shared" si="43"/>
        <v>1P</v>
      </c>
      <c r="J360" t="str">
        <f t="shared" si="44"/>
        <v xml:space="preserve">1045 </v>
      </c>
      <c r="K360" t="str">
        <f t="shared" si="45"/>
        <v xml:space="preserve">1046 </v>
      </c>
      <c r="L360" t="str">
        <f t="shared" si="46"/>
        <v>Plat 9</v>
      </c>
      <c r="M360" s="8" t="str">
        <f t="shared" si="42"/>
        <v xml:space="preserve"> 9</v>
      </c>
      <c r="N360" s="4" t="s">
        <v>1372</v>
      </c>
      <c r="O360"/>
    </row>
    <row r="361" spans="2:24" ht="15" customHeight="1" x14ac:dyDescent="0.25">
      <c r="B361" s="3" t="s">
        <v>1771</v>
      </c>
      <c r="C361" s="1"/>
      <c r="D361" s="1" t="s">
        <v>1037</v>
      </c>
      <c r="E361" s="1" t="s">
        <v>1061</v>
      </c>
      <c r="F361" s="2" t="s">
        <v>1039</v>
      </c>
      <c r="G361" s="1" t="s">
        <v>1772</v>
      </c>
      <c r="H361" s="1" t="s">
        <v>1040</v>
      </c>
      <c r="I361" s="13" t="str">
        <f t="shared" si="43"/>
        <v>2Y</v>
      </c>
      <c r="J361" t="str">
        <f t="shared" si="44"/>
        <v/>
      </c>
      <c r="K361" t="str">
        <f t="shared" si="45"/>
        <v xml:space="preserve">1046 </v>
      </c>
      <c r="L361" t="str">
        <f t="shared" si="46"/>
        <v>Plat 2</v>
      </c>
      <c r="M361" s="8" t="str">
        <f t="shared" si="42"/>
        <v xml:space="preserve"> 2</v>
      </c>
      <c r="N361" s="4" t="s">
        <v>3010</v>
      </c>
      <c r="O361" s="15" t="s">
        <v>3011</v>
      </c>
    </row>
    <row r="362" spans="2:24" ht="15" customHeight="1" x14ac:dyDescent="0.25">
      <c r="B362" s="3" t="s">
        <v>1773</v>
      </c>
      <c r="C362" s="1" t="s">
        <v>1774</v>
      </c>
      <c r="D362" s="2" t="s">
        <v>1372</v>
      </c>
      <c r="E362" s="1" t="s">
        <v>1043</v>
      </c>
      <c r="F362" s="2" t="s">
        <v>1044</v>
      </c>
      <c r="G362" s="1" t="s">
        <v>355</v>
      </c>
      <c r="H362" s="1" t="s">
        <v>1046</v>
      </c>
      <c r="I362" s="13" t="str">
        <f t="shared" si="43"/>
        <v>2W</v>
      </c>
      <c r="J362" t="str">
        <f t="shared" si="44"/>
        <v>1046½</v>
      </c>
      <c r="K362" t="str">
        <f t="shared" si="45"/>
        <v>1048½</v>
      </c>
      <c r="L362" t="str">
        <f t="shared" si="46"/>
        <v>Plat 8</v>
      </c>
      <c r="M362" s="8" t="str">
        <f t="shared" si="42"/>
        <v xml:space="preserve"> 8</v>
      </c>
      <c r="N362" s="4" t="s">
        <v>3012</v>
      </c>
      <c r="O362" s="4" t="s">
        <v>3013</v>
      </c>
      <c r="P362" s="4" t="s">
        <v>1181</v>
      </c>
      <c r="Q362" s="4" t="s">
        <v>3014</v>
      </c>
      <c r="R362" s="4" t="s">
        <v>3015</v>
      </c>
      <c r="S362" s="4" t="s">
        <v>3016</v>
      </c>
      <c r="T362" s="4" t="s">
        <v>3004</v>
      </c>
      <c r="U362" s="4" t="s">
        <v>1161</v>
      </c>
      <c r="V362" s="4" t="s">
        <v>3017</v>
      </c>
      <c r="W362" s="4" t="s">
        <v>3018</v>
      </c>
      <c r="X362" s="4" t="s">
        <v>1044</v>
      </c>
    </row>
    <row r="363" spans="2:24" ht="15" customHeight="1" x14ac:dyDescent="0.25">
      <c r="B363" s="3" t="s">
        <v>1775</v>
      </c>
      <c r="C363" s="1" t="s">
        <v>1776</v>
      </c>
      <c r="D363" s="2" t="s">
        <v>1044</v>
      </c>
      <c r="E363" s="1" t="s">
        <v>1054</v>
      </c>
      <c r="F363" s="2" t="s">
        <v>1372</v>
      </c>
      <c r="G363" s="1" t="s">
        <v>358</v>
      </c>
      <c r="H363" s="1" t="s">
        <v>1046</v>
      </c>
      <c r="I363" s="13" t="str">
        <f t="shared" si="43"/>
        <v>2W</v>
      </c>
      <c r="J363" t="str">
        <f t="shared" si="44"/>
        <v xml:space="preserve">1047 </v>
      </c>
      <c r="K363" t="str">
        <f t="shared" si="45"/>
        <v xml:space="preserve">1049 </v>
      </c>
      <c r="L363" t="str">
        <f t="shared" si="46"/>
        <v>Plat 5</v>
      </c>
      <c r="M363" s="8" t="str">
        <f t="shared" si="42"/>
        <v xml:space="preserve"> 5</v>
      </c>
      <c r="N363" s="4" t="s">
        <v>1372</v>
      </c>
      <c r="O363"/>
    </row>
    <row r="364" spans="2:24" ht="15" customHeight="1" x14ac:dyDescent="0.25">
      <c r="B364" s="3" t="s">
        <v>1777</v>
      </c>
      <c r="C364" s="1" t="s">
        <v>1778</v>
      </c>
      <c r="D364" s="2" t="s">
        <v>1039</v>
      </c>
      <c r="E364" s="1" t="s">
        <v>1075</v>
      </c>
      <c r="F364" s="1" t="s">
        <v>1051</v>
      </c>
      <c r="G364" s="1"/>
      <c r="H364" s="1" t="s">
        <v>1040</v>
      </c>
      <c r="I364" s="13" t="str">
        <f t="shared" si="43"/>
        <v>2L</v>
      </c>
      <c r="J364" t="str">
        <f t="shared" si="44"/>
        <v xml:space="preserve">1051 </v>
      </c>
      <c r="K364" t="str">
        <f t="shared" si="45"/>
        <v/>
      </c>
      <c r="L364" t="str">
        <f t="shared" si="46"/>
        <v>Plat 2</v>
      </c>
      <c r="M364" s="8" t="str">
        <f t="shared" si="42"/>
        <v xml:space="preserve"> 2</v>
      </c>
      <c r="O364"/>
    </row>
    <row r="365" spans="2:24" ht="15" customHeight="1" x14ac:dyDescent="0.25">
      <c r="B365" s="3" t="s">
        <v>1779</v>
      </c>
      <c r="C365" s="1"/>
      <c r="D365" s="1" t="s">
        <v>1037</v>
      </c>
      <c r="E365" s="1" t="s">
        <v>1038</v>
      </c>
      <c r="F365" s="2" t="s">
        <v>1074</v>
      </c>
      <c r="G365" s="1" t="s">
        <v>363</v>
      </c>
      <c r="H365" s="1" t="s">
        <v>1040</v>
      </c>
      <c r="I365" s="13" t="str">
        <f t="shared" si="43"/>
        <v>2N</v>
      </c>
      <c r="J365" t="str">
        <f t="shared" si="44"/>
        <v/>
      </c>
      <c r="K365" t="str">
        <f t="shared" si="45"/>
        <v xml:space="preserve">1052 </v>
      </c>
      <c r="L365" t="str">
        <f t="shared" si="46"/>
        <v>Plat 1</v>
      </c>
      <c r="M365" s="8" t="str">
        <f t="shared" si="42"/>
        <v xml:space="preserve"> 1</v>
      </c>
      <c r="N365" s="4" t="s">
        <v>3010</v>
      </c>
      <c r="O365" s="15" t="s">
        <v>3011</v>
      </c>
    </row>
    <row r="366" spans="2:24" ht="15" customHeight="1" x14ac:dyDescent="0.25">
      <c r="B366" s="3" t="s">
        <v>513</v>
      </c>
      <c r="C366" s="1" t="s">
        <v>363</v>
      </c>
      <c r="D366" s="2" t="s">
        <v>1237</v>
      </c>
      <c r="E366" s="1" t="s">
        <v>1047</v>
      </c>
      <c r="F366" s="2" t="s">
        <v>1372</v>
      </c>
      <c r="G366" s="1" t="s">
        <v>1780</v>
      </c>
      <c r="H366" s="1" t="s">
        <v>1046</v>
      </c>
      <c r="I366" s="13" t="str">
        <f t="shared" si="43"/>
        <v>1F</v>
      </c>
      <c r="J366" t="str">
        <f t="shared" si="44"/>
        <v xml:space="preserve">1052 </v>
      </c>
      <c r="K366" t="str">
        <f t="shared" si="45"/>
        <v>1052½</v>
      </c>
      <c r="L366" t="str">
        <f t="shared" si="46"/>
        <v>Plat 9</v>
      </c>
      <c r="M366" s="8" t="str">
        <f t="shared" si="42"/>
        <v xml:space="preserve"> 9</v>
      </c>
      <c r="N366" s="4" t="s">
        <v>1372</v>
      </c>
      <c r="O366"/>
    </row>
    <row r="367" spans="2:24" ht="15" customHeight="1" x14ac:dyDescent="0.25">
      <c r="B367" s="3" t="s">
        <v>302</v>
      </c>
      <c r="C367" s="1" t="s">
        <v>1781</v>
      </c>
      <c r="D367" s="2" t="s">
        <v>1372</v>
      </c>
      <c r="E367" s="1" t="s">
        <v>1156</v>
      </c>
      <c r="F367" s="2" t="s">
        <v>1237</v>
      </c>
      <c r="G367" s="1" t="s">
        <v>361</v>
      </c>
      <c r="H367" s="1" t="s">
        <v>1046</v>
      </c>
      <c r="I367" s="13" t="str">
        <f t="shared" si="43"/>
        <v>1F</v>
      </c>
      <c r="J367" t="str">
        <f t="shared" si="44"/>
        <v>1054½</v>
      </c>
      <c r="K367" t="str">
        <f t="shared" si="45"/>
        <v xml:space="preserve">1055 </v>
      </c>
      <c r="L367" t="str">
        <f t="shared" si="46"/>
        <v>Plat10</v>
      </c>
      <c r="M367" s="8" t="str">
        <f t="shared" si="42"/>
        <v>10</v>
      </c>
      <c r="N367" t="s">
        <v>1044</v>
      </c>
      <c r="O367" t="s">
        <v>2999</v>
      </c>
      <c r="P367" t="s">
        <v>1473</v>
      </c>
      <c r="Q367" t="s">
        <v>3001</v>
      </c>
      <c r="R367" t="s">
        <v>3043</v>
      </c>
      <c r="S367" t="s">
        <v>3044</v>
      </c>
      <c r="T367" t="s">
        <v>3045</v>
      </c>
      <c r="U367" t="s">
        <v>1237</v>
      </c>
    </row>
    <row r="368" spans="2:24" ht="15" customHeight="1" x14ac:dyDescent="0.25">
      <c r="B368" s="3" t="s">
        <v>1782</v>
      </c>
      <c r="C368" s="1" t="s">
        <v>1783</v>
      </c>
      <c r="D368" s="2" t="s">
        <v>1372</v>
      </c>
      <c r="E368" s="1" t="s">
        <v>1043</v>
      </c>
      <c r="F368" s="2" t="s">
        <v>1044</v>
      </c>
      <c r="G368" s="1" t="s">
        <v>1784</v>
      </c>
      <c r="H368" s="1" t="s">
        <v>1046</v>
      </c>
      <c r="I368" s="13" t="str">
        <f t="shared" si="43"/>
        <v>2W</v>
      </c>
      <c r="J368" t="str">
        <f t="shared" si="44"/>
        <v>1056½</v>
      </c>
      <c r="K368" t="str">
        <f t="shared" si="45"/>
        <v>1058½</v>
      </c>
      <c r="L368" t="str">
        <f t="shared" si="46"/>
        <v>Plat 8</v>
      </c>
      <c r="M368" s="8" t="str">
        <f t="shared" si="42"/>
        <v xml:space="preserve"> 8</v>
      </c>
      <c r="N368" s="4" t="s">
        <v>3012</v>
      </c>
      <c r="O368" s="4" t="s">
        <v>3013</v>
      </c>
      <c r="P368" s="4" t="s">
        <v>1181</v>
      </c>
      <c r="Q368" s="4" t="s">
        <v>3014</v>
      </c>
      <c r="R368" s="4" t="s">
        <v>3015</v>
      </c>
      <c r="S368" s="4" t="s">
        <v>3016</v>
      </c>
      <c r="T368" s="4" t="s">
        <v>3004</v>
      </c>
      <c r="U368" s="4" t="s">
        <v>1161</v>
      </c>
      <c r="V368" s="4" t="s">
        <v>3017</v>
      </c>
      <c r="W368" s="4" t="s">
        <v>3018</v>
      </c>
      <c r="X368" s="4" t="s">
        <v>1044</v>
      </c>
    </row>
    <row r="369" spans="2:24" ht="15" customHeight="1" x14ac:dyDescent="0.25">
      <c r="B369" s="3" t="s">
        <v>1785</v>
      </c>
      <c r="C369" s="1" t="s">
        <v>1786</v>
      </c>
      <c r="D369" s="2" t="s">
        <v>1044</v>
      </c>
      <c r="E369" s="1" t="s">
        <v>1054</v>
      </c>
      <c r="F369" s="2" t="s">
        <v>1372</v>
      </c>
      <c r="G369" s="1" t="s">
        <v>369</v>
      </c>
      <c r="H369" s="1" t="s">
        <v>1046</v>
      </c>
      <c r="I369" s="13" t="str">
        <f t="shared" si="43"/>
        <v>2W</v>
      </c>
      <c r="J369" t="str">
        <f t="shared" si="44"/>
        <v xml:space="preserve">1057 </v>
      </c>
      <c r="K369" t="str">
        <f t="shared" si="45"/>
        <v xml:space="preserve">1059 </v>
      </c>
      <c r="L369" t="str">
        <f t="shared" si="46"/>
        <v>Plat 5</v>
      </c>
      <c r="M369" s="8" t="str">
        <f t="shared" si="42"/>
        <v xml:space="preserve"> 5</v>
      </c>
      <c r="N369" s="4" t="s">
        <v>1372</v>
      </c>
      <c r="O369"/>
    </row>
    <row r="370" spans="2:24" ht="15" customHeight="1" x14ac:dyDescent="0.25">
      <c r="B370" s="3" t="s">
        <v>1787</v>
      </c>
      <c r="C370" s="1" t="s">
        <v>1788</v>
      </c>
      <c r="D370" s="2" t="s">
        <v>1074</v>
      </c>
      <c r="E370" s="1" t="s">
        <v>1050</v>
      </c>
      <c r="F370" s="1" t="s">
        <v>1051</v>
      </c>
      <c r="G370" s="1"/>
      <c r="H370" s="1" t="s">
        <v>1040</v>
      </c>
      <c r="I370" s="13" t="str">
        <f t="shared" si="43"/>
        <v>2N</v>
      </c>
      <c r="J370" t="str">
        <f t="shared" si="44"/>
        <v xml:space="preserve">1059 </v>
      </c>
      <c r="K370" t="str">
        <f t="shared" si="45"/>
        <v/>
      </c>
      <c r="L370" t="str">
        <f t="shared" si="46"/>
        <v>Plat 1</v>
      </c>
      <c r="M370" s="8" t="str">
        <f t="shared" si="42"/>
        <v xml:space="preserve"> 1</v>
      </c>
      <c r="O370"/>
    </row>
    <row r="371" spans="2:24" ht="15" customHeight="1" x14ac:dyDescent="0.25">
      <c r="B371" s="3" t="s">
        <v>1789</v>
      </c>
      <c r="C371" s="1"/>
      <c r="D371" s="1" t="s">
        <v>1037</v>
      </c>
      <c r="E371" s="1" t="s">
        <v>2148</v>
      </c>
      <c r="F371" s="2" t="s">
        <v>1254</v>
      </c>
      <c r="G371" s="1" t="s">
        <v>1790</v>
      </c>
      <c r="H371" s="1" t="s">
        <v>1046</v>
      </c>
      <c r="I371" s="13" t="str">
        <f t="shared" si="43"/>
        <v>2S</v>
      </c>
      <c r="J371" t="str">
        <f t="shared" si="44"/>
        <v/>
      </c>
      <c r="K371" t="str">
        <f t="shared" si="45"/>
        <v xml:space="preserve">1100 </v>
      </c>
      <c r="L371" t="str">
        <f t="shared" si="46"/>
        <v>Plat11</v>
      </c>
      <c r="M371" s="8" t="str">
        <f t="shared" si="42"/>
        <v>11</v>
      </c>
      <c r="N371" t="s">
        <v>2975</v>
      </c>
      <c r="O371" t="s">
        <v>3039</v>
      </c>
      <c r="P371" t="s">
        <v>3040</v>
      </c>
      <c r="Q371" t="s">
        <v>2978</v>
      </c>
      <c r="R371" t="s">
        <v>1298</v>
      </c>
      <c r="S371" t="s">
        <v>2979</v>
      </c>
      <c r="T371" t="s">
        <v>2980</v>
      </c>
      <c r="U371" t="s">
        <v>2981</v>
      </c>
      <c r="V371" t="s">
        <v>2982</v>
      </c>
      <c r="W371" t="s">
        <v>1254</v>
      </c>
    </row>
    <row r="372" spans="2:24" ht="15" customHeight="1" x14ac:dyDescent="0.25">
      <c r="B372" s="3" t="s">
        <v>1791</v>
      </c>
      <c r="C372" s="1"/>
      <c r="D372" s="1" t="s">
        <v>1037</v>
      </c>
      <c r="E372" s="1" t="s">
        <v>1061</v>
      </c>
      <c r="F372" s="2" t="s">
        <v>1039</v>
      </c>
      <c r="G372" s="1" t="s">
        <v>1790</v>
      </c>
      <c r="H372" s="1" t="s">
        <v>1040</v>
      </c>
      <c r="I372" s="13" t="str">
        <f t="shared" si="43"/>
        <v>2Y</v>
      </c>
      <c r="J372" t="str">
        <f t="shared" si="44"/>
        <v/>
      </c>
      <c r="K372" t="str">
        <f t="shared" si="45"/>
        <v xml:space="preserve">1100 </v>
      </c>
      <c r="L372" t="str">
        <f t="shared" si="46"/>
        <v>Plat 2</v>
      </c>
      <c r="M372" s="8" t="str">
        <f t="shared" si="42"/>
        <v xml:space="preserve"> 2</v>
      </c>
      <c r="N372" s="4" t="s">
        <v>3010</v>
      </c>
      <c r="O372" s="15" t="s">
        <v>3011</v>
      </c>
    </row>
    <row r="373" spans="2:24" ht="15" customHeight="1" x14ac:dyDescent="0.25">
      <c r="B373" s="3" t="s">
        <v>1792</v>
      </c>
      <c r="C373" s="1" t="s">
        <v>1793</v>
      </c>
      <c r="D373" s="2" t="s">
        <v>1058</v>
      </c>
      <c r="E373" s="1" t="s">
        <v>1047</v>
      </c>
      <c r="F373" s="2" t="s">
        <v>1372</v>
      </c>
      <c r="G373" s="1" t="s">
        <v>1794</v>
      </c>
      <c r="H373" s="1" t="s">
        <v>1046</v>
      </c>
      <c r="I373" s="13" t="str">
        <f t="shared" si="43"/>
        <v>2K</v>
      </c>
      <c r="J373" t="str">
        <f t="shared" si="44"/>
        <v xml:space="preserve">1101 </v>
      </c>
      <c r="K373" t="str">
        <f t="shared" si="45"/>
        <v>1101½</v>
      </c>
      <c r="L373" t="str">
        <f t="shared" si="46"/>
        <v>Plat 9</v>
      </c>
      <c r="M373" s="8" t="str">
        <f t="shared" si="42"/>
        <v xml:space="preserve"> 9</v>
      </c>
      <c r="N373" s="4" t="s">
        <v>1372</v>
      </c>
      <c r="O373"/>
    </row>
    <row r="374" spans="2:24" ht="15" customHeight="1" x14ac:dyDescent="0.25">
      <c r="B374" s="3" t="s">
        <v>1093</v>
      </c>
      <c r="C374" s="1" t="s">
        <v>1795</v>
      </c>
      <c r="D374" s="2" t="s">
        <v>1372</v>
      </c>
      <c r="E374" s="1" t="s">
        <v>1156</v>
      </c>
      <c r="F374" s="2" t="s">
        <v>1058</v>
      </c>
      <c r="G374" s="1" t="s">
        <v>367</v>
      </c>
      <c r="H374" s="1" t="s">
        <v>1046</v>
      </c>
      <c r="I374" s="13" t="str">
        <f t="shared" si="43"/>
        <v>1K</v>
      </c>
      <c r="J374" t="str">
        <f t="shared" si="44"/>
        <v>1101½</v>
      </c>
      <c r="K374" t="str">
        <f t="shared" si="45"/>
        <v xml:space="preserve">1102 </v>
      </c>
      <c r="L374" t="str">
        <f t="shared" si="46"/>
        <v>Plat10</v>
      </c>
      <c r="M374" s="8" t="str">
        <f t="shared" si="42"/>
        <v>10</v>
      </c>
      <c r="N374" s="4" t="s">
        <v>1044</v>
      </c>
      <c r="O374" s="4" t="s">
        <v>3019</v>
      </c>
      <c r="P374" s="4" t="s">
        <v>3020</v>
      </c>
      <c r="Q374" s="4" t="s">
        <v>3021</v>
      </c>
      <c r="R374" s="4" t="s">
        <v>3022</v>
      </c>
      <c r="S374" s="4" t="s">
        <v>3023</v>
      </c>
      <c r="T374" s="4" t="s">
        <v>3024</v>
      </c>
      <c r="U374" s="4" t="s">
        <v>3025</v>
      </c>
      <c r="V374" s="4" t="s">
        <v>1058</v>
      </c>
    </row>
    <row r="375" spans="2:24" ht="15" customHeight="1" x14ac:dyDescent="0.25">
      <c r="B375" s="3" t="s">
        <v>1796</v>
      </c>
      <c r="C375" s="1" t="s">
        <v>1797</v>
      </c>
      <c r="D375" s="2" t="s">
        <v>1039</v>
      </c>
      <c r="E375" s="1" t="s">
        <v>1075</v>
      </c>
      <c r="F375" s="1" t="s">
        <v>1051</v>
      </c>
      <c r="G375" s="1"/>
      <c r="H375" s="1" t="s">
        <v>1040</v>
      </c>
      <c r="I375" s="13" t="str">
        <f t="shared" si="43"/>
        <v>2L</v>
      </c>
      <c r="J375" t="str">
        <f t="shared" si="44"/>
        <v xml:space="preserve">1104 </v>
      </c>
      <c r="K375" t="str">
        <f t="shared" si="45"/>
        <v/>
      </c>
      <c r="L375" t="str">
        <f t="shared" si="46"/>
        <v>Plat 2</v>
      </c>
      <c r="M375" s="8" t="str">
        <f t="shared" si="42"/>
        <v xml:space="preserve"> 2</v>
      </c>
      <c r="O375"/>
    </row>
    <row r="376" spans="2:24" ht="15" customHeight="1" x14ac:dyDescent="0.25">
      <c r="B376" s="3" t="s">
        <v>1798</v>
      </c>
      <c r="C376" s="1" t="s">
        <v>372</v>
      </c>
      <c r="D376" s="2" t="s">
        <v>1242</v>
      </c>
      <c r="E376" s="1" t="s">
        <v>1047</v>
      </c>
      <c r="F376" s="2" t="s">
        <v>1372</v>
      </c>
      <c r="G376" s="1" t="s">
        <v>1799</v>
      </c>
      <c r="H376" s="1" t="s">
        <v>1046</v>
      </c>
      <c r="I376" s="13" t="str">
        <f t="shared" si="43"/>
        <v>1Y</v>
      </c>
      <c r="J376" t="str">
        <f t="shared" si="44"/>
        <v xml:space="preserve">1105 </v>
      </c>
      <c r="K376" t="str">
        <f t="shared" si="45"/>
        <v>1105½</v>
      </c>
      <c r="L376" t="str">
        <f t="shared" si="46"/>
        <v>Plat 9</v>
      </c>
      <c r="M376" s="8" t="str">
        <f t="shared" si="42"/>
        <v xml:space="preserve"> 9</v>
      </c>
      <c r="N376" s="4" t="s">
        <v>1372</v>
      </c>
      <c r="O376"/>
    </row>
    <row r="377" spans="2:24" ht="15" customHeight="1" x14ac:dyDescent="0.25">
      <c r="B377" s="3" t="s">
        <v>1800</v>
      </c>
      <c r="C377" s="1" t="s">
        <v>1801</v>
      </c>
      <c r="D377" s="2" t="s">
        <v>1254</v>
      </c>
      <c r="E377" s="1" t="s">
        <v>2148</v>
      </c>
      <c r="F377" s="1" t="s">
        <v>1051</v>
      </c>
      <c r="G377" s="1"/>
      <c r="H377" s="1" t="s">
        <v>1046</v>
      </c>
      <c r="I377" s="13" t="str">
        <f t="shared" si="43"/>
        <v>2S</v>
      </c>
      <c r="J377" t="str">
        <f t="shared" si="44"/>
        <v xml:space="preserve">1107 </v>
      </c>
      <c r="K377" t="str">
        <f t="shared" si="45"/>
        <v/>
      </c>
      <c r="L377" t="str">
        <f t="shared" si="46"/>
        <v>Plat11</v>
      </c>
      <c r="M377" s="8" t="str">
        <f t="shared" si="42"/>
        <v>11</v>
      </c>
      <c r="O377"/>
    </row>
    <row r="378" spans="2:24" ht="15" customHeight="1" x14ac:dyDescent="0.25">
      <c r="B378" s="3" t="s">
        <v>1802</v>
      </c>
      <c r="C378" s="1"/>
      <c r="D378" s="1" t="s">
        <v>1037</v>
      </c>
      <c r="E378" s="1" t="s">
        <v>1038</v>
      </c>
      <c r="F378" s="2" t="s">
        <v>1074</v>
      </c>
      <c r="G378" s="1" t="s">
        <v>1801</v>
      </c>
      <c r="H378" s="1" t="s">
        <v>1040</v>
      </c>
      <c r="I378" s="13" t="str">
        <f t="shared" si="43"/>
        <v>2N</v>
      </c>
      <c r="J378" t="str">
        <f t="shared" si="44"/>
        <v/>
      </c>
      <c r="K378" t="str">
        <f t="shared" si="45"/>
        <v xml:space="preserve">1107 </v>
      </c>
      <c r="L378" t="str">
        <f t="shared" si="46"/>
        <v>Plat 1</v>
      </c>
      <c r="M378" s="8" t="str">
        <f t="shared" si="42"/>
        <v xml:space="preserve"> 1</v>
      </c>
      <c r="N378" s="4" t="s">
        <v>3010</v>
      </c>
      <c r="O378" s="15" t="s">
        <v>3011</v>
      </c>
    </row>
    <row r="379" spans="2:24" ht="15" customHeight="1" x14ac:dyDescent="0.25">
      <c r="B379" s="3" t="s">
        <v>1803</v>
      </c>
      <c r="C379" s="1" t="s">
        <v>1804</v>
      </c>
      <c r="D379" s="2" t="s">
        <v>1372</v>
      </c>
      <c r="E379" s="1" t="s">
        <v>1043</v>
      </c>
      <c r="F379" s="2" t="s">
        <v>1044</v>
      </c>
      <c r="G379" s="1" t="s">
        <v>1805</v>
      </c>
      <c r="H379" s="1" t="s">
        <v>1046</v>
      </c>
      <c r="I379" s="13" t="str">
        <f t="shared" si="43"/>
        <v>2W</v>
      </c>
      <c r="J379" t="str">
        <f t="shared" si="44"/>
        <v>1106½</v>
      </c>
      <c r="K379" t="str">
        <f t="shared" si="45"/>
        <v>1108½</v>
      </c>
      <c r="L379" t="str">
        <f t="shared" si="46"/>
        <v>Plat 8</v>
      </c>
      <c r="M379" s="8" t="str">
        <f t="shared" si="42"/>
        <v xml:space="preserve"> 8</v>
      </c>
      <c r="N379" s="4" t="s">
        <v>3012</v>
      </c>
      <c r="O379" s="4" t="s">
        <v>3013</v>
      </c>
      <c r="P379" s="4" t="s">
        <v>1181</v>
      </c>
      <c r="Q379" s="4" t="s">
        <v>3014</v>
      </c>
      <c r="R379" s="4" t="s">
        <v>3015</v>
      </c>
      <c r="S379" s="4" t="s">
        <v>3016</v>
      </c>
      <c r="T379" s="4" t="s">
        <v>3004</v>
      </c>
      <c r="U379" s="4" t="s">
        <v>1161</v>
      </c>
      <c r="V379" s="4" t="s">
        <v>3017</v>
      </c>
      <c r="W379" s="4" t="s">
        <v>3018</v>
      </c>
      <c r="X379" s="4" t="s">
        <v>1044</v>
      </c>
    </row>
    <row r="380" spans="2:24" ht="15" customHeight="1" x14ac:dyDescent="0.25">
      <c r="B380" s="3" t="s">
        <v>1806</v>
      </c>
      <c r="C380" s="1" t="s">
        <v>1801</v>
      </c>
      <c r="D380" s="2" t="s">
        <v>1044</v>
      </c>
      <c r="E380" s="1" t="s">
        <v>1054</v>
      </c>
      <c r="F380" s="2" t="s">
        <v>1372</v>
      </c>
      <c r="G380" s="1" t="s">
        <v>373</v>
      </c>
      <c r="H380" s="1" t="s">
        <v>1046</v>
      </c>
      <c r="I380" s="13" t="str">
        <f t="shared" si="43"/>
        <v>2W</v>
      </c>
      <c r="J380" t="str">
        <f t="shared" si="44"/>
        <v xml:space="preserve">1107 </v>
      </c>
      <c r="K380" t="str">
        <f t="shared" si="45"/>
        <v xml:space="preserve">1109 </v>
      </c>
      <c r="L380" t="str">
        <f t="shared" si="46"/>
        <v>Plat 5</v>
      </c>
      <c r="M380" s="8" t="str">
        <f t="shared" si="42"/>
        <v xml:space="preserve"> 5</v>
      </c>
      <c r="N380" s="4" t="s">
        <v>1372</v>
      </c>
      <c r="O380"/>
    </row>
    <row r="381" spans="2:24" ht="15" customHeight="1" x14ac:dyDescent="0.25">
      <c r="B381" s="3" t="s">
        <v>1807</v>
      </c>
      <c r="C381" s="1" t="s">
        <v>1808</v>
      </c>
      <c r="D381" s="2" t="s">
        <v>1372</v>
      </c>
      <c r="E381" s="1" t="s">
        <v>1156</v>
      </c>
      <c r="F381" s="2" t="s">
        <v>1242</v>
      </c>
      <c r="G381" s="1" t="s">
        <v>373</v>
      </c>
      <c r="H381" s="1" t="s">
        <v>1046</v>
      </c>
      <c r="I381" s="13" t="str">
        <f t="shared" si="43"/>
        <v>1Y</v>
      </c>
      <c r="J381" t="str">
        <f t="shared" si="44"/>
        <v>1108½</v>
      </c>
      <c r="K381" t="str">
        <f t="shared" si="45"/>
        <v xml:space="preserve">1109 </v>
      </c>
      <c r="L381" t="str">
        <f t="shared" si="46"/>
        <v>Plat10</v>
      </c>
      <c r="M381" s="8" t="str">
        <f t="shared" si="42"/>
        <v>10</v>
      </c>
      <c r="N381" t="s">
        <v>1044</v>
      </c>
      <c r="O381" t="s">
        <v>1473</v>
      </c>
      <c r="P381" t="s">
        <v>3000</v>
      </c>
      <c r="Q381" t="s">
        <v>3001</v>
      </c>
      <c r="R381" t="s">
        <v>3002</v>
      </c>
      <c r="S381" t="s">
        <v>3003</v>
      </c>
      <c r="T381" t="s">
        <v>1091</v>
      </c>
      <c r="U381" t="s">
        <v>3006</v>
      </c>
      <c r="V381" t="s">
        <v>1242</v>
      </c>
    </row>
    <row r="382" spans="2:24" ht="15" customHeight="1" x14ac:dyDescent="0.25">
      <c r="B382" s="3" t="s">
        <v>1809</v>
      </c>
      <c r="C382" s="1"/>
      <c r="D382" s="1" t="s">
        <v>1037</v>
      </c>
      <c r="E382" s="1" t="s">
        <v>1061</v>
      </c>
      <c r="F382" s="2" t="s">
        <v>1039</v>
      </c>
      <c r="G382" s="1" t="s">
        <v>378</v>
      </c>
      <c r="H382" s="1" t="s">
        <v>1040</v>
      </c>
      <c r="I382" s="13" t="str">
        <f t="shared" si="43"/>
        <v>2Y</v>
      </c>
      <c r="J382" t="str">
        <f t="shared" si="44"/>
        <v/>
      </c>
      <c r="K382" t="str">
        <f t="shared" si="45"/>
        <v xml:space="preserve">1112 </v>
      </c>
      <c r="L382" t="str">
        <f t="shared" si="46"/>
        <v>Plat 2</v>
      </c>
      <c r="M382" s="8" t="str">
        <f t="shared" si="42"/>
        <v xml:space="preserve"> 2</v>
      </c>
      <c r="N382" s="4" t="s">
        <v>3010</v>
      </c>
      <c r="O382" s="15" t="s">
        <v>3011</v>
      </c>
    </row>
    <row r="383" spans="2:24" ht="15" customHeight="1" x14ac:dyDescent="0.25">
      <c r="B383" s="3" t="s">
        <v>1810</v>
      </c>
      <c r="C383" s="1" t="s">
        <v>1811</v>
      </c>
      <c r="D383" s="2" t="s">
        <v>1074</v>
      </c>
      <c r="E383" s="1" t="s">
        <v>1050</v>
      </c>
      <c r="F383" s="1" t="s">
        <v>1051</v>
      </c>
      <c r="G383" s="1"/>
      <c r="H383" s="1" t="s">
        <v>1040</v>
      </c>
      <c r="I383" s="13" t="str">
        <f t="shared" si="43"/>
        <v>2N</v>
      </c>
      <c r="J383" t="str">
        <f t="shared" si="44"/>
        <v xml:space="preserve">1115 </v>
      </c>
      <c r="K383" t="str">
        <f t="shared" si="45"/>
        <v/>
      </c>
      <c r="L383" t="str">
        <f t="shared" si="46"/>
        <v>Plat 1</v>
      </c>
      <c r="M383" s="8" t="str">
        <f t="shared" si="42"/>
        <v xml:space="preserve"> 1</v>
      </c>
      <c r="O383"/>
    </row>
    <row r="384" spans="2:24" ht="15" customHeight="1" x14ac:dyDescent="0.25">
      <c r="B384" s="3" t="s">
        <v>1812</v>
      </c>
      <c r="C384" s="1" t="s">
        <v>1813</v>
      </c>
      <c r="D384" s="2" t="s">
        <v>1372</v>
      </c>
      <c r="E384" s="1" t="s">
        <v>1043</v>
      </c>
      <c r="F384" s="2" t="s">
        <v>1044</v>
      </c>
      <c r="G384" s="1" t="s">
        <v>1814</v>
      </c>
      <c r="H384" s="1" t="s">
        <v>1046</v>
      </c>
      <c r="I384" s="13" t="str">
        <f t="shared" si="43"/>
        <v>2W</v>
      </c>
      <c r="J384" t="str">
        <f t="shared" si="44"/>
        <v>1116½</v>
      </c>
      <c r="K384" t="str">
        <f t="shared" si="45"/>
        <v>1118½</v>
      </c>
      <c r="L384" t="str">
        <f t="shared" si="46"/>
        <v>Plat 8</v>
      </c>
      <c r="M384" s="8" t="str">
        <f t="shared" si="42"/>
        <v xml:space="preserve"> 8</v>
      </c>
      <c r="N384" s="4" t="s">
        <v>3012</v>
      </c>
      <c r="O384" s="4" t="s">
        <v>3013</v>
      </c>
      <c r="P384" s="4" t="s">
        <v>1181</v>
      </c>
      <c r="Q384" s="4" t="s">
        <v>3014</v>
      </c>
      <c r="R384" s="4" t="s">
        <v>3015</v>
      </c>
      <c r="S384" s="4" t="s">
        <v>3016</v>
      </c>
      <c r="T384" s="4" t="s">
        <v>3004</v>
      </c>
      <c r="U384" s="4" t="s">
        <v>1161</v>
      </c>
      <c r="V384" s="4" t="s">
        <v>3017</v>
      </c>
      <c r="W384" s="4" t="s">
        <v>3018</v>
      </c>
      <c r="X384" s="4" t="s">
        <v>1044</v>
      </c>
    </row>
    <row r="385" spans="2:24" ht="15" customHeight="1" x14ac:dyDescent="0.25">
      <c r="B385" s="3" t="s">
        <v>1815</v>
      </c>
      <c r="C385" s="1" t="s">
        <v>381</v>
      </c>
      <c r="D385" s="2" t="s">
        <v>1044</v>
      </c>
      <c r="E385" s="1" t="s">
        <v>1054</v>
      </c>
      <c r="F385" s="2" t="s">
        <v>1372</v>
      </c>
      <c r="G385" s="1" t="s">
        <v>384</v>
      </c>
      <c r="H385" s="1" t="s">
        <v>1046</v>
      </c>
      <c r="I385" s="13" t="str">
        <f t="shared" si="43"/>
        <v>2W</v>
      </c>
      <c r="J385" t="str">
        <f t="shared" si="44"/>
        <v xml:space="preserve">1117 </v>
      </c>
      <c r="K385" t="str">
        <f t="shared" si="45"/>
        <v xml:space="preserve">1119 </v>
      </c>
      <c r="L385" t="str">
        <f t="shared" si="46"/>
        <v>Plat 5</v>
      </c>
      <c r="M385" s="8" t="str">
        <f t="shared" si="42"/>
        <v xml:space="preserve"> 5</v>
      </c>
      <c r="N385" s="4" t="s">
        <v>1372</v>
      </c>
      <c r="O385"/>
    </row>
    <row r="386" spans="2:24" ht="15" customHeight="1" x14ac:dyDescent="0.25">
      <c r="B386" s="3" t="s">
        <v>1816</v>
      </c>
      <c r="C386" s="1" t="s">
        <v>1817</v>
      </c>
      <c r="D386" s="2" t="s">
        <v>1039</v>
      </c>
      <c r="E386" s="1" t="s">
        <v>1075</v>
      </c>
      <c r="F386" s="1" t="s">
        <v>1051</v>
      </c>
      <c r="G386" s="1"/>
      <c r="H386" s="1" t="s">
        <v>1040</v>
      </c>
      <c r="I386" s="13" t="str">
        <f t="shared" si="43"/>
        <v>2L</v>
      </c>
      <c r="J386" t="str">
        <f t="shared" si="44"/>
        <v xml:space="preserve">1119 </v>
      </c>
      <c r="K386" t="str">
        <f t="shared" si="45"/>
        <v/>
      </c>
      <c r="L386" t="str">
        <f t="shared" si="46"/>
        <v>Plat 2</v>
      </c>
      <c r="M386" s="8" t="str">
        <f t="shared" si="42"/>
        <v xml:space="preserve"> 2</v>
      </c>
      <c r="O386"/>
    </row>
    <row r="387" spans="2:24" ht="15" customHeight="1" x14ac:dyDescent="0.25">
      <c r="B387" s="3" t="s">
        <v>1818</v>
      </c>
      <c r="C387" s="1" t="s">
        <v>384</v>
      </c>
      <c r="D387" s="2" t="s">
        <v>1058</v>
      </c>
      <c r="E387" s="1" t="s">
        <v>1047</v>
      </c>
      <c r="F387" s="2" t="s">
        <v>1372</v>
      </c>
      <c r="G387" s="1" t="s">
        <v>1819</v>
      </c>
      <c r="H387" s="1" t="s">
        <v>1046</v>
      </c>
      <c r="I387" s="13" t="str">
        <f t="shared" si="43"/>
        <v>1K</v>
      </c>
      <c r="J387" t="str">
        <f t="shared" si="44"/>
        <v xml:space="preserve">1119 </v>
      </c>
      <c r="K387" t="str">
        <f t="shared" si="45"/>
        <v>1119½</v>
      </c>
      <c r="L387" t="str">
        <f t="shared" si="46"/>
        <v>Plat 9</v>
      </c>
      <c r="M387" s="8" t="str">
        <f t="shared" si="42"/>
        <v xml:space="preserve"> 9</v>
      </c>
      <c r="N387" s="4" t="s">
        <v>1372</v>
      </c>
      <c r="O387"/>
    </row>
    <row r="388" spans="2:24" ht="15" customHeight="1" x14ac:dyDescent="0.25">
      <c r="B388" s="3" t="s">
        <v>1820</v>
      </c>
      <c r="C388" s="1"/>
      <c r="D388" s="1" t="s">
        <v>1037</v>
      </c>
      <c r="E388" s="1" t="s">
        <v>1038</v>
      </c>
      <c r="F388" s="2" t="s">
        <v>1074</v>
      </c>
      <c r="G388" s="1" t="s">
        <v>1821</v>
      </c>
      <c r="H388" s="1" t="s">
        <v>1040</v>
      </c>
      <c r="I388" s="13" t="str">
        <f t="shared" si="43"/>
        <v>2N</v>
      </c>
      <c r="J388" t="str">
        <f t="shared" si="44"/>
        <v/>
      </c>
      <c r="K388" t="str">
        <f t="shared" si="45"/>
        <v xml:space="preserve">1120 </v>
      </c>
      <c r="L388" t="str">
        <f t="shared" si="46"/>
        <v>Plat 1</v>
      </c>
      <c r="M388" s="8" t="str">
        <f t="shared" si="42"/>
        <v xml:space="preserve"> 1</v>
      </c>
      <c r="N388" s="4" t="s">
        <v>3010</v>
      </c>
      <c r="O388" s="15" t="s">
        <v>3011</v>
      </c>
    </row>
    <row r="389" spans="2:24" ht="15" customHeight="1" x14ac:dyDescent="0.25">
      <c r="B389" s="3" t="s">
        <v>1822</v>
      </c>
      <c r="C389" s="1" t="s">
        <v>1823</v>
      </c>
      <c r="D389" s="2" t="s">
        <v>1372</v>
      </c>
      <c r="E389" s="1" t="s">
        <v>1156</v>
      </c>
      <c r="F389" s="2" t="s">
        <v>1058</v>
      </c>
      <c r="G389" s="1" t="s">
        <v>1821</v>
      </c>
      <c r="H389" s="1" t="s">
        <v>1046</v>
      </c>
      <c r="I389" s="13" t="str">
        <f t="shared" si="43"/>
        <v>2K</v>
      </c>
      <c r="J389" t="str">
        <f t="shared" si="44"/>
        <v>1119½</v>
      </c>
      <c r="K389" t="str">
        <f t="shared" si="45"/>
        <v xml:space="preserve">1120 </v>
      </c>
      <c r="L389" t="str">
        <f t="shared" si="46"/>
        <v>Plat10</v>
      </c>
      <c r="M389" s="8" t="str">
        <f t="shared" si="42"/>
        <v>10</v>
      </c>
      <c r="O389"/>
    </row>
    <row r="390" spans="2:24" ht="15" customHeight="1" x14ac:dyDescent="0.25">
      <c r="B390" s="3" t="s">
        <v>1824</v>
      </c>
      <c r="C390" s="1" t="s">
        <v>1825</v>
      </c>
      <c r="D390" s="2" t="s">
        <v>1185</v>
      </c>
      <c r="E390" s="1" t="s">
        <v>1047</v>
      </c>
      <c r="F390" s="2" t="s">
        <v>1372</v>
      </c>
      <c r="G390" s="1" t="s">
        <v>1826</v>
      </c>
      <c r="H390" s="1" t="s">
        <v>1046</v>
      </c>
      <c r="I390" s="13" t="str">
        <f t="shared" si="43"/>
        <v>1N</v>
      </c>
      <c r="J390" t="str">
        <f t="shared" si="44"/>
        <v xml:space="preserve">1122 </v>
      </c>
      <c r="K390" t="str">
        <f t="shared" si="45"/>
        <v>1122½</v>
      </c>
      <c r="L390" t="str">
        <f t="shared" si="46"/>
        <v>Plat 9</v>
      </c>
      <c r="M390" s="8" t="str">
        <f t="shared" si="42"/>
        <v xml:space="preserve"> 9</v>
      </c>
      <c r="N390" s="4" t="s">
        <v>1372</v>
      </c>
      <c r="O390"/>
    </row>
    <row r="391" spans="2:24" ht="15" customHeight="1" x14ac:dyDescent="0.25">
      <c r="B391" s="3" t="s">
        <v>1827</v>
      </c>
      <c r="C391" s="1" t="s">
        <v>1828</v>
      </c>
      <c r="D391" s="2" t="s">
        <v>1372</v>
      </c>
      <c r="E391" s="1" t="s">
        <v>1156</v>
      </c>
      <c r="F391" s="2" t="s">
        <v>1185</v>
      </c>
      <c r="G391" s="1" t="s">
        <v>1829</v>
      </c>
      <c r="H391" s="1" t="s">
        <v>1046</v>
      </c>
      <c r="I391" s="13" t="str">
        <f t="shared" si="43"/>
        <v>1N</v>
      </c>
      <c r="J391" t="str">
        <f t="shared" si="44"/>
        <v>1124½</v>
      </c>
      <c r="K391" t="str">
        <f t="shared" si="45"/>
        <v xml:space="preserve">1125 </v>
      </c>
      <c r="L391" t="str">
        <f t="shared" si="46"/>
        <v>Plat10</v>
      </c>
      <c r="M391" s="8" t="str">
        <f t="shared" si="42"/>
        <v>10</v>
      </c>
      <c r="N391" t="s">
        <v>1044</v>
      </c>
      <c r="O391" t="s">
        <v>2999</v>
      </c>
      <c r="P391" t="s">
        <v>1473</v>
      </c>
      <c r="Q391" t="s">
        <v>3001</v>
      </c>
      <c r="R391" t="s">
        <v>3003</v>
      </c>
      <c r="S391" t="s">
        <v>1091</v>
      </c>
      <c r="T391" t="s">
        <v>3031</v>
      </c>
      <c r="U391" t="s">
        <v>3046</v>
      </c>
      <c r="V391" t="s">
        <v>3047</v>
      </c>
    </row>
    <row r="392" spans="2:24" ht="15" customHeight="1" x14ac:dyDescent="0.25">
      <c r="B392" s="3" t="s">
        <v>1830</v>
      </c>
      <c r="C392" s="1" t="s">
        <v>1831</v>
      </c>
      <c r="D392" s="2" t="s">
        <v>1372</v>
      </c>
      <c r="E392" s="1" t="s">
        <v>1043</v>
      </c>
      <c r="F392" s="2" t="s">
        <v>1044</v>
      </c>
      <c r="G392" s="1" t="s">
        <v>1832</v>
      </c>
      <c r="H392" s="1" t="s">
        <v>1046</v>
      </c>
      <c r="I392" s="13" t="str">
        <f t="shared" si="43"/>
        <v>2W</v>
      </c>
      <c r="J392" t="str">
        <f t="shared" si="44"/>
        <v>1126½</v>
      </c>
      <c r="K392" t="str">
        <f t="shared" si="45"/>
        <v>1128½</v>
      </c>
      <c r="L392" t="str">
        <f t="shared" si="46"/>
        <v>Plat 8</v>
      </c>
      <c r="M392" s="8" t="str">
        <f t="shared" ref="M392:M419" si="47">RIGHT(L392,2)</f>
        <v xml:space="preserve"> 8</v>
      </c>
      <c r="N392" s="4" t="s">
        <v>3012</v>
      </c>
      <c r="O392" s="4" t="s">
        <v>3013</v>
      </c>
      <c r="P392" s="4" t="s">
        <v>1181</v>
      </c>
      <c r="Q392" s="4" t="s">
        <v>3014</v>
      </c>
      <c r="R392" s="4" t="s">
        <v>3015</v>
      </c>
      <c r="S392" s="4" t="s">
        <v>3016</v>
      </c>
      <c r="T392" s="4" t="s">
        <v>3004</v>
      </c>
      <c r="U392" s="4" t="s">
        <v>1161</v>
      </c>
      <c r="V392" s="4" t="s">
        <v>3017</v>
      </c>
      <c r="W392" s="4" t="s">
        <v>3018</v>
      </c>
      <c r="X392" s="4" t="s">
        <v>1044</v>
      </c>
    </row>
    <row r="393" spans="2:24" ht="15" customHeight="1" x14ac:dyDescent="0.25">
      <c r="B393" s="3" t="s">
        <v>1833</v>
      </c>
      <c r="C393" s="1" t="s">
        <v>1834</v>
      </c>
      <c r="D393" s="2" t="s">
        <v>1074</v>
      </c>
      <c r="E393" s="1" t="s">
        <v>1050</v>
      </c>
      <c r="F393" s="1" t="s">
        <v>1051</v>
      </c>
      <c r="G393" s="1"/>
      <c r="H393" s="1" t="s">
        <v>1040</v>
      </c>
      <c r="I393" s="13" t="str">
        <f t="shared" si="43"/>
        <v>2N</v>
      </c>
      <c r="J393" t="str">
        <f t="shared" si="44"/>
        <v xml:space="preserve">1129 </v>
      </c>
      <c r="K393" t="str">
        <f t="shared" si="45"/>
        <v/>
      </c>
      <c r="L393" t="str">
        <f t="shared" si="46"/>
        <v>Plat 1</v>
      </c>
      <c r="M393" s="8" t="str">
        <f t="shared" si="47"/>
        <v xml:space="preserve"> 1</v>
      </c>
      <c r="O393"/>
    </row>
    <row r="394" spans="2:24" ht="15" customHeight="1" x14ac:dyDescent="0.25">
      <c r="B394" s="3" t="s">
        <v>1835</v>
      </c>
      <c r="C394" s="1" t="s">
        <v>1836</v>
      </c>
      <c r="D394" s="2" t="s">
        <v>1044</v>
      </c>
      <c r="E394" s="1" t="s">
        <v>1054</v>
      </c>
      <c r="F394" s="2" t="s">
        <v>1372</v>
      </c>
      <c r="G394" s="1" t="s">
        <v>1837</v>
      </c>
      <c r="H394" s="1" t="s">
        <v>1046</v>
      </c>
      <c r="I394" s="13" t="str">
        <f t="shared" si="43"/>
        <v>2W</v>
      </c>
      <c r="J394" t="str">
        <f t="shared" si="44"/>
        <v xml:space="preserve">1127 </v>
      </c>
      <c r="K394" t="str">
        <f t="shared" si="45"/>
        <v xml:space="preserve">1129 </v>
      </c>
      <c r="L394" t="str">
        <f t="shared" si="46"/>
        <v>Plat 5</v>
      </c>
      <c r="M394" s="8" t="str">
        <f t="shared" si="47"/>
        <v xml:space="preserve"> 5</v>
      </c>
      <c r="N394" s="4" t="s">
        <v>1372</v>
      </c>
      <c r="O394"/>
    </row>
    <row r="395" spans="2:24" ht="15" customHeight="1" x14ac:dyDescent="0.25">
      <c r="B395" s="3" t="s">
        <v>1838</v>
      </c>
      <c r="C395" s="1"/>
      <c r="D395" s="1" t="s">
        <v>1037</v>
      </c>
      <c r="E395" s="1" t="s">
        <v>1061</v>
      </c>
      <c r="F395" s="2" t="s">
        <v>1039</v>
      </c>
      <c r="G395" s="1" t="s">
        <v>391</v>
      </c>
      <c r="H395" s="1" t="s">
        <v>1040</v>
      </c>
      <c r="I395" s="13" t="str">
        <f t="shared" si="43"/>
        <v>2Y</v>
      </c>
      <c r="J395" t="str">
        <f t="shared" si="44"/>
        <v/>
      </c>
      <c r="K395" t="str">
        <f t="shared" si="45"/>
        <v xml:space="preserve">1130 </v>
      </c>
      <c r="L395" t="str">
        <f t="shared" si="46"/>
        <v>Plat 2</v>
      </c>
      <c r="M395" s="8" t="str">
        <f t="shared" si="47"/>
        <v xml:space="preserve"> 2</v>
      </c>
      <c r="N395" s="4" t="s">
        <v>3010</v>
      </c>
      <c r="O395" s="15" t="s">
        <v>3011</v>
      </c>
    </row>
    <row r="396" spans="2:24" ht="15" customHeight="1" x14ac:dyDescent="0.25">
      <c r="B396" s="3" t="s">
        <v>1839</v>
      </c>
      <c r="C396" s="1"/>
      <c r="D396" s="1" t="s">
        <v>1037</v>
      </c>
      <c r="E396" s="1" t="s">
        <v>2148</v>
      </c>
      <c r="F396" s="2" t="s">
        <v>1254</v>
      </c>
      <c r="G396" s="1" t="s">
        <v>391</v>
      </c>
      <c r="H396" s="1" t="s">
        <v>1046</v>
      </c>
      <c r="I396" s="13" t="str">
        <f t="shared" si="43"/>
        <v>2S</v>
      </c>
      <c r="J396" t="str">
        <f t="shared" si="44"/>
        <v/>
      </c>
      <c r="K396" t="str">
        <f t="shared" si="45"/>
        <v xml:space="preserve">1130 </v>
      </c>
      <c r="L396" t="str">
        <f t="shared" si="46"/>
        <v>Plat11</v>
      </c>
      <c r="M396" s="8" t="str">
        <f t="shared" si="47"/>
        <v>11</v>
      </c>
      <c r="N396" t="s">
        <v>2975</v>
      </c>
      <c r="O396" t="s">
        <v>3039</v>
      </c>
      <c r="P396" t="s">
        <v>3041</v>
      </c>
      <c r="Q396" t="s">
        <v>3042</v>
      </c>
      <c r="R396" t="s">
        <v>2978</v>
      </c>
      <c r="S396" t="s">
        <v>1298</v>
      </c>
      <c r="T396" t="s">
        <v>2980</v>
      </c>
      <c r="U396" t="s">
        <v>2982</v>
      </c>
      <c r="V396" t="s">
        <v>1254</v>
      </c>
    </row>
    <row r="397" spans="2:24" ht="15" customHeight="1" x14ac:dyDescent="0.25">
      <c r="B397" s="3" t="s">
        <v>1840</v>
      </c>
      <c r="C397" s="1" t="s">
        <v>1841</v>
      </c>
      <c r="D397" s="2" t="s">
        <v>1039</v>
      </c>
      <c r="E397" s="1" t="s">
        <v>1075</v>
      </c>
      <c r="F397" s="1" t="s">
        <v>1051</v>
      </c>
      <c r="G397" s="1"/>
      <c r="H397" s="1" t="s">
        <v>1040</v>
      </c>
      <c r="I397" s="13" t="str">
        <f t="shared" si="43"/>
        <v>2L</v>
      </c>
      <c r="J397" t="str">
        <f t="shared" si="44"/>
        <v xml:space="preserve">1136 </v>
      </c>
      <c r="K397" t="str">
        <f t="shared" si="45"/>
        <v/>
      </c>
      <c r="L397" t="str">
        <f t="shared" si="46"/>
        <v>Plat 2</v>
      </c>
      <c r="M397" s="8" t="str">
        <f t="shared" si="47"/>
        <v xml:space="preserve"> 2</v>
      </c>
      <c r="O397"/>
    </row>
    <row r="398" spans="2:24" ht="15" customHeight="1" x14ac:dyDescent="0.25">
      <c r="B398" s="3" t="s">
        <v>1842</v>
      </c>
      <c r="C398" s="1" t="s">
        <v>1843</v>
      </c>
      <c r="D398" s="2" t="s">
        <v>1304</v>
      </c>
      <c r="E398" s="1" t="s">
        <v>1047</v>
      </c>
      <c r="F398" s="2" t="s">
        <v>1372</v>
      </c>
      <c r="G398" s="1" t="s">
        <v>1844</v>
      </c>
      <c r="H398" s="1" t="s">
        <v>1046</v>
      </c>
      <c r="I398" s="13" t="str">
        <f t="shared" si="43"/>
        <v>2F</v>
      </c>
      <c r="J398" t="str">
        <f t="shared" si="44"/>
        <v xml:space="preserve">1136 </v>
      </c>
      <c r="K398" t="str">
        <f t="shared" si="45"/>
        <v>1136½</v>
      </c>
      <c r="L398" t="str">
        <f t="shared" si="46"/>
        <v>Plat 9</v>
      </c>
      <c r="M398" s="8" t="str">
        <f t="shared" si="47"/>
        <v xml:space="preserve"> 9</v>
      </c>
      <c r="N398" s="4" t="s">
        <v>1372</v>
      </c>
      <c r="O398"/>
    </row>
    <row r="399" spans="2:24" ht="15" customHeight="1" x14ac:dyDescent="0.25">
      <c r="B399" s="3" t="s">
        <v>1845</v>
      </c>
      <c r="C399" s="1" t="s">
        <v>397</v>
      </c>
      <c r="D399" s="2" t="s">
        <v>1254</v>
      </c>
      <c r="E399" s="1" t="s">
        <v>2148</v>
      </c>
      <c r="F399" s="1" t="s">
        <v>1051</v>
      </c>
      <c r="G399" s="1"/>
      <c r="H399" s="1" t="s">
        <v>1046</v>
      </c>
      <c r="I399" s="13" t="str">
        <f t="shared" si="43"/>
        <v>2S</v>
      </c>
      <c r="J399" t="str">
        <f t="shared" si="44"/>
        <v xml:space="preserve">1137 </v>
      </c>
      <c r="K399" t="str">
        <f t="shared" si="45"/>
        <v/>
      </c>
      <c r="L399" t="str">
        <f t="shared" si="46"/>
        <v>Plat11</v>
      </c>
      <c r="M399" s="8" t="str">
        <f t="shared" si="47"/>
        <v>11</v>
      </c>
      <c r="O399"/>
    </row>
    <row r="400" spans="2:24" ht="15" customHeight="1" x14ac:dyDescent="0.25">
      <c r="B400" s="3" t="s">
        <v>1060</v>
      </c>
      <c r="C400" s="1"/>
      <c r="D400" s="1" t="s">
        <v>1037</v>
      </c>
      <c r="E400" s="1" t="s">
        <v>1038</v>
      </c>
      <c r="F400" s="2" t="s">
        <v>1074</v>
      </c>
      <c r="G400" s="1" t="s">
        <v>397</v>
      </c>
      <c r="H400" s="1" t="s">
        <v>1040</v>
      </c>
      <c r="I400" s="13" t="str">
        <f t="shared" si="43"/>
        <v>2N</v>
      </c>
      <c r="J400" t="str">
        <f t="shared" si="44"/>
        <v/>
      </c>
      <c r="K400" t="str">
        <f t="shared" si="45"/>
        <v xml:space="preserve">1137 </v>
      </c>
      <c r="L400" t="str">
        <f t="shared" si="46"/>
        <v>Plat 1</v>
      </c>
      <c r="M400" s="8" t="str">
        <f t="shared" si="47"/>
        <v xml:space="preserve"> 1</v>
      </c>
      <c r="N400" s="4" t="s">
        <v>3010</v>
      </c>
      <c r="O400" s="15" t="s">
        <v>3011</v>
      </c>
    </row>
    <row r="401" spans="2:24" ht="15" customHeight="1" x14ac:dyDescent="0.25">
      <c r="B401" s="3" t="s">
        <v>1846</v>
      </c>
      <c r="C401" s="1" t="s">
        <v>1847</v>
      </c>
      <c r="D401" s="2" t="s">
        <v>1372</v>
      </c>
      <c r="E401" s="1" t="s">
        <v>1156</v>
      </c>
      <c r="F401" s="2" t="s">
        <v>1066</v>
      </c>
      <c r="G401" s="1" t="s">
        <v>1848</v>
      </c>
      <c r="H401" s="1" t="s">
        <v>1046</v>
      </c>
      <c r="I401" s="13" t="str">
        <f t="shared" si="43"/>
        <v>1P</v>
      </c>
      <c r="J401" t="str">
        <f t="shared" si="44"/>
        <v>1137½</v>
      </c>
      <c r="K401" t="str">
        <f t="shared" si="45"/>
        <v>1138½</v>
      </c>
      <c r="L401" t="str">
        <f t="shared" si="46"/>
        <v>Plat10</v>
      </c>
      <c r="M401" s="8" t="str">
        <f t="shared" si="47"/>
        <v>10</v>
      </c>
      <c r="N401" t="s">
        <v>1473</v>
      </c>
      <c r="O401" t="s">
        <v>1091</v>
      </c>
      <c r="P401" t="s">
        <v>3006</v>
      </c>
      <c r="Q401" t="s">
        <v>1242</v>
      </c>
      <c r="R401" t="s">
        <v>1501</v>
      </c>
      <c r="S401" t="s">
        <v>3052</v>
      </c>
      <c r="T401" t="s">
        <v>1066</v>
      </c>
    </row>
    <row r="402" spans="2:24" ht="15" customHeight="1" x14ac:dyDescent="0.25">
      <c r="B402" s="3" t="s">
        <v>1849</v>
      </c>
      <c r="C402" s="1" t="s">
        <v>1850</v>
      </c>
      <c r="D402" s="2" t="s">
        <v>1372</v>
      </c>
      <c r="E402" s="1" t="s">
        <v>1043</v>
      </c>
      <c r="F402" s="2" t="s">
        <v>1044</v>
      </c>
      <c r="G402" s="1" t="s">
        <v>1848</v>
      </c>
      <c r="H402" s="1" t="s">
        <v>1046</v>
      </c>
      <c r="I402" s="13" t="str">
        <f t="shared" si="43"/>
        <v>2W</v>
      </c>
      <c r="J402" t="str">
        <f t="shared" si="44"/>
        <v>1136½</v>
      </c>
      <c r="K402" t="str">
        <f t="shared" si="45"/>
        <v>1138½</v>
      </c>
      <c r="L402" t="str">
        <f t="shared" si="46"/>
        <v>Plat 8</v>
      </c>
      <c r="M402" s="8" t="str">
        <f t="shared" si="47"/>
        <v xml:space="preserve"> 8</v>
      </c>
      <c r="N402" s="4" t="s">
        <v>3012</v>
      </c>
      <c r="O402" s="4" t="s">
        <v>3013</v>
      </c>
      <c r="P402" s="4" t="s">
        <v>1181</v>
      </c>
      <c r="Q402" s="4" t="s">
        <v>3014</v>
      </c>
      <c r="R402" s="4" t="s">
        <v>3015</v>
      </c>
      <c r="S402" s="4" t="s">
        <v>3016</v>
      </c>
      <c r="T402" s="4" t="s">
        <v>3004</v>
      </c>
      <c r="U402" s="4" t="s">
        <v>1161</v>
      </c>
      <c r="V402" s="4" t="s">
        <v>3017</v>
      </c>
      <c r="W402" s="4" t="s">
        <v>3018</v>
      </c>
      <c r="X402" s="4" t="s">
        <v>1044</v>
      </c>
    </row>
    <row r="403" spans="2:24" ht="15" customHeight="1" x14ac:dyDescent="0.25">
      <c r="B403" s="3" t="s">
        <v>1851</v>
      </c>
      <c r="C403" s="1" t="s">
        <v>397</v>
      </c>
      <c r="D403" s="2" t="s">
        <v>1044</v>
      </c>
      <c r="E403" s="1" t="s">
        <v>1054</v>
      </c>
      <c r="F403" s="2" t="s">
        <v>1372</v>
      </c>
      <c r="G403" s="1" t="s">
        <v>1852</v>
      </c>
      <c r="H403" s="1" t="s">
        <v>1046</v>
      </c>
      <c r="I403" s="13" t="str">
        <f t="shared" ref="I403:I419" si="48">LEFT(B403,2)</f>
        <v>2W</v>
      </c>
      <c r="J403" t="str">
        <f t="shared" ref="J403:J419" si="49">LEFT(C403,5)</f>
        <v xml:space="preserve">1137 </v>
      </c>
      <c r="K403" t="str">
        <f t="shared" ref="K403:K419" si="50">LEFT(G403,5)</f>
        <v xml:space="preserve">1139 </v>
      </c>
      <c r="L403" t="str">
        <f t="shared" ref="L403:L419" si="51">LEFT(E403,6)</f>
        <v>Plat 5</v>
      </c>
      <c r="M403" s="8" t="str">
        <f t="shared" si="47"/>
        <v xml:space="preserve"> 5</v>
      </c>
      <c r="N403" s="4" t="s">
        <v>1372</v>
      </c>
      <c r="O403"/>
    </row>
    <row r="404" spans="2:24" ht="15" customHeight="1" x14ac:dyDescent="0.25">
      <c r="B404" s="3" t="s">
        <v>1853</v>
      </c>
      <c r="C404" s="1" t="s">
        <v>1852</v>
      </c>
      <c r="D404" s="2" t="s">
        <v>1058</v>
      </c>
      <c r="E404" s="1" t="s">
        <v>1047</v>
      </c>
      <c r="F404" s="2" t="s">
        <v>1372</v>
      </c>
      <c r="G404" s="1" t="s">
        <v>1854</v>
      </c>
      <c r="H404" s="1" t="s">
        <v>1046</v>
      </c>
      <c r="I404" s="13" t="str">
        <f t="shared" si="48"/>
        <v>1K</v>
      </c>
      <c r="J404" t="str">
        <f t="shared" si="49"/>
        <v xml:space="preserve">1139 </v>
      </c>
      <c r="K404" t="str">
        <f t="shared" si="50"/>
        <v>1139½</v>
      </c>
      <c r="L404" t="str">
        <f t="shared" si="51"/>
        <v>Plat 9</v>
      </c>
      <c r="M404" s="8" t="str">
        <f t="shared" si="47"/>
        <v xml:space="preserve"> 9</v>
      </c>
      <c r="N404" s="4" t="s">
        <v>1372</v>
      </c>
      <c r="O404"/>
    </row>
    <row r="405" spans="2:24" ht="15" customHeight="1" x14ac:dyDescent="0.25">
      <c r="B405" s="3" t="s">
        <v>1147</v>
      </c>
      <c r="C405" s="1" t="s">
        <v>1855</v>
      </c>
      <c r="D405" s="2" t="s">
        <v>1372</v>
      </c>
      <c r="E405" s="1" t="s">
        <v>1156</v>
      </c>
      <c r="F405" s="2" t="s">
        <v>1058</v>
      </c>
      <c r="G405" s="1" t="s">
        <v>400</v>
      </c>
      <c r="H405" s="1" t="s">
        <v>1046</v>
      </c>
      <c r="I405" s="13" t="str">
        <f t="shared" si="48"/>
        <v>1K</v>
      </c>
      <c r="J405" t="str">
        <f t="shared" si="49"/>
        <v>1141½</v>
      </c>
      <c r="K405" t="str">
        <f t="shared" si="50"/>
        <v xml:space="preserve">1142 </v>
      </c>
      <c r="L405" t="str">
        <f t="shared" si="51"/>
        <v>Plat10</v>
      </c>
      <c r="M405" s="8" t="str">
        <f t="shared" si="47"/>
        <v>10</v>
      </c>
      <c r="N405" s="4" t="s">
        <v>1044</v>
      </c>
      <c r="O405" s="4" t="s">
        <v>3019</v>
      </c>
      <c r="P405" s="4" t="s">
        <v>3020</v>
      </c>
      <c r="Q405" s="4" t="s">
        <v>3021</v>
      </c>
      <c r="R405" s="4" t="s">
        <v>3022</v>
      </c>
      <c r="S405" s="4" t="s">
        <v>3023</v>
      </c>
      <c r="T405" s="4" t="s">
        <v>3024</v>
      </c>
      <c r="U405" s="4" t="s">
        <v>3025</v>
      </c>
      <c r="V405" s="4" t="s">
        <v>1058</v>
      </c>
    </row>
    <row r="406" spans="2:24" ht="15" customHeight="1" x14ac:dyDescent="0.25">
      <c r="B406" s="3" t="s">
        <v>1072</v>
      </c>
      <c r="C406" s="1" t="s">
        <v>1856</v>
      </c>
      <c r="D406" s="2" t="s">
        <v>1074</v>
      </c>
      <c r="E406" s="1" t="s">
        <v>1050</v>
      </c>
      <c r="F406" s="1" t="s">
        <v>1051</v>
      </c>
      <c r="G406" s="1"/>
      <c r="H406" s="1" t="s">
        <v>1040</v>
      </c>
      <c r="I406" s="13" t="str">
        <f t="shared" si="48"/>
        <v>2N</v>
      </c>
      <c r="J406" t="str">
        <f t="shared" si="49"/>
        <v xml:space="preserve">1144 </v>
      </c>
      <c r="K406" t="str">
        <f t="shared" si="50"/>
        <v/>
      </c>
      <c r="L406" t="str">
        <f t="shared" si="51"/>
        <v>Plat 1</v>
      </c>
      <c r="M406" s="8" t="str">
        <f t="shared" si="47"/>
        <v xml:space="preserve"> 1</v>
      </c>
      <c r="O406"/>
    </row>
    <row r="407" spans="2:24" ht="15" customHeight="1" x14ac:dyDescent="0.25">
      <c r="B407" s="3" t="s">
        <v>1857</v>
      </c>
      <c r="C407" s="1"/>
      <c r="D407" s="1" t="s">
        <v>1037</v>
      </c>
      <c r="E407" s="1" t="s">
        <v>1061</v>
      </c>
      <c r="F407" s="2" t="s">
        <v>1039</v>
      </c>
      <c r="G407" s="1" t="s">
        <v>405</v>
      </c>
      <c r="H407" s="1" t="s">
        <v>1040</v>
      </c>
      <c r="I407" s="13" t="str">
        <f t="shared" si="48"/>
        <v>2Y</v>
      </c>
      <c r="J407" t="str">
        <f t="shared" si="49"/>
        <v/>
      </c>
      <c r="K407" t="str">
        <f t="shared" si="50"/>
        <v xml:space="preserve">1145 </v>
      </c>
      <c r="L407" t="str">
        <f t="shared" si="51"/>
        <v>Plat 2</v>
      </c>
      <c r="M407" s="8" t="str">
        <f t="shared" si="47"/>
        <v xml:space="preserve"> 2</v>
      </c>
      <c r="N407" s="4" t="s">
        <v>3010</v>
      </c>
      <c r="O407" s="15" t="s">
        <v>3011</v>
      </c>
    </row>
    <row r="408" spans="2:24" ht="15" customHeight="1" x14ac:dyDescent="0.25">
      <c r="B408" s="3" t="s">
        <v>1858</v>
      </c>
      <c r="C408" s="1" t="s">
        <v>402</v>
      </c>
      <c r="D408" s="2" t="s">
        <v>1372</v>
      </c>
      <c r="E408" s="1" t="s">
        <v>1156</v>
      </c>
      <c r="F408" s="2" t="s">
        <v>1304</v>
      </c>
      <c r="G408" s="1" t="s">
        <v>405</v>
      </c>
      <c r="H408" s="1" t="s">
        <v>1046</v>
      </c>
      <c r="I408" s="13" t="str">
        <f t="shared" si="48"/>
        <v>2F</v>
      </c>
      <c r="J408" t="str">
        <f t="shared" si="49"/>
        <v>1144½</v>
      </c>
      <c r="K408" t="str">
        <f t="shared" si="50"/>
        <v xml:space="preserve">1145 </v>
      </c>
      <c r="L408" t="str">
        <f t="shared" si="51"/>
        <v>Plat10</v>
      </c>
      <c r="M408" s="8" t="str">
        <f t="shared" si="47"/>
        <v>10</v>
      </c>
      <c r="N408" s="4" t="s">
        <v>3004</v>
      </c>
      <c r="O408" s="4" t="s">
        <v>1044</v>
      </c>
      <c r="P408" s="4" t="s">
        <v>2999</v>
      </c>
      <c r="Q408" s="4" t="s">
        <v>1473</v>
      </c>
      <c r="R408" s="4" t="s">
        <v>3000</v>
      </c>
      <c r="S408" s="4" t="s">
        <v>3001</v>
      </c>
      <c r="T408" s="4" t="s">
        <v>3002</v>
      </c>
      <c r="U408" s="4" t="s">
        <v>3003</v>
      </c>
      <c r="V408" s="4" t="s">
        <v>1091</v>
      </c>
      <c r="W408" s="4" t="s">
        <v>1304</v>
      </c>
    </row>
    <row r="409" spans="2:24" ht="15" customHeight="1" x14ac:dyDescent="0.25">
      <c r="B409" s="3" t="s">
        <v>1859</v>
      </c>
      <c r="C409" s="1" t="s">
        <v>405</v>
      </c>
      <c r="D409" s="2" t="s">
        <v>1066</v>
      </c>
      <c r="E409" s="1" t="s">
        <v>1047</v>
      </c>
      <c r="F409" s="2" t="s">
        <v>1372</v>
      </c>
      <c r="G409" s="1" t="s">
        <v>1878</v>
      </c>
      <c r="H409" s="1" t="s">
        <v>1046</v>
      </c>
      <c r="I409" s="13" t="str">
        <f t="shared" si="48"/>
        <v>1P</v>
      </c>
      <c r="J409" t="str">
        <f t="shared" si="49"/>
        <v xml:space="preserve">1145 </v>
      </c>
      <c r="K409" t="str">
        <f t="shared" si="50"/>
        <v xml:space="preserve">1146 </v>
      </c>
      <c r="L409" t="str">
        <f t="shared" si="51"/>
        <v>Plat 9</v>
      </c>
      <c r="M409" s="8" t="str">
        <f t="shared" si="47"/>
        <v xml:space="preserve"> 9</v>
      </c>
      <c r="N409" s="4" t="s">
        <v>1372</v>
      </c>
      <c r="O409"/>
    </row>
    <row r="410" spans="2:24" ht="15" customHeight="1" x14ac:dyDescent="0.25">
      <c r="B410" s="3" t="s">
        <v>1860</v>
      </c>
      <c r="C410" s="1" t="s">
        <v>1861</v>
      </c>
      <c r="D410" s="2" t="s">
        <v>1372</v>
      </c>
      <c r="E410" s="1" t="s">
        <v>1043</v>
      </c>
      <c r="F410" s="2" t="s">
        <v>1044</v>
      </c>
      <c r="G410" s="1" t="s">
        <v>403</v>
      </c>
      <c r="H410" s="1" t="s">
        <v>1046</v>
      </c>
      <c r="I410" s="13" t="str">
        <f t="shared" si="48"/>
        <v>2W</v>
      </c>
      <c r="J410" t="str">
        <f t="shared" si="49"/>
        <v>1146½</v>
      </c>
      <c r="K410" t="str">
        <f t="shared" si="50"/>
        <v>1148½</v>
      </c>
      <c r="L410" t="str">
        <f t="shared" si="51"/>
        <v>Plat 8</v>
      </c>
      <c r="M410" s="8" t="str">
        <f t="shared" si="47"/>
        <v xml:space="preserve"> 8</v>
      </c>
      <c r="N410" s="4" t="s">
        <v>3012</v>
      </c>
      <c r="O410" s="4" t="s">
        <v>3013</v>
      </c>
      <c r="P410" s="4" t="s">
        <v>1181</v>
      </c>
      <c r="Q410" s="4" t="s">
        <v>3014</v>
      </c>
      <c r="R410" s="4" t="s">
        <v>3015</v>
      </c>
      <c r="S410" s="4" t="s">
        <v>3016</v>
      </c>
      <c r="T410" s="4" t="s">
        <v>3004</v>
      </c>
      <c r="U410" s="4" t="s">
        <v>1161</v>
      </c>
      <c r="V410" s="4" t="s">
        <v>3017</v>
      </c>
      <c r="W410" s="4" t="s">
        <v>3018</v>
      </c>
      <c r="X410" s="4" t="s">
        <v>1044</v>
      </c>
    </row>
    <row r="411" spans="2:24" ht="15" customHeight="1" x14ac:dyDescent="0.25">
      <c r="B411" s="3" t="s">
        <v>1862</v>
      </c>
      <c r="C411" s="1" t="s">
        <v>1863</v>
      </c>
      <c r="D411" s="2" t="s">
        <v>1044</v>
      </c>
      <c r="E411" s="1" t="s">
        <v>1054</v>
      </c>
      <c r="F411" s="2" t="s">
        <v>1372</v>
      </c>
      <c r="G411" s="1" t="s">
        <v>406</v>
      </c>
      <c r="H411" s="1" t="s">
        <v>1046</v>
      </c>
      <c r="I411" s="13" t="str">
        <f t="shared" si="48"/>
        <v>2W</v>
      </c>
      <c r="J411" t="str">
        <f t="shared" si="49"/>
        <v xml:space="preserve">1147 </v>
      </c>
      <c r="K411" t="str">
        <f t="shared" si="50"/>
        <v xml:space="preserve">1149 </v>
      </c>
      <c r="L411" t="str">
        <f t="shared" si="51"/>
        <v>Plat 5</v>
      </c>
      <c r="M411" s="8" t="str">
        <f t="shared" si="47"/>
        <v xml:space="preserve"> 5</v>
      </c>
      <c r="N411" s="4" t="s">
        <v>1372</v>
      </c>
      <c r="O411"/>
    </row>
    <row r="412" spans="2:24" ht="15" customHeight="1" x14ac:dyDescent="0.25">
      <c r="B412" s="3" t="s">
        <v>1864</v>
      </c>
      <c r="C412" s="1" t="s">
        <v>1865</v>
      </c>
      <c r="D412" s="2" t="s">
        <v>1039</v>
      </c>
      <c r="E412" s="1" t="s">
        <v>1075</v>
      </c>
      <c r="F412" s="1" t="s">
        <v>1051</v>
      </c>
      <c r="G412" s="1"/>
      <c r="H412" s="1" t="s">
        <v>1040</v>
      </c>
      <c r="I412" s="13" t="str">
        <f t="shared" si="48"/>
        <v>2L</v>
      </c>
      <c r="J412" t="str">
        <f t="shared" si="49"/>
        <v xml:space="preserve">1151 </v>
      </c>
      <c r="K412" t="str">
        <f t="shared" si="50"/>
        <v/>
      </c>
      <c r="L412" t="str">
        <f t="shared" si="51"/>
        <v>Plat 2</v>
      </c>
      <c r="M412" s="8" t="str">
        <f t="shared" si="47"/>
        <v xml:space="preserve"> 2</v>
      </c>
      <c r="O412"/>
    </row>
    <row r="413" spans="2:24" ht="15" customHeight="1" x14ac:dyDescent="0.25">
      <c r="B413" s="3" t="s">
        <v>543</v>
      </c>
      <c r="C413" s="1" t="s">
        <v>1866</v>
      </c>
      <c r="D413" s="2" t="s">
        <v>1237</v>
      </c>
      <c r="E413" s="1" t="s">
        <v>1047</v>
      </c>
      <c r="F413" s="2" t="s">
        <v>1372</v>
      </c>
      <c r="G413" s="1" t="s">
        <v>1867</v>
      </c>
      <c r="H413" s="1" t="s">
        <v>1046</v>
      </c>
      <c r="I413" s="13" t="str">
        <f t="shared" si="48"/>
        <v>1F</v>
      </c>
      <c r="J413" t="str">
        <f t="shared" si="49"/>
        <v xml:space="preserve">1154 </v>
      </c>
      <c r="K413" t="str">
        <f t="shared" si="50"/>
        <v>1154½</v>
      </c>
      <c r="L413" t="str">
        <f t="shared" si="51"/>
        <v>Plat 9</v>
      </c>
      <c r="M413" s="8" t="str">
        <f t="shared" si="47"/>
        <v xml:space="preserve"> 9</v>
      </c>
      <c r="N413" s="4" t="s">
        <v>1372</v>
      </c>
      <c r="O413"/>
    </row>
    <row r="414" spans="2:24" ht="15" customHeight="1" x14ac:dyDescent="0.25">
      <c r="B414" s="3" t="s">
        <v>1084</v>
      </c>
      <c r="C414" s="1"/>
      <c r="D414" s="1" t="s">
        <v>1037</v>
      </c>
      <c r="E414" s="1" t="s">
        <v>1038</v>
      </c>
      <c r="F414" s="2" t="s">
        <v>1074</v>
      </c>
      <c r="G414" s="1" t="s">
        <v>1868</v>
      </c>
      <c r="H414" s="1" t="s">
        <v>1040</v>
      </c>
      <c r="I414" s="13" t="str">
        <f t="shared" si="48"/>
        <v>2N</v>
      </c>
      <c r="J414" t="str">
        <f t="shared" si="49"/>
        <v/>
      </c>
      <c r="K414" t="str">
        <f t="shared" si="50"/>
        <v xml:space="preserve">1155 </v>
      </c>
      <c r="L414" t="str">
        <f t="shared" si="51"/>
        <v>Plat 1</v>
      </c>
      <c r="M414" s="8" t="str">
        <f t="shared" si="47"/>
        <v xml:space="preserve"> 1</v>
      </c>
      <c r="N414" s="4" t="s">
        <v>3010</v>
      </c>
      <c r="O414" s="15" t="s">
        <v>3011</v>
      </c>
    </row>
    <row r="415" spans="2:24" ht="15" customHeight="1" x14ac:dyDescent="0.25">
      <c r="B415" s="3" t="s">
        <v>338</v>
      </c>
      <c r="C415" s="1" t="s">
        <v>1869</v>
      </c>
      <c r="D415" s="2" t="s">
        <v>1372</v>
      </c>
      <c r="E415" s="1" t="s">
        <v>1156</v>
      </c>
      <c r="F415" s="2" t="s">
        <v>1237</v>
      </c>
      <c r="G415" s="1" t="s">
        <v>409</v>
      </c>
      <c r="H415" s="1" t="s">
        <v>1046</v>
      </c>
      <c r="I415" s="13" t="str">
        <f t="shared" si="48"/>
        <v>1F</v>
      </c>
      <c r="J415" t="str">
        <f t="shared" si="49"/>
        <v>1154½</v>
      </c>
      <c r="K415" t="str">
        <f t="shared" si="50"/>
        <v xml:space="preserve">1155 </v>
      </c>
      <c r="L415" t="str">
        <f t="shared" si="51"/>
        <v>Plat10</v>
      </c>
      <c r="M415" s="8" t="str">
        <f t="shared" si="47"/>
        <v>10</v>
      </c>
      <c r="N415" t="s">
        <v>1044</v>
      </c>
      <c r="O415" t="s">
        <v>2999</v>
      </c>
      <c r="P415" t="s">
        <v>1473</v>
      </c>
      <c r="Q415" t="s">
        <v>3001</v>
      </c>
      <c r="R415" t="s">
        <v>3043</v>
      </c>
      <c r="S415" t="s">
        <v>3044</v>
      </c>
      <c r="T415" t="s">
        <v>3045</v>
      </c>
      <c r="U415" t="s">
        <v>1237</v>
      </c>
    </row>
    <row r="416" spans="2:24" ht="15" customHeight="1" x14ac:dyDescent="0.25">
      <c r="B416" s="3" t="s">
        <v>1870</v>
      </c>
      <c r="C416" s="1" t="s">
        <v>1871</v>
      </c>
      <c r="D416" s="2" t="s">
        <v>1372</v>
      </c>
      <c r="E416" s="1" t="s">
        <v>1043</v>
      </c>
      <c r="F416" s="2" t="s">
        <v>1044</v>
      </c>
      <c r="G416" s="1" t="s">
        <v>1872</v>
      </c>
      <c r="H416" s="1" t="s">
        <v>1046</v>
      </c>
      <c r="I416" s="13" t="str">
        <f t="shared" si="48"/>
        <v>2W</v>
      </c>
      <c r="J416" t="str">
        <f t="shared" si="49"/>
        <v>1156½</v>
      </c>
      <c r="K416" t="str">
        <f t="shared" si="50"/>
        <v>1158½</v>
      </c>
      <c r="L416" t="str">
        <f t="shared" si="51"/>
        <v>Plat 8</v>
      </c>
      <c r="M416" s="8" t="str">
        <f t="shared" si="47"/>
        <v xml:space="preserve"> 8</v>
      </c>
      <c r="N416" s="4" t="s">
        <v>3012</v>
      </c>
      <c r="O416" s="4" t="s">
        <v>3013</v>
      </c>
      <c r="P416" s="4" t="s">
        <v>1181</v>
      </c>
      <c r="Q416" s="4" t="s">
        <v>3014</v>
      </c>
      <c r="R416" s="4" t="s">
        <v>3015</v>
      </c>
      <c r="S416" s="4" t="s">
        <v>3016</v>
      </c>
      <c r="T416" s="4" t="s">
        <v>3004</v>
      </c>
      <c r="U416" s="4" t="s">
        <v>1161</v>
      </c>
      <c r="V416" s="4" t="s">
        <v>3017</v>
      </c>
      <c r="W416" s="4" t="s">
        <v>3018</v>
      </c>
      <c r="X416" s="4" t="s">
        <v>1044</v>
      </c>
    </row>
    <row r="417" spans="2:24" ht="15" customHeight="1" x14ac:dyDescent="0.25">
      <c r="B417" s="3" t="s">
        <v>1873</v>
      </c>
      <c r="C417" s="1" t="s">
        <v>1874</v>
      </c>
      <c r="D417" s="2" t="s">
        <v>1044</v>
      </c>
      <c r="E417" s="1" t="s">
        <v>1054</v>
      </c>
      <c r="F417" s="2" t="s">
        <v>1372</v>
      </c>
      <c r="G417" s="1" t="s">
        <v>417</v>
      </c>
      <c r="H417" s="1" t="s">
        <v>1046</v>
      </c>
      <c r="I417" s="13" t="str">
        <f t="shared" si="48"/>
        <v>2W</v>
      </c>
      <c r="J417" t="str">
        <f t="shared" si="49"/>
        <v xml:space="preserve">1157 </v>
      </c>
      <c r="K417" t="str">
        <f t="shared" si="50"/>
        <v xml:space="preserve">1159 </v>
      </c>
      <c r="L417" t="str">
        <f t="shared" si="51"/>
        <v>Plat 5</v>
      </c>
      <c r="M417" s="8" t="str">
        <f t="shared" si="47"/>
        <v xml:space="preserve"> 5</v>
      </c>
      <c r="N417" s="4" t="s">
        <v>1372</v>
      </c>
      <c r="O417"/>
    </row>
    <row r="418" spans="2:24" ht="15" customHeight="1" x14ac:dyDescent="0.25">
      <c r="B418" s="3" t="s">
        <v>1094</v>
      </c>
      <c r="C418" s="1" t="s">
        <v>1875</v>
      </c>
      <c r="D418" s="2" t="s">
        <v>1074</v>
      </c>
      <c r="E418" s="1" t="s">
        <v>1050</v>
      </c>
      <c r="F418" s="1" t="s">
        <v>1051</v>
      </c>
      <c r="G418" s="1"/>
      <c r="H418" s="1" t="s">
        <v>1040</v>
      </c>
      <c r="I418" s="13" t="str">
        <f t="shared" si="48"/>
        <v>2N</v>
      </c>
      <c r="J418" t="str">
        <f t="shared" si="49"/>
        <v xml:space="preserve">1159 </v>
      </c>
      <c r="K418" t="str">
        <f t="shared" si="50"/>
        <v/>
      </c>
      <c r="L418" t="str">
        <f t="shared" si="51"/>
        <v>Plat 1</v>
      </c>
      <c r="M418" s="8" t="str">
        <f t="shared" si="47"/>
        <v xml:space="preserve"> 1</v>
      </c>
      <c r="O418"/>
    </row>
    <row r="419" spans="2:24" ht="15" customHeight="1" x14ac:dyDescent="0.25">
      <c r="B419" s="3" t="s">
        <v>1876</v>
      </c>
      <c r="C419" s="1"/>
      <c r="D419" s="1" t="s">
        <v>1037</v>
      </c>
      <c r="E419" s="1" t="s">
        <v>2148</v>
      </c>
      <c r="F419" s="2" t="s">
        <v>1254</v>
      </c>
      <c r="G419" s="1" t="s">
        <v>1877</v>
      </c>
      <c r="H419" s="1" t="s">
        <v>1046</v>
      </c>
      <c r="I419" s="13" t="str">
        <f t="shared" si="48"/>
        <v>2S</v>
      </c>
      <c r="J419" t="str">
        <f t="shared" si="49"/>
        <v/>
      </c>
      <c r="K419" t="str">
        <f t="shared" si="50"/>
        <v xml:space="preserve">1200 </v>
      </c>
      <c r="L419" t="str">
        <f t="shared" si="51"/>
        <v>Plat11</v>
      </c>
      <c r="M419" s="8" t="str">
        <f t="shared" si="47"/>
        <v>11</v>
      </c>
      <c r="N419" t="s">
        <v>2975</v>
      </c>
      <c r="O419" t="s">
        <v>3039</v>
      </c>
      <c r="P419" t="s">
        <v>3040</v>
      </c>
      <c r="Q419" t="s">
        <v>2978</v>
      </c>
      <c r="R419" t="s">
        <v>1298</v>
      </c>
      <c r="S419" t="s">
        <v>2979</v>
      </c>
      <c r="T419" t="s">
        <v>2980</v>
      </c>
      <c r="U419" t="s">
        <v>2981</v>
      </c>
      <c r="V419" t="s">
        <v>2982</v>
      </c>
      <c r="W419" t="s">
        <v>1254</v>
      </c>
    </row>
    <row r="420" spans="2:24" ht="15" customHeight="1" x14ac:dyDescent="0.25">
      <c r="B420" s="3" t="s">
        <v>1880</v>
      </c>
      <c r="C420" s="1" t="s">
        <v>1881</v>
      </c>
      <c r="D420" s="2" t="s">
        <v>1058</v>
      </c>
      <c r="E420" s="1" t="s">
        <v>1047</v>
      </c>
      <c r="F420" s="2" t="s">
        <v>1372</v>
      </c>
      <c r="G420" s="1" t="s">
        <v>1882</v>
      </c>
      <c r="H420" s="1" t="s">
        <v>1046</v>
      </c>
      <c r="I420" s="13" t="str">
        <f t="shared" ref="I420:I476" si="52">LEFT(B420,2)</f>
        <v>2K</v>
      </c>
      <c r="J420" t="str">
        <f t="shared" ref="J420:J476" si="53">LEFT(C420,5)</f>
        <v xml:space="preserve">1201 </v>
      </c>
      <c r="K420" t="str">
        <f t="shared" ref="K420:K476" si="54">LEFT(G420,5)</f>
        <v>1201½</v>
      </c>
      <c r="L420" t="str">
        <f t="shared" ref="L420:L476" si="55">LEFT(E420,6)</f>
        <v>Plat 9</v>
      </c>
      <c r="M420" s="8" t="str">
        <f t="shared" ref="M420:M476" si="56">RIGHT(L420,2)</f>
        <v xml:space="preserve"> 9</v>
      </c>
      <c r="N420" s="4" t="s">
        <v>1372</v>
      </c>
      <c r="O420"/>
    </row>
    <row r="421" spans="2:24" ht="15" customHeight="1" x14ac:dyDescent="0.25">
      <c r="B421" s="3" t="s">
        <v>1883</v>
      </c>
      <c r="C421" s="1"/>
      <c r="D421" s="1" t="s">
        <v>1037</v>
      </c>
      <c r="E421" s="1" t="s">
        <v>1061</v>
      </c>
      <c r="F421" s="2" t="s">
        <v>1039</v>
      </c>
      <c r="G421" s="1" t="s">
        <v>415</v>
      </c>
      <c r="H421" s="1" t="s">
        <v>1040</v>
      </c>
      <c r="I421" s="13" t="str">
        <f t="shared" si="52"/>
        <v>2Y</v>
      </c>
      <c r="J421" t="str">
        <f t="shared" si="53"/>
        <v/>
      </c>
      <c r="K421" t="str">
        <f t="shared" si="54"/>
        <v xml:space="preserve">1202 </v>
      </c>
      <c r="L421" t="str">
        <f t="shared" si="55"/>
        <v>Plat 2</v>
      </c>
      <c r="M421" s="8" t="str">
        <f t="shared" si="56"/>
        <v xml:space="preserve"> 2</v>
      </c>
      <c r="N421" s="4" t="s">
        <v>3010</v>
      </c>
      <c r="O421" s="15" t="s">
        <v>3011</v>
      </c>
    </row>
    <row r="422" spans="2:24" ht="15" customHeight="1" x14ac:dyDescent="0.25">
      <c r="B422" s="3" t="s">
        <v>1884</v>
      </c>
      <c r="C422" s="1" t="s">
        <v>1885</v>
      </c>
      <c r="D422" s="2" t="s">
        <v>1372</v>
      </c>
      <c r="E422" s="1" t="s">
        <v>1156</v>
      </c>
      <c r="F422" s="2" t="s">
        <v>1058</v>
      </c>
      <c r="G422" s="1" t="s">
        <v>415</v>
      </c>
      <c r="H422" s="1" t="s">
        <v>1046</v>
      </c>
      <c r="I422" s="13" t="str">
        <f t="shared" si="52"/>
        <v>1K</v>
      </c>
      <c r="J422" t="str">
        <f t="shared" si="53"/>
        <v>1201½</v>
      </c>
      <c r="K422" t="str">
        <f t="shared" si="54"/>
        <v xml:space="preserve">1202 </v>
      </c>
      <c r="L422" t="str">
        <f t="shared" si="55"/>
        <v>Plat10</v>
      </c>
      <c r="M422" s="8" t="str">
        <f t="shared" si="56"/>
        <v>10</v>
      </c>
      <c r="N422" s="4" t="s">
        <v>1044</v>
      </c>
      <c r="O422" s="4" t="s">
        <v>3019</v>
      </c>
      <c r="P422" s="4" t="s">
        <v>3020</v>
      </c>
      <c r="Q422" s="4" t="s">
        <v>3021</v>
      </c>
      <c r="R422" s="4" t="s">
        <v>3022</v>
      </c>
      <c r="S422" s="4" t="s">
        <v>3023</v>
      </c>
      <c r="T422" s="4" t="s">
        <v>3024</v>
      </c>
      <c r="U422" s="4" t="s">
        <v>3025</v>
      </c>
      <c r="V422" s="4" t="s">
        <v>1058</v>
      </c>
    </row>
    <row r="423" spans="2:24" ht="15" customHeight="1" x14ac:dyDescent="0.25">
      <c r="B423" s="3" t="s">
        <v>1886</v>
      </c>
      <c r="C423" s="1" t="s">
        <v>1887</v>
      </c>
      <c r="D423" s="2" t="s">
        <v>1039</v>
      </c>
      <c r="E423" s="1" t="s">
        <v>1075</v>
      </c>
      <c r="F423" s="1" t="s">
        <v>1051</v>
      </c>
      <c r="G423" s="1"/>
      <c r="H423" s="1" t="s">
        <v>1040</v>
      </c>
      <c r="I423" s="13" t="str">
        <f t="shared" si="52"/>
        <v>2L</v>
      </c>
      <c r="J423" t="str">
        <f t="shared" si="53"/>
        <v xml:space="preserve">1205 </v>
      </c>
      <c r="K423" t="str">
        <f t="shared" si="54"/>
        <v/>
      </c>
      <c r="L423" t="str">
        <f t="shared" si="55"/>
        <v>Plat 2</v>
      </c>
      <c r="M423" s="8" t="str">
        <f t="shared" si="56"/>
        <v xml:space="preserve"> 2</v>
      </c>
      <c r="O423"/>
    </row>
    <row r="424" spans="2:24" ht="15" customHeight="1" x14ac:dyDescent="0.25">
      <c r="B424" s="3" t="s">
        <v>1888</v>
      </c>
      <c r="C424" s="1" t="s">
        <v>420</v>
      </c>
      <c r="D424" s="2" t="s">
        <v>1242</v>
      </c>
      <c r="E424" s="1" t="s">
        <v>1047</v>
      </c>
      <c r="F424" s="2" t="s">
        <v>1372</v>
      </c>
      <c r="G424" s="1" t="s">
        <v>1889</v>
      </c>
      <c r="H424" s="1" t="s">
        <v>1046</v>
      </c>
      <c r="I424" s="13" t="str">
        <f t="shared" si="52"/>
        <v>1Y</v>
      </c>
      <c r="J424" t="str">
        <f t="shared" si="53"/>
        <v xml:space="preserve">1205 </v>
      </c>
      <c r="K424" t="str">
        <f t="shared" si="54"/>
        <v>1205½</v>
      </c>
      <c r="L424" t="str">
        <f t="shared" si="55"/>
        <v>Plat 9</v>
      </c>
      <c r="M424" s="8" t="str">
        <f t="shared" si="56"/>
        <v xml:space="preserve"> 9</v>
      </c>
      <c r="N424" s="4" t="s">
        <v>1372</v>
      </c>
      <c r="O424"/>
    </row>
    <row r="425" spans="2:24" ht="15" customHeight="1" x14ac:dyDescent="0.25">
      <c r="B425" s="3" t="s">
        <v>1106</v>
      </c>
      <c r="C425" s="1"/>
      <c r="D425" s="1" t="s">
        <v>1037</v>
      </c>
      <c r="E425" s="1" t="s">
        <v>1038</v>
      </c>
      <c r="F425" s="2" t="s">
        <v>1074</v>
      </c>
      <c r="G425" s="1" t="s">
        <v>1890</v>
      </c>
      <c r="H425" s="1" t="s">
        <v>1040</v>
      </c>
      <c r="I425" s="13" t="str">
        <f t="shared" si="52"/>
        <v>2N</v>
      </c>
      <c r="J425" t="str">
        <f t="shared" si="53"/>
        <v/>
      </c>
      <c r="K425" t="str">
        <f t="shared" si="54"/>
        <v xml:space="preserve">1207 </v>
      </c>
      <c r="L425" t="str">
        <f t="shared" si="55"/>
        <v>Plat 1</v>
      </c>
      <c r="M425" s="8" t="str">
        <f t="shared" si="56"/>
        <v xml:space="preserve"> 1</v>
      </c>
      <c r="N425" s="4" t="s">
        <v>3010</v>
      </c>
      <c r="O425" s="15" t="s">
        <v>3011</v>
      </c>
    </row>
    <row r="426" spans="2:24" ht="15" customHeight="1" x14ac:dyDescent="0.25">
      <c r="B426" s="3" t="s">
        <v>1891</v>
      </c>
      <c r="C426" s="1" t="s">
        <v>1890</v>
      </c>
      <c r="D426" s="2" t="s">
        <v>1254</v>
      </c>
      <c r="E426" s="1" t="s">
        <v>2148</v>
      </c>
      <c r="F426" s="1" t="s">
        <v>1051</v>
      </c>
      <c r="G426" s="1"/>
      <c r="H426" s="1" t="s">
        <v>1046</v>
      </c>
      <c r="I426" s="13" t="str">
        <f t="shared" si="52"/>
        <v>2S</v>
      </c>
      <c r="J426" t="str">
        <f t="shared" si="53"/>
        <v xml:space="preserve">1207 </v>
      </c>
      <c r="K426" t="str">
        <f t="shared" si="54"/>
        <v/>
      </c>
      <c r="L426" t="str">
        <f t="shared" si="55"/>
        <v>Plat11</v>
      </c>
      <c r="M426" s="8" t="str">
        <f t="shared" si="56"/>
        <v>11</v>
      </c>
      <c r="O426"/>
    </row>
    <row r="427" spans="2:24" ht="15" customHeight="1" x14ac:dyDescent="0.25">
      <c r="B427" s="3" t="s">
        <v>1892</v>
      </c>
      <c r="C427" s="1" t="s">
        <v>1893</v>
      </c>
      <c r="D427" s="2" t="s">
        <v>1372</v>
      </c>
      <c r="E427" s="1" t="s">
        <v>1043</v>
      </c>
      <c r="F427" s="2" t="s">
        <v>1044</v>
      </c>
      <c r="G427" s="1" t="s">
        <v>1894</v>
      </c>
      <c r="H427" s="1" t="s">
        <v>1046</v>
      </c>
      <c r="I427" s="13" t="str">
        <f t="shared" si="52"/>
        <v>2W</v>
      </c>
      <c r="J427" t="str">
        <f t="shared" si="53"/>
        <v>1206½</v>
      </c>
      <c r="K427" t="str">
        <f t="shared" si="54"/>
        <v>1208½</v>
      </c>
      <c r="L427" t="str">
        <f t="shared" si="55"/>
        <v>Plat 8</v>
      </c>
      <c r="M427" s="8" t="str">
        <f t="shared" si="56"/>
        <v xml:space="preserve"> 8</v>
      </c>
      <c r="N427" s="4" t="s">
        <v>3012</v>
      </c>
      <c r="O427" s="4" t="s">
        <v>3013</v>
      </c>
      <c r="P427" s="4" t="s">
        <v>1181</v>
      </c>
      <c r="Q427" s="4" t="s">
        <v>3014</v>
      </c>
      <c r="R427" s="4" t="s">
        <v>3015</v>
      </c>
      <c r="S427" s="4" t="s">
        <v>3016</v>
      </c>
      <c r="T427" s="4" t="s">
        <v>3004</v>
      </c>
      <c r="U427" s="4" t="s">
        <v>1161</v>
      </c>
      <c r="V427" s="4" t="s">
        <v>3017</v>
      </c>
      <c r="W427" s="4" t="s">
        <v>3018</v>
      </c>
      <c r="X427" s="4" t="s">
        <v>1044</v>
      </c>
    </row>
    <row r="428" spans="2:24" ht="15" customHeight="1" x14ac:dyDescent="0.25">
      <c r="B428" s="3" t="s">
        <v>1895</v>
      </c>
      <c r="C428" s="1" t="s">
        <v>1890</v>
      </c>
      <c r="D428" s="2" t="s">
        <v>1044</v>
      </c>
      <c r="E428" s="1" t="s">
        <v>1054</v>
      </c>
      <c r="F428" s="2" t="s">
        <v>1372</v>
      </c>
      <c r="G428" s="1" t="s">
        <v>421</v>
      </c>
      <c r="H428" s="1" t="s">
        <v>1046</v>
      </c>
      <c r="I428" s="13" t="str">
        <f t="shared" si="52"/>
        <v>2W</v>
      </c>
      <c r="J428" t="str">
        <f t="shared" si="53"/>
        <v xml:space="preserve">1207 </v>
      </c>
      <c r="K428" t="str">
        <f t="shared" si="54"/>
        <v xml:space="preserve">1209 </v>
      </c>
      <c r="L428" t="str">
        <f t="shared" si="55"/>
        <v>Plat 5</v>
      </c>
      <c r="M428" s="8" t="str">
        <f t="shared" si="56"/>
        <v xml:space="preserve"> 5</v>
      </c>
      <c r="N428" s="4" t="s">
        <v>1372</v>
      </c>
      <c r="O428"/>
    </row>
    <row r="429" spans="2:24" ht="15" customHeight="1" x14ac:dyDescent="0.25">
      <c r="B429" s="3" t="s">
        <v>1896</v>
      </c>
      <c r="C429" s="1" t="s">
        <v>1897</v>
      </c>
      <c r="D429" s="2" t="s">
        <v>1372</v>
      </c>
      <c r="E429" s="1" t="s">
        <v>1156</v>
      </c>
      <c r="F429" s="2" t="s">
        <v>1242</v>
      </c>
      <c r="G429" s="1" t="s">
        <v>421</v>
      </c>
      <c r="H429" s="1" t="s">
        <v>1046</v>
      </c>
      <c r="I429" s="13" t="str">
        <f t="shared" si="52"/>
        <v>1Y</v>
      </c>
      <c r="J429" t="str">
        <f t="shared" si="53"/>
        <v>1208½</v>
      </c>
      <c r="K429" t="str">
        <f t="shared" si="54"/>
        <v xml:space="preserve">1209 </v>
      </c>
      <c r="L429" t="str">
        <f t="shared" si="55"/>
        <v>Plat10</v>
      </c>
      <c r="M429" s="8" t="str">
        <f t="shared" si="56"/>
        <v>10</v>
      </c>
      <c r="N429" t="s">
        <v>1044</v>
      </c>
      <c r="O429" t="s">
        <v>1473</v>
      </c>
      <c r="P429" t="s">
        <v>3000</v>
      </c>
      <c r="Q429" t="s">
        <v>3001</v>
      </c>
      <c r="R429" t="s">
        <v>3002</v>
      </c>
      <c r="S429" t="s">
        <v>3003</v>
      </c>
      <c r="T429" t="s">
        <v>1091</v>
      </c>
      <c r="U429" t="s">
        <v>3006</v>
      </c>
      <c r="V429" t="s">
        <v>1242</v>
      </c>
    </row>
    <row r="430" spans="2:24" ht="15" customHeight="1" x14ac:dyDescent="0.25">
      <c r="B430" s="3" t="s">
        <v>1114</v>
      </c>
      <c r="C430" s="1" t="s">
        <v>1898</v>
      </c>
      <c r="D430" s="2" t="s">
        <v>1074</v>
      </c>
      <c r="E430" s="1" t="s">
        <v>1050</v>
      </c>
      <c r="F430" s="1" t="s">
        <v>1051</v>
      </c>
      <c r="G430" s="1"/>
      <c r="H430" s="1" t="s">
        <v>1040</v>
      </c>
      <c r="I430" s="13" t="str">
        <f t="shared" si="52"/>
        <v>2N</v>
      </c>
      <c r="J430" t="str">
        <f t="shared" si="53"/>
        <v xml:space="preserve">1214 </v>
      </c>
      <c r="K430" t="str">
        <f t="shared" si="54"/>
        <v/>
      </c>
      <c r="L430" t="str">
        <f t="shared" si="55"/>
        <v>Plat 1</v>
      </c>
      <c r="M430" s="8" t="str">
        <f t="shared" si="56"/>
        <v xml:space="preserve"> 1</v>
      </c>
      <c r="O430"/>
    </row>
    <row r="431" spans="2:24" ht="15" customHeight="1" x14ac:dyDescent="0.25">
      <c r="B431" s="3" t="s">
        <v>1899</v>
      </c>
      <c r="C431" s="1"/>
      <c r="D431" s="1" t="s">
        <v>1037</v>
      </c>
      <c r="E431" s="1" t="s">
        <v>1061</v>
      </c>
      <c r="F431" s="2" t="s">
        <v>1039</v>
      </c>
      <c r="G431" s="1" t="s">
        <v>1900</v>
      </c>
      <c r="H431" s="1" t="s">
        <v>1040</v>
      </c>
      <c r="I431" s="13" t="str">
        <f t="shared" si="52"/>
        <v>2Y</v>
      </c>
      <c r="J431" t="str">
        <f t="shared" si="53"/>
        <v/>
      </c>
      <c r="K431" t="str">
        <f t="shared" si="54"/>
        <v xml:space="preserve">1215 </v>
      </c>
      <c r="L431" t="str">
        <f t="shared" si="55"/>
        <v>Plat 2</v>
      </c>
      <c r="M431" s="8" t="str">
        <f t="shared" si="56"/>
        <v xml:space="preserve"> 2</v>
      </c>
      <c r="N431" s="4" t="s">
        <v>3010</v>
      </c>
      <c r="O431" s="15" t="s">
        <v>3011</v>
      </c>
    </row>
    <row r="432" spans="2:24" ht="15" customHeight="1" x14ac:dyDescent="0.25">
      <c r="B432" s="3" t="s">
        <v>1901</v>
      </c>
      <c r="C432" s="1" t="s">
        <v>1902</v>
      </c>
      <c r="D432" s="2" t="s">
        <v>1372</v>
      </c>
      <c r="E432" s="1" t="s">
        <v>1043</v>
      </c>
      <c r="F432" s="2" t="s">
        <v>1044</v>
      </c>
      <c r="G432" s="1" t="s">
        <v>1903</v>
      </c>
      <c r="H432" s="1" t="s">
        <v>1046</v>
      </c>
      <c r="I432" s="13" t="str">
        <f t="shared" si="52"/>
        <v>2W</v>
      </c>
      <c r="J432" t="str">
        <f t="shared" si="53"/>
        <v>1216½</v>
      </c>
      <c r="K432" t="str">
        <f t="shared" si="54"/>
        <v>1218½</v>
      </c>
      <c r="L432" t="str">
        <f t="shared" si="55"/>
        <v>Plat 8</v>
      </c>
      <c r="M432" s="8" t="str">
        <f t="shared" si="56"/>
        <v xml:space="preserve"> 8</v>
      </c>
      <c r="N432" s="4" t="s">
        <v>3012</v>
      </c>
      <c r="O432" s="4" t="s">
        <v>3013</v>
      </c>
      <c r="P432" s="4" t="s">
        <v>1181</v>
      </c>
      <c r="Q432" s="4" t="s">
        <v>3014</v>
      </c>
      <c r="R432" s="4" t="s">
        <v>3015</v>
      </c>
      <c r="S432" s="4" t="s">
        <v>3016</v>
      </c>
      <c r="T432" s="4" t="s">
        <v>3004</v>
      </c>
      <c r="U432" s="4" t="s">
        <v>1161</v>
      </c>
      <c r="V432" s="4" t="s">
        <v>3017</v>
      </c>
      <c r="W432" s="4" t="s">
        <v>3018</v>
      </c>
      <c r="X432" s="4" t="s">
        <v>1044</v>
      </c>
    </row>
    <row r="433" spans="2:24" ht="15" customHeight="1" x14ac:dyDescent="0.25">
      <c r="B433" s="3" t="s">
        <v>1904</v>
      </c>
      <c r="C433" s="1" t="s">
        <v>429</v>
      </c>
      <c r="D433" s="2" t="s">
        <v>1044</v>
      </c>
      <c r="E433" s="1" t="s">
        <v>1054</v>
      </c>
      <c r="F433" s="2" t="s">
        <v>1372</v>
      </c>
      <c r="G433" s="1" t="s">
        <v>432</v>
      </c>
      <c r="H433" s="1" t="s">
        <v>1046</v>
      </c>
      <c r="I433" s="13" t="str">
        <f t="shared" si="52"/>
        <v>2W</v>
      </c>
      <c r="J433" t="str">
        <f t="shared" si="53"/>
        <v xml:space="preserve">1217 </v>
      </c>
      <c r="K433" t="str">
        <f t="shared" si="54"/>
        <v xml:space="preserve">1219 </v>
      </c>
      <c r="L433" t="str">
        <f t="shared" si="55"/>
        <v>Plat 5</v>
      </c>
      <c r="M433" s="8" t="str">
        <f t="shared" si="56"/>
        <v xml:space="preserve"> 5</v>
      </c>
      <c r="N433" s="4" t="s">
        <v>1372</v>
      </c>
      <c r="O433"/>
    </row>
    <row r="434" spans="2:24" ht="15" customHeight="1" x14ac:dyDescent="0.25">
      <c r="B434" s="3" t="s">
        <v>1905</v>
      </c>
      <c r="C434" s="1" t="s">
        <v>1906</v>
      </c>
      <c r="D434" s="2" t="s">
        <v>1039</v>
      </c>
      <c r="E434" s="1" t="s">
        <v>1075</v>
      </c>
      <c r="F434" s="1" t="s">
        <v>1051</v>
      </c>
      <c r="G434" s="1"/>
      <c r="H434" s="1" t="s">
        <v>1040</v>
      </c>
      <c r="I434" s="13" t="str">
        <f t="shared" si="52"/>
        <v>2L</v>
      </c>
      <c r="J434" t="str">
        <f t="shared" si="53"/>
        <v xml:space="preserve">1219 </v>
      </c>
      <c r="K434" t="str">
        <f t="shared" si="54"/>
        <v/>
      </c>
      <c r="L434" t="str">
        <f t="shared" si="55"/>
        <v>Plat 2</v>
      </c>
      <c r="M434" s="8" t="str">
        <f t="shared" si="56"/>
        <v xml:space="preserve"> 2</v>
      </c>
      <c r="O434"/>
    </row>
    <row r="435" spans="2:24" ht="15" customHeight="1" x14ac:dyDescent="0.25">
      <c r="B435" s="3" t="s">
        <v>1063</v>
      </c>
      <c r="C435" s="1" t="s">
        <v>432</v>
      </c>
      <c r="D435" s="2" t="s">
        <v>1058</v>
      </c>
      <c r="E435" s="1" t="s">
        <v>1047</v>
      </c>
      <c r="F435" s="2" t="s">
        <v>1372</v>
      </c>
      <c r="G435" s="1" t="s">
        <v>1907</v>
      </c>
      <c r="H435" s="1" t="s">
        <v>1046</v>
      </c>
      <c r="I435" s="13" t="str">
        <f t="shared" si="52"/>
        <v>1K</v>
      </c>
      <c r="J435" t="str">
        <f t="shared" si="53"/>
        <v xml:space="preserve">1219 </v>
      </c>
      <c r="K435" t="str">
        <f t="shared" si="54"/>
        <v>1219½</v>
      </c>
      <c r="L435" t="str">
        <f t="shared" si="55"/>
        <v>Plat 9</v>
      </c>
      <c r="M435" s="8" t="str">
        <f t="shared" si="56"/>
        <v xml:space="preserve"> 9</v>
      </c>
      <c r="N435" s="4" t="s">
        <v>1372</v>
      </c>
      <c r="O435"/>
    </row>
    <row r="436" spans="2:24" ht="15" customHeight="1" x14ac:dyDescent="0.25">
      <c r="B436" s="3" t="s">
        <v>1908</v>
      </c>
      <c r="C436" s="1" t="s">
        <v>1909</v>
      </c>
      <c r="D436" s="2" t="s">
        <v>1372</v>
      </c>
      <c r="E436" s="1" t="s">
        <v>1156</v>
      </c>
      <c r="F436" s="2" t="s">
        <v>1058</v>
      </c>
      <c r="G436" s="1" t="s">
        <v>1910</v>
      </c>
      <c r="H436" s="1" t="s">
        <v>1046</v>
      </c>
      <c r="I436" s="13" t="str">
        <f t="shared" si="52"/>
        <v>2K</v>
      </c>
      <c r="J436" t="str">
        <f t="shared" si="53"/>
        <v>1219½</v>
      </c>
      <c r="K436" t="str">
        <f t="shared" si="54"/>
        <v xml:space="preserve">1220 </v>
      </c>
      <c r="L436" t="str">
        <f t="shared" si="55"/>
        <v>Plat10</v>
      </c>
      <c r="M436" s="8" t="str">
        <f t="shared" si="56"/>
        <v>10</v>
      </c>
      <c r="O436"/>
    </row>
    <row r="437" spans="2:24" ht="15" customHeight="1" x14ac:dyDescent="0.25">
      <c r="B437" s="3" t="s">
        <v>1124</v>
      </c>
      <c r="C437" s="1"/>
      <c r="D437" s="1" t="s">
        <v>1037</v>
      </c>
      <c r="E437" s="1" t="s">
        <v>1038</v>
      </c>
      <c r="F437" s="2" t="s">
        <v>1074</v>
      </c>
      <c r="G437" s="1" t="s">
        <v>1911</v>
      </c>
      <c r="H437" s="1" t="s">
        <v>1040</v>
      </c>
      <c r="I437" s="13" t="str">
        <f t="shared" si="52"/>
        <v>2N</v>
      </c>
      <c r="J437" t="str">
        <f t="shared" si="53"/>
        <v/>
      </c>
      <c r="K437" t="str">
        <f t="shared" si="54"/>
        <v xml:space="preserve">1222 </v>
      </c>
      <c r="L437" t="str">
        <f t="shared" si="55"/>
        <v>Plat 1</v>
      </c>
      <c r="M437" s="8" t="str">
        <f t="shared" si="56"/>
        <v xml:space="preserve"> 1</v>
      </c>
      <c r="N437" s="4" t="s">
        <v>3010</v>
      </c>
      <c r="O437" s="15" t="s">
        <v>3011</v>
      </c>
    </row>
    <row r="438" spans="2:24" ht="15" customHeight="1" x14ac:dyDescent="0.25">
      <c r="B438" s="3" t="s">
        <v>1912</v>
      </c>
      <c r="C438" s="1" t="s">
        <v>1911</v>
      </c>
      <c r="D438" s="2" t="s">
        <v>1185</v>
      </c>
      <c r="E438" s="1" t="s">
        <v>1047</v>
      </c>
      <c r="F438" s="2" t="s">
        <v>1372</v>
      </c>
      <c r="G438" s="1" t="s">
        <v>1913</v>
      </c>
      <c r="H438" s="1" t="s">
        <v>1046</v>
      </c>
      <c r="I438" s="13" t="str">
        <f t="shared" si="52"/>
        <v>1N</v>
      </c>
      <c r="J438" t="str">
        <f t="shared" si="53"/>
        <v xml:space="preserve">1222 </v>
      </c>
      <c r="K438" t="str">
        <f t="shared" si="54"/>
        <v>1222½</v>
      </c>
      <c r="L438" t="str">
        <f t="shared" si="55"/>
        <v>Plat 9</v>
      </c>
      <c r="M438" s="8" t="str">
        <f t="shared" si="56"/>
        <v xml:space="preserve"> 9</v>
      </c>
      <c r="N438" s="4" t="s">
        <v>1372</v>
      </c>
      <c r="O438"/>
    </row>
    <row r="439" spans="2:24" ht="15" customHeight="1" x14ac:dyDescent="0.25">
      <c r="B439" s="3" t="s">
        <v>1914</v>
      </c>
      <c r="C439" s="1" t="s">
        <v>1915</v>
      </c>
      <c r="D439" s="2" t="s">
        <v>1372</v>
      </c>
      <c r="E439" s="1" t="s">
        <v>1156</v>
      </c>
      <c r="F439" s="2" t="s">
        <v>1185</v>
      </c>
      <c r="G439" s="1" t="s">
        <v>1916</v>
      </c>
      <c r="H439" s="1" t="s">
        <v>1046</v>
      </c>
      <c r="I439" s="13" t="str">
        <f t="shared" si="52"/>
        <v>1N</v>
      </c>
      <c r="J439" t="str">
        <f t="shared" si="53"/>
        <v>1224½</v>
      </c>
      <c r="K439" t="str">
        <f t="shared" si="54"/>
        <v xml:space="preserve">1225 </v>
      </c>
      <c r="L439" t="str">
        <f t="shared" si="55"/>
        <v>Plat10</v>
      </c>
      <c r="M439" s="8" t="str">
        <f t="shared" si="56"/>
        <v>10</v>
      </c>
      <c r="N439" t="s">
        <v>1044</v>
      </c>
      <c r="O439" t="s">
        <v>2999</v>
      </c>
      <c r="P439" t="s">
        <v>1473</v>
      </c>
      <c r="Q439" t="s">
        <v>3001</v>
      </c>
      <c r="R439" t="s">
        <v>3003</v>
      </c>
      <c r="S439" t="s">
        <v>1091</v>
      </c>
      <c r="T439" t="s">
        <v>3031</v>
      </c>
      <c r="U439" t="s">
        <v>3046</v>
      </c>
      <c r="V439" t="s">
        <v>3047</v>
      </c>
    </row>
    <row r="440" spans="2:24" ht="15" customHeight="1" x14ac:dyDescent="0.25">
      <c r="B440" s="3" t="s">
        <v>1917</v>
      </c>
      <c r="C440" s="1" t="s">
        <v>1918</v>
      </c>
      <c r="D440" s="2" t="s">
        <v>1372</v>
      </c>
      <c r="E440" s="1" t="s">
        <v>1043</v>
      </c>
      <c r="F440" s="2" t="s">
        <v>1044</v>
      </c>
      <c r="G440" s="1" t="s">
        <v>1919</v>
      </c>
      <c r="H440" s="1" t="s">
        <v>1046</v>
      </c>
      <c r="I440" s="13" t="str">
        <f t="shared" si="52"/>
        <v>2W</v>
      </c>
      <c r="J440" t="str">
        <f t="shared" si="53"/>
        <v>1226½</v>
      </c>
      <c r="K440" t="str">
        <f t="shared" si="54"/>
        <v>1228½</v>
      </c>
      <c r="L440" t="str">
        <f t="shared" si="55"/>
        <v>Plat 8</v>
      </c>
      <c r="M440" s="8" t="str">
        <f t="shared" si="56"/>
        <v xml:space="preserve"> 8</v>
      </c>
      <c r="N440" s="4" t="s">
        <v>3012</v>
      </c>
      <c r="O440" s="4" t="s">
        <v>3013</v>
      </c>
      <c r="P440" s="4" t="s">
        <v>1181</v>
      </c>
      <c r="Q440" s="4" t="s">
        <v>3014</v>
      </c>
      <c r="R440" s="4" t="s">
        <v>3015</v>
      </c>
      <c r="S440" s="4" t="s">
        <v>3016</v>
      </c>
      <c r="T440" s="4" t="s">
        <v>3004</v>
      </c>
      <c r="U440" s="4" t="s">
        <v>1161</v>
      </c>
      <c r="V440" s="4" t="s">
        <v>3017</v>
      </c>
      <c r="W440" s="4" t="s">
        <v>3018</v>
      </c>
      <c r="X440" s="4" t="s">
        <v>1044</v>
      </c>
    </row>
    <row r="441" spans="2:24" ht="15" customHeight="1" x14ac:dyDescent="0.25">
      <c r="B441" s="3" t="s">
        <v>1920</v>
      </c>
      <c r="C441" s="1" t="s">
        <v>1921</v>
      </c>
      <c r="D441" s="2" t="s">
        <v>1044</v>
      </c>
      <c r="E441" s="1" t="s">
        <v>1054</v>
      </c>
      <c r="F441" s="2" t="s">
        <v>1372</v>
      </c>
      <c r="G441" s="1" t="s">
        <v>1922</v>
      </c>
      <c r="H441" s="1" t="s">
        <v>1046</v>
      </c>
      <c r="I441" s="13" t="str">
        <f t="shared" si="52"/>
        <v>2W</v>
      </c>
      <c r="J441" t="str">
        <f t="shared" si="53"/>
        <v xml:space="preserve">1227 </v>
      </c>
      <c r="K441" t="str">
        <f t="shared" si="54"/>
        <v xml:space="preserve">1229 </v>
      </c>
      <c r="L441" t="str">
        <f t="shared" si="55"/>
        <v>Plat 5</v>
      </c>
      <c r="M441" s="8" t="str">
        <f t="shared" si="56"/>
        <v xml:space="preserve"> 5</v>
      </c>
      <c r="N441" s="4" t="s">
        <v>1372</v>
      </c>
      <c r="O441"/>
    </row>
    <row r="442" spans="2:24" ht="15" customHeight="1" x14ac:dyDescent="0.25">
      <c r="B442" s="3" t="s">
        <v>1128</v>
      </c>
      <c r="C442" s="1" t="s">
        <v>1923</v>
      </c>
      <c r="D442" s="2" t="s">
        <v>1074</v>
      </c>
      <c r="E442" s="1" t="s">
        <v>1050</v>
      </c>
      <c r="F442" s="1" t="s">
        <v>1051</v>
      </c>
      <c r="G442" s="1"/>
      <c r="H442" s="1" t="s">
        <v>1040</v>
      </c>
      <c r="I442" s="13" t="str">
        <f t="shared" si="52"/>
        <v>2N</v>
      </c>
      <c r="J442" t="str">
        <f t="shared" si="53"/>
        <v xml:space="preserve">1229 </v>
      </c>
      <c r="K442" t="str">
        <f t="shared" si="54"/>
        <v/>
      </c>
      <c r="L442" t="str">
        <f t="shared" si="55"/>
        <v>Plat 1</v>
      </c>
      <c r="M442" s="8" t="str">
        <f t="shared" si="56"/>
        <v xml:space="preserve"> 1</v>
      </c>
      <c r="O442"/>
    </row>
    <row r="443" spans="2:24" ht="15" customHeight="1" x14ac:dyDescent="0.25">
      <c r="B443" s="3" t="s">
        <v>1924</v>
      </c>
      <c r="C443" s="1"/>
      <c r="D443" s="1" t="s">
        <v>1037</v>
      </c>
      <c r="E443" s="1" t="s">
        <v>2148</v>
      </c>
      <c r="F443" s="2" t="s">
        <v>1254</v>
      </c>
      <c r="G443" s="1" t="s">
        <v>439</v>
      </c>
      <c r="H443" s="1" t="s">
        <v>1046</v>
      </c>
      <c r="I443" s="13" t="str">
        <f t="shared" si="52"/>
        <v>2S</v>
      </c>
      <c r="J443" t="str">
        <f t="shared" si="53"/>
        <v/>
      </c>
      <c r="K443" t="str">
        <f t="shared" si="54"/>
        <v xml:space="preserve">1230 </v>
      </c>
      <c r="L443" t="str">
        <f t="shared" si="55"/>
        <v>Plat11</v>
      </c>
      <c r="M443" s="8" t="str">
        <f t="shared" si="56"/>
        <v>11</v>
      </c>
      <c r="N443" t="s">
        <v>2975</v>
      </c>
      <c r="O443" t="s">
        <v>3039</v>
      </c>
      <c r="P443" t="s">
        <v>3041</v>
      </c>
      <c r="Q443" t="s">
        <v>3042</v>
      </c>
      <c r="R443" t="s">
        <v>2978</v>
      </c>
      <c r="S443" t="s">
        <v>1298</v>
      </c>
      <c r="T443" t="s">
        <v>2980</v>
      </c>
      <c r="U443" t="s">
        <v>2982</v>
      </c>
      <c r="V443" t="s">
        <v>1254</v>
      </c>
    </row>
    <row r="444" spans="2:24" ht="15" customHeight="1" x14ac:dyDescent="0.25">
      <c r="B444" s="3" t="s">
        <v>1925</v>
      </c>
      <c r="C444" s="1"/>
      <c r="D444" s="1" t="s">
        <v>1037</v>
      </c>
      <c r="E444" s="1" t="s">
        <v>1061</v>
      </c>
      <c r="F444" s="2" t="s">
        <v>1039</v>
      </c>
      <c r="G444" s="1" t="s">
        <v>1926</v>
      </c>
      <c r="H444" s="1" t="s">
        <v>1040</v>
      </c>
      <c r="I444" s="13" t="str">
        <f t="shared" si="52"/>
        <v>2Y</v>
      </c>
      <c r="J444" t="str">
        <f t="shared" si="53"/>
        <v/>
      </c>
      <c r="K444" t="str">
        <f t="shared" si="54"/>
        <v xml:space="preserve">1232 </v>
      </c>
      <c r="L444" t="str">
        <f t="shared" si="55"/>
        <v>Plat 2</v>
      </c>
      <c r="M444" s="8" t="str">
        <f t="shared" si="56"/>
        <v xml:space="preserve"> 2</v>
      </c>
      <c r="N444" s="4" t="s">
        <v>3010</v>
      </c>
      <c r="O444" s="15" t="s">
        <v>3011</v>
      </c>
    </row>
    <row r="445" spans="2:24" ht="15" customHeight="1" x14ac:dyDescent="0.25">
      <c r="B445" s="3" t="s">
        <v>1927</v>
      </c>
      <c r="C445" s="1" t="s">
        <v>1928</v>
      </c>
      <c r="D445" s="2" t="s">
        <v>1039</v>
      </c>
      <c r="E445" s="1" t="s">
        <v>1075</v>
      </c>
      <c r="F445" s="1" t="s">
        <v>1051</v>
      </c>
      <c r="G445" s="1"/>
      <c r="H445" s="1" t="s">
        <v>1040</v>
      </c>
      <c r="I445" s="13" t="str">
        <f t="shared" si="52"/>
        <v>2L</v>
      </c>
      <c r="J445" t="str">
        <f t="shared" si="53"/>
        <v xml:space="preserve">1235 </v>
      </c>
      <c r="K445" t="str">
        <f t="shared" si="54"/>
        <v/>
      </c>
      <c r="L445" t="str">
        <f t="shared" si="55"/>
        <v>Plat 2</v>
      </c>
      <c r="M445" s="8" t="str">
        <f t="shared" si="56"/>
        <v xml:space="preserve"> 2</v>
      </c>
      <c r="O445"/>
    </row>
    <row r="446" spans="2:24" ht="15" customHeight="1" x14ac:dyDescent="0.25">
      <c r="B446" s="3" t="s">
        <v>1929</v>
      </c>
      <c r="C446" s="1" t="s">
        <v>1930</v>
      </c>
      <c r="D446" s="2" t="s">
        <v>1304</v>
      </c>
      <c r="E446" s="1" t="s">
        <v>1047</v>
      </c>
      <c r="F446" s="2" t="s">
        <v>1372</v>
      </c>
      <c r="G446" s="1" t="s">
        <v>1931</v>
      </c>
      <c r="H446" s="1" t="s">
        <v>1046</v>
      </c>
      <c r="I446" s="13" t="str">
        <f t="shared" si="52"/>
        <v>2F</v>
      </c>
      <c r="J446" t="str">
        <f t="shared" si="53"/>
        <v xml:space="preserve">1236 </v>
      </c>
      <c r="K446" t="str">
        <f t="shared" si="54"/>
        <v>1236½</v>
      </c>
      <c r="L446" t="str">
        <f t="shared" si="55"/>
        <v>Plat 9</v>
      </c>
      <c r="M446" s="8" t="str">
        <f t="shared" si="56"/>
        <v xml:space="preserve"> 9</v>
      </c>
      <c r="N446" s="4" t="s">
        <v>1372</v>
      </c>
      <c r="O446"/>
    </row>
    <row r="447" spans="2:24" ht="15" customHeight="1" x14ac:dyDescent="0.25">
      <c r="B447" s="3" t="s">
        <v>1932</v>
      </c>
      <c r="C447" s="1" t="s">
        <v>445</v>
      </c>
      <c r="D447" s="2" t="s">
        <v>1254</v>
      </c>
      <c r="E447" s="1" t="s">
        <v>2148</v>
      </c>
      <c r="F447" s="1" t="s">
        <v>1051</v>
      </c>
      <c r="G447" s="1"/>
      <c r="H447" s="1" t="s">
        <v>1046</v>
      </c>
      <c r="I447" s="13" t="str">
        <f t="shared" si="52"/>
        <v>2S</v>
      </c>
      <c r="J447" t="str">
        <f t="shared" si="53"/>
        <v xml:space="preserve">1237 </v>
      </c>
      <c r="K447" t="str">
        <f t="shared" si="54"/>
        <v/>
      </c>
      <c r="L447" t="str">
        <f t="shared" si="55"/>
        <v>Plat11</v>
      </c>
      <c r="M447" s="8" t="str">
        <f t="shared" si="56"/>
        <v>11</v>
      </c>
      <c r="O447"/>
    </row>
    <row r="448" spans="2:24" ht="15" customHeight="1" x14ac:dyDescent="0.25">
      <c r="B448" s="3" t="s">
        <v>1933</v>
      </c>
      <c r="C448" s="1" t="s">
        <v>1934</v>
      </c>
      <c r="D448" s="2" t="s">
        <v>1372</v>
      </c>
      <c r="E448" s="1" t="s">
        <v>1156</v>
      </c>
      <c r="F448" s="2" t="s">
        <v>1066</v>
      </c>
      <c r="G448" s="1" t="s">
        <v>1935</v>
      </c>
      <c r="H448" s="1" t="s">
        <v>1046</v>
      </c>
      <c r="I448" s="13" t="str">
        <f t="shared" si="52"/>
        <v>1P</v>
      </c>
      <c r="J448" t="str">
        <f t="shared" si="53"/>
        <v>1237½</v>
      </c>
      <c r="K448" t="str">
        <f t="shared" si="54"/>
        <v>1238½</v>
      </c>
      <c r="L448" t="str">
        <f t="shared" si="55"/>
        <v>Plat10</v>
      </c>
      <c r="M448" s="8" t="str">
        <f t="shared" si="56"/>
        <v>10</v>
      </c>
      <c r="N448" t="s">
        <v>1473</v>
      </c>
      <c r="O448" t="s">
        <v>1091</v>
      </c>
      <c r="P448" t="s">
        <v>3006</v>
      </c>
      <c r="Q448" t="s">
        <v>1242</v>
      </c>
      <c r="R448" t="s">
        <v>1501</v>
      </c>
      <c r="S448" t="s">
        <v>3052</v>
      </c>
      <c r="T448" t="s">
        <v>1066</v>
      </c>
    </row>
    <row r="449" spans="2:24" ht="15" customHeight="1" x14ac:dyDescent="0.25">
      <c r="B449" s="3" t="s">
        <v>1936</v>
      </c>
      <c r="C449" s="1" t="s">
        <v>1937</v>
      </c>
      <c r="D449" s="2" t="s">
        <v>1372</v>
      </c>
      <c r="E449" s="1" t="s">
        <v>1043</v>
      </c>
      <c r="F449" s="2" t="s">
        <v>1044</v>
      </c>
      <c r="G449" s="1" t="s">
        <v>1935</v>
      </c>
      <c r="H449" s="1" t="s">
        <v>1046</v>
      </c>
      <c r="I449" s="13" t="str">
        <f t="shared" si="52"/>
        <v>2W</v>
      </c>
      <c r="J449" t="str">
        <f t="shared" si="53"/>
        <v>1236½</v>
      </c>
      <c r="K449" t="str">
        <f t="shared" si="54"/>
        <v>1238½</v>
      </c>
      <c r="L449" t="str">
        <f t="shared" si="55"/>
        <v>Plat 8</v>
      </c>
      <c r="M449" s="8" t="str">
        <f t="shared" si="56"/>
        <v xml:space="preserve"> 8</v>
      </c>
      <c r="N449" s="4" t="s">
        <v>3012</v>
      </c>
      <c r="O449" s="4" t="s">
        <v>3013</v>
      </c>
      <c r="P449" s="4" t="s">
        <v>1181</v>
      </c>
      <c r="Q449" s="4" t="s">
        <v>3014</v>
      </c>
      <c r="R449" s="4" t="s">
        <v>3015</v>
      </c>
      <c r="S449" s="4" t="s">
        <v>3016</v>
      </c>
      <c r="T449" s="4" t="s">
        <v>3004</v>
      </c>
      <c r="U449" s="4" t="s">
        <v>1161</v>
      </c>
      <c r="V449" s="4" t="s">
        <v>3017</v>
      </c>
      <c r="W449" s="4" t="s">
        <v>3018</v>
      </c>
      <c r="X449" s="4" t="s">
        <v>1044</v>
      </c>
    </row>
    <row r="450" spans="2:24" ht="15" customHeight="1" x14ac:dyDescent="0.25">
      <c r="B450" s="3" t="s">
        <v>1938</v>
      </c>
      <c r="C450" s="1"/>
      <c r="D450" s="1" t="s">
        <v>1037</v>
      </c>
      <c r="E450" s="1" t="s">
        <v>1038</v>
      </c>
      <c r="F450" s="2" t="s">
        <v>1074</v>
      </c>
      <c r="G450" s="1" t="s">
        <v>1939</v>
      </c>
      <c r="H450" s="1" t="s">
        <v>1040</v>
      </c>
      <c r="I450" s="13" t="str">
        <f t="shared" si="52"/>
        <v>2N</v>
      </c>
      <c r="J450" t="str">
        <f t="shared" si="53"/>
        <v/>
      </c>
      <c r="K450" t="str">
        <f t="shared" si="54"/>
        <v xml:space="preserve">1239 </v>
      </c>
      <c r="L450" t="str">
        <f t="shared" si="55"/>
        <v>Plat 1</v>
      </c>
      <c r="M450" s="8" t="str">
        <f t="shared" si="56"/>
        <v xml:space="preserve"> 1</v>
      </c>
      <c r="N450" s="4" t="s">
        <v>3010</v>
      </c>
      <c r="O450" s="15" t="s">
        <v>3011</v>
      </c>
    </row>
    <row r="451" spans="2:24" ht="15" customHeight="1" x14ac:dyDescent="0.25">
      <c r="B451" s="3" t="s">
        <v>1940</v>
      </c>
      <c r="C451" s="1" t="s">
        <v>445</v>
      </c>
      <c r="D451" s="2" t="s">
        <v>1044</v>
      </c>
      <c r="E451" s="1" t="s">
        <v>1054</v>
      </c>
      <c r="F451" s="2" t="s">
        <v>1372</v>
      </c>
      <c r="G451" s="1" t="s">
        <v>1939</v>
      </c>
      <c r="H451" s="1" t="s">
        <v>1046</v>
      </c>
      <c r="I451" s="13" t="str">
        <f t="shared" si="52"/>
        <v>2W</v>
      </c>
      <c r="J451" t="str">
        <f t="shared" si="53"/>
        <v xml:space="preserve">1237 </v>
      </c>
      <c r="K451" t="str">
        <f t="shared" si="54"/>
        <v xml:space="preserve">1239 </v>
      </c>
      <c r="L451" t="str">
        <f t="shared" si="55"/>
        <v>Plat 5</v>
      </c>
      <c r="M451" s="8" t="str">
        <f t="shared" si="56"/>
        <v xml:space="preserve"> 5</v>
      </c>
      <c r="N451" s="4" t="s">
        <v>1372</v>
      </c>
      <c r="O451"/>
    </row>
    <row r="452" spans="2:24" ht="15" customHeight="1" x14ac:dyDescent="0.25">
      <c r="B452" s="3" t="s">
        <v>1941</v>
      </c>
      <c r="C452" s="1" t="s">
        <v>1939</v>
      </c>
      <c r="D452" s="2" t="s">
        <v>1058</v>
      </c>
      <c r="E452" s="1" t="s">
        <v>1047</v>
      </c>
      <c r="F452" s="2" t="s">
        <v>1372</v>
      </c>
      <c r="G452" s="1" t="s">
        <v>1942</v>
      </c>
      <c r="H452" s="1" t="s">
        <v>1046</v>
      </c>
      <c r="I452" s="13" t="str">
        <f t="shared" si="52"/>
        <v>1K</v>
      </c>
      <c r="J452" t="str">
        <f t="shared" si="53"/>
        <v xml:space="preserve">1239 </v>
      </c>
      <c r="K452" t="str">
        <f t="shared" si="54"/>
        <v>1239½</v>
      </c>
      <c r="L452" t="str">
        <f t="shared" si="55"/>
        <v>Plat 9</v>
      </c>
      <c r="M452" s="8" t="str">
        <f t="shared" si="56"/>
        <v xml:space="preserve"> 9</v>
      </c>
      <c r="N452" s="4" t="s">
        <v>1372</v>
      </c>
      <c r="O452"/>
    </row>
    <row r="453" spans="2:24" ht="15" customHeight="1" x14ac:dyDescent="0.25">
      <c r="B453" s="3" t="s">
        <v>1943</v>
      </c>
      <c r="C453" s="1" t="s">
        <v>1944</v>
      </c>
      <c r="D453" s="2" t="s">
        <v>1372</v>
      </c>
      <c r="E453" s="1" t="s">
        <v>1156</v>
      </c>
      <c r="F453" s="2" t="s">
        <v>1058</v>
      </c>
      <c r="G453" s="1" t="s">
        <v>448</v>
      </c>
      <c r="H453" s="1" t="s">
        <v>1046</v>
      </c>
      <c r="I453" s="13" t="str">
        <f t="shared" si="52"/>
        <v>1K</v>
      </c>
      <c r="J453" t="str">
        <f t="shared" si="53"/>
        <v>1241½</v>
      </c>
      <c r="K453" t="str">
        <f t="shared" si="54"/>
        <v xml:space="preserve">1242 </v>
      </c>
      <c r="L453" t="str">
        <f t="shared" si="55"/>
        <v>Plat10</v>
      </c>
      <c r="M453" s="8" t="str">
        <f t="shared" si="56"/>
        <v>10</v>
      </c>
      <c r="N453" s="4" t="s">
        <v>1044</v>
      </c>
      <c r="O453" s="4" t="s">
        <v>3019</v>
      </c>
      <c r="P453" s="4" t="s">
        <v>3020</v>
      </c>
      <c r="Q453" s="4" t="s">
        <v>3021</v>
      </c>
      <c r="R453" s="4" t="s">
        <v>3022</v>
      </c>
      <c r="S453" s="4" t="s">
        <v>3023</v>
      </c>
      <c r="T453" s="4" t="s">
        <v>3024</v>
      </c>
      <c r="U453" s="4" t="s">
        <v>3025</v>
      </c>
      <c r="V453" s="4" t="s">
        <v>1058</v>
      </c>
    </row>
    <row r="454" spans="2:24" ht="15" customHeight="1" x14ac:dyDescent="0.25">
      <c r="B454" s="3" t="s">
        <v>1945</v>
      </c>
      <c r="C454" s="1" t="s">
        <v>1946</v>
      </c>
      <c r="D454" s="2" t="s">
        <v>1074</v>
      </c>
      <c r="E454" s="1" t="s">
        <v>1050</v>
      </c>
      <c r="F454" s="1" t="s">
        <v>1051</v>
      </c>
      <c r="G454" s="1"/>
      <c r="H454" s="1" t="s">
        <v>1040</v>
      </c>
      <c r="I454" s="13" t="str">
        <f t="shared" si="52"/>
        <v>2N</v>
      </c>
      <c r="J454" t="str">
        <f t="shared" si="53"/>
        <v xml:space="preserve">1244 </v>
      </c>
      <c r="K454" t="str">
        <f t="shared" si="54"/>
        <v/>
      </c>
      <c r="L454" t="str">
        <f t="shared" si="55"/>
        <v>Plat 1</v>
      </c>
      <c r="M454" s="8" t="str">
        <f t="shared" si="56"/>
        <v xml:space="preserve"> 1</v>
      </c>
      <c r="O454"/>
    </row>
    <row r="455" spans="2:24" ht="15" customHeight="1" x14ac:dyDescent="0.25">
      <c r="B455" s="3" t="s">
        <v>1947</v>
      </c>
      <c r="C455" s="1" t="s">
        <v>450</v>
      </c>
      <c r="D455" s="2" t="s">
        <v>1372</v>
      </c>
      <c r="E455" s="1" t="s">
        <v>1156</v>
      </c>
      <c r="F455" s="2" t="s">
        <v>1304</v>
      </c>
      <c r="G455" s="1" t="s">
        <v>453</v>
      </c>
      <c r="H455" s="1" t="s">
        <v>1046</v>
      </c>
      <c r="I455" s="13" t="str">
        <f t="shared" si="52"/>
        <v>2F</v>
      </c>
      <c r="J455" t="str">
        <f t="shared" si="53"/>
        <v>1244½</v>
      </c>
      <c r="K455" t="str">
        <f t="shared" si="54"/>
        <v xml:space="preserve">1245 </v>
      </c>
      <c r="L455" t="str">
        <f t="shared" si="55"/>
        <v>Plat10</v>
      </c>
      <c r="M455" s="8" t="str">
        <f t="shared" si="56"/>
        <v>10</v>
      </c>
      <c r="N455" s="4" t="s">
        <v>3004</v>
      </c>
      <c r="O455" s="4" t="s">
        <v>1044</v>
      </c>
      <c r="P455" s="4" t="s">
        <v>2999</v>
      </c>
      <c r="Q455" s="4" t="s">
        <v>1473</v>
      </c>
      <c r="R455" s="4" t="s">
        <v>3000</v>
      </c>
      <c r="S455" s="4" t="s">
        <v>3001</v>
      </c>
      <c r="T455" s="4" t="s">
        <v>3002</v>
      </c>
      <c r="U455" s="4" t="s">
        <v>3003</v>
      </c>
      <c r="V455" s="4" t="s">
        <v>1091</v>
      </c>
      <c r="W455" s="4" t="s">
        <v>1304</v>
      </c>
    </row>
    <row r="456" spans="2:24" ht="15" customHeight="1" x14ac:dyDescent="0.25">
      <c r="B456" s="3" t="s">
        <v>1948</v>
      </c>
      <c r="C456" s="1"/>
      <c r="D456" s="1" t="s">
        <v>1037</v>
      </c>
      <c r="E456" s="1" t="s">
        <v>1061</v>
      </c>
      <c r="F456" s="2" t="s">
        <v>1039</v>
      </c>
      <c r="G456" s="1" t="s">
        <v>453</v>
      </c>
      <c r="H456" s="1" t="s">
        <v>1040</v>
      </c>
      <c r="I456" s="13" t="str">
        <f t="shared" si="52"/>
        <v>2Y</v>
      </c>
      <c r="J456" t="str">
        <f t="shared" si="53"/>
        <v/>
      </c>
      <c r="K456" t="str">
        <f t="shared" si="54"/>
        <v xml:space="preserve">1245 </v>
      </c>
      <c r="L456" t="str">
        <f t="shared" si="55"/>
        <v>Plat 2</v>
      </c>
      <c r="M456" s="8" t="str">
        <f t="shared" si="56"/>
        <v xml:space="preserve"> 2</v>
      </c>
      <c r="N456" s="4" t="s">
        <v>3010</v>
      </c>
      <c r="O456" s="15" t="s">
        <v>3011</v>
      </c>
    </row>
    <row r="457" spans="2:24" ht="15" customHeight="1" x14ac:dyDescent="0.25">
      <c r="B457" s="3" t="s">
        <v>1949</v>
      </c>
      <c r="C457" s="1" t="s">
        <v>453</v>
      </c>
      <c r="D457" s="2" t="s">
        <v>1066</v>
      </c>
      <c r="E457" s="1" t="s">
        <v>1047</v>
      </c>
      <c r="F457" s="2" t="s">
        <v>1372</v>
      </c>
      <c r="G457" s="1" t="s">
        <v>2019</v>
      </c>
      <c r="H457" s="1" t="s">
        <v>1046</v>
      </c>
      <c r="I457" s="13" t="str">
        <f t="shared" si="52"/>
        <v>1P</v>
      </c>
      <c r="J457" t="str">
        <f t="shared" si="53"/>
        <v xml:space="preserve">1245 </v>
      </c>
      <c r="K457" t="str">
        <f t="shared" si="54"/>
        <v xml:space="preserve">1246 </v>
      </c>
      <c r="L457" t="str">
        <f t="shared" si="55"/>
        <v>Plat 9</v>
      </c>
      <c r="M457" s="8" t="str">
        <f t="shared" si="56"/>
        <v xml:space="preserve"> 9</v>
      </c>
      <c r="N457" s="4" t="s">
        <v>1372</v>
      </c>
      <c r="O457"/>
    </row>
    <row r="458" spans="2:24" ht="15" customHeight="1" x14ac:dyDescent="0.25">
      <c r="B458" s="3" t="s">
        <v>1950</v>
      </c>
      <c r="C458" s="1" t="s">
        <v>1951</v>
      </c>
      <c r="D458" s="2" t="s">
        <v>1372</v>
      </c>
      <c r="E458" s="1" t="s">
        <v>1043</v>
      </c>
      <c r="F458" s="2" t="s">
        <v>1044</v>
      </c>
      <c r="G458" s="1" t="s">
        <v>451</v>
      </c>
      <c r="H458" s="1" t="s">
        <v>1046</v>
      </c>
      <c r="I458" s="13" t="str">
        <f t="shared" si="52"/>
        <v>2W</v>
      </c>
      <c r="J458" t="str">
        <f t="shared" si="53"/>
        <v>1246½</v>
      </c>
      <c r="K458" t="str">
        <f t="shared" si="54"/>
        <v>1248½</v>
      </c>
      <c r="L458" t="str">
        <f t="shared" si="55"/>
        <v>Plat 8</v>
      </c>
      <c r="M458" s="8" t="str">
        <f t="shared" si="56"/>
        <v xml:space="preserve"> 8</v>
      </c>
      <c r="N458" s="4" t="s">
        <v>3012</v>
      </c>
      <c r="O458" s="4" t="s">
        <v>3013</v>
      </c>
      <c r="P458" s="4" t="s">
        <v>1181</v>
      </c>
      <c r="Q458" s="4" t="s">
        <v>3014</v>
      </c>
      <c r="R458" s="4" t="s">
        <v>3015</v>
      </c>
      <c r="S458" s="4" t="s">
        <v>3016</v>
      </c>
      <c r="T458" s="4" t="s">
        <v>3004</v>
      </c>
      <c r="U458" s="4" t="s">
        <v>1161</v>
      </c>
      <c r="V458" s="4" t="s">
        <v>3017</v>
      </c>
      <c r="W458" s="4" t="s">
        <v>3018</v>
      </c>
      <c r="X458" s="4" t="s">
        <v>1044</v>
      </c>
    </row>
    <row r="459" spans="2:24" ht="15" customHeight="1" x14ac:dyDescent="0.25">
      <c r="B459" s="3" t="s">
        <v>1952</v>
      </c>
      <c r="C459" s="1" t="s">
        <v>1953</v>
      </c>
      <c r="D459" s="2" t="s">
        <v>1044</v>
      </c>
      <c r="E459" s="1" t="s">
        <v>1054</v>
      </c>
      <c r="F459" s="2" t="s">
        <v>1372</v>
      </c>
      <c r="G459" s="1" t="s">
        <v>454</v>
      </c>
      <c r="H459" s="1" t="s">
        <v>1046</v>
      </c>
      <c r="I459" s="13" t="str">
        <f t="shared" si="52"/>
        <v>2W</v>
      </c>
      <c r="J459" t="str">
        <f t="shared" si="53"/>
        <v xml:space="preserve">1247 </v>
      </c>
      <c r="K459" t="str">
        <f t="shared" si="54"/>
        <v xml:space="preserve">1249 </v>
      </c>
      <c r="L459" t="str">
        <f t="shared" si="55"/>
        <v>Plat 5</v>
      </c>
      <c r="M459" s="8" t="str">
        <f t="shared" si="56"/>
        <v xml:space="preserve"> 5</v>
      </c>
      <c r="N459" s="4" t="s">
        <v>1372</v>
      </c>
      <c r="O459"/>
    </row>
    <row r="460" spans="2:24" ht="15" customHeight="1" x14ac:dyDescent="0.25">
      <c r="B460" s="3" t="s">
        <v>1954</v>
      </c>
      <c r="C460" s="1" t="s">
        <v>1955</v>
      </c>
      <c r="D460" s="2" t="s">
        <v>1039</v>
      </c>
      <c r="E460" s="1" t="s">
        <v>1075</v>
      </c>
      <c r="F460" s="1" t="s">
        <v>1051</v>
      </c>
      <c r="G460" s="1"/>
      <c r="H460" s="1" t="s">
        <v>1040</v>
      </c>
      <c r="I460" s="13" t="str">
        <f t="shared" si="52"/>
        <v>2L</v>
      </c>
      <c r="J460" t="str">
        <f t="shared" si="53"/>
        <v xml:space="preserve">1249 </v>
      </c>
      <c r="K460" t="str">
        <f t="shared" si="54"/>
        <v/>
      </c>
      <c r="L460" t="str">
        <f t="shared" si="55"/>
        <v>Plat 2</v>
      </c>
      <c r="M460" s="8" t="str">
        <f t="shared" si="56"/>
        <v xml:space="preserve"> 2</v>
      </c>
      <c r="O460"/>
    </row>
    <row r="461" spans="2:24" ht="15" customHeight="1" x14ac:dyDescent="0.25">
      <c r="B461" s="3" t="s">
        <v>1956</v>
      </c>
      <c r="C461" s="1"/>
      <c r="D461" s="1" t="s">
        <v>1037</v>
      </c>
      <c r="E461" s="1" t="s">
        <v>1038</v>
      </c>
      <c r="F461" s="2" t="s">
        <v>1074</v>
      </c>
      <c r="G461" s="1" t="s">
        <v>459</v>
      </c>
      <c r="H461" s="1" t="s">
        <v>1040</v>
      </c>
      <c r="I461" s="13" t="str">
        <f t="shared" si="52"/>
        <v>2N</v>
      </c>
      <c r="J461" t="str">
        <f t="shared" si="53"/>
        <v/>
      </c>
      <c r="K461" t="str">
        <f t="shared" si="54"/>
        <v xml:space="preserve">1252 </v>
      </c>
      <c r="L461" t="str">
        <f t="shared" si="55"/>
        <v>Plat 1</v>
      </c>
      <c r="M461" s="8" t="str">
        <f t="shared" si="56"/>
        <v xml:space="preserve"> 1</v>
      </c>
      <c r="N461" s="4" t="s">
        <v>3010</v>
      </c>
      <c r="O461" s="15" t="s">
        <v>3011</v>
      </c>
    </row>
    <row r="462" spans="2:24" ht="15" customHeight="1" x14ac:dyDescent="0.25">
      <c r="B462" s="3" t="s">
        <v>561</v>
      </c>
      <c r="C462" s="1" t="s">
        <v>459</v>
      </c>
      <c r="D462" s="2" t="s">
        <v>1237</v>
      </c>
      <c r="E462" s="1" t="s">
        <v>1047</v>
      </c>
      <c r="F462" s="2" t="s">
        <v>1372</v>
      </c>
      <c r="G462" s="1" t="s">
        <v>1957</v>
      </c>
      <c r="H462" s="1" t="s">
        <v>1046</v>
      </c>
      <c r="I462" s="13" t="str">
        <f t="shared" si="52"/>
        <v>1F</v>
      </c>
      <c r="J462" t="str">
        <f t="shared" si="53"/>
        <v xml:space="preserve">1252 </v>
      </c>
      <c r="K462" t="str">
        <f t="shared" si="54"/>
        <v>1252½</v>
      </c>
      <c r="L462" t="str">
        <f t="shared" si="55"/>
        <v>Plat 9</v>
      </c>
      <c r="M462" s="8" t="str">
        <f t="shared" si="56"/>
        <v xml:space="preserve"> 9</v>
      </c>
      <c r="N462" s="4" t="s">
        <v>1372</v>
      </c>
      <c r="O462"/>
    </row>
    <row r="463" spans="2:24" ht="15" customHeight="1" x14ac:dyDescent="0.25">
      <c r="B463" s="3" t="s">
        <v>350</v>
      </c>
      <c r="C463" s="1" t="s">
        <v>1958</v>
      </c>
      <c r="D463" s="2" t="s">
        <v>1372</v>
      </c>
      <c r="E463" s="1" t="s">
        <v>1156</v>
      </c>
      <c r="F463" s="2" t="s">
        <v>1237</v>
      </c>
      <c r="G463" s="1" t="s">
        <v>457</v>
      </c>
      <c r="H463" s="1" t="s">
        <v>1046</v>
      </c>
      <c r="I463" s="13" t="str">
        <f t="shared" si="52"/>
        <v>1F</v>
      </c>
      <c r="J463" t="str">
        <f t="shared" si="53"/>
        <v>1254½</v>
      </c>
      <c r="K463" t="str">
        <f t="shared" si="54"/>
        <v xml:space="preserve">1255 </v>
      </c>
      <c r="L463" t="str">
        <f t="shared" si="55"/>
        <v>Plat10</v>
      </c>
      <c r="M463" s="8" t="str">
        <f t="shared" si="56"/>
        <v>10</v>
      </c>
      <c r="N463" t="s">
        <v>1044</v>
      </c>
      <c r="O463" t="s">
        <v>2999</v>
      </c>
      <c r="P463" t="s">
        <v>1473</v>
      </c>
      <c r="Q463" t="s">
        <v>3001</v>
      </c>
      <c r="R463" t="s">
        <v>3043</v>
      </c>
      <c r="S463" t="s">
        <v>3044</v>
      </c>
      <c r="T463" t="s">
        <v>3045</v>
      </c>
      <c r="U463" t="s">
        <v>1237</v>
      </c>
    </row>
    <row r="464" spans="2:24" ht="15" customHeight="1" x14ac:dyDescent="0.25">
      <c r="B464" s="3" t="s">
        <v>1959</v>
      </c>
      <c r="C464" s="1" t="s">
        <v>1960</v>
      </c>
      <c r="D464" s="2" t="s">
        <v>1372</v>
      </c>
      <c r="E464" s="1" t="s">
        <v>1043</v>
      </c>
      <c r="F464" s="2" t="s">
        <v>1044</v>
      </c>
      <c r="G464" s="1" t="s">
        <v>1961</v>
      </c>
      <c r="H464" s="1" t="s">
        <v>1046</v>
      </c>
      <c r="I464" s="13" t="str">
        <f t="shared" si="52"/>
        <v>2W</v>
      </c>
      <c r="J464" t="str">
        <f t="shared" si="53"/>
        <v>1256½</v>
      </c>
      <c r="K464" t="str">
        <f t="shared" si="54"/>
        <v>1258½</v>
      </c>
      <c r="L464" t="str">
        <f t="shared" si="55"/>
        <v>Plat 8</v>
      </c>
      <c r="M464" s="8" t="str">
        <f t="shared" si="56"/>
        <v xml:space="preserve"> 8</v>
      </c>
      <c r="N464" s="4" t="s">
        <v>3012</v>
      </c>
      <c r="O464" s="4" t="s">
        <v>3013</v>
      </c>
      <c r="P464" s="4" t="s">
        <v>1181</v>
      </c>
      <c r="Q464" s="4" t="s">
        <v>3014</v>
      </c>
      <c r="R464" s="4" t="s">
        <v>3015</v>
      </c>
      <c r="S464" s="4" t="s">
        <v>3016</v>
      </c>
      <c r="T464" s="4" t="s">
        <v>3004</v>
      </c>
      <c r="U464" s="4" t="s">
        <v>1161</v>
      </c>
      <c r="V464" s="4" t="s">
        <v>3017</v>
      </c>
      <c r="W464" s="4" t="s">
        <v>3018</v>
      </c>
      <c r="X464" s="4" t="s">
        <v>1044</v>
      </c>
    </row>
    <row r="465" spans="2:24" ht="15" customHeight="1" x14ac:dyDescent="0.25">
      <c r="B465" s="3" t="s">
        <v>1962</v>
      </c>
      <c r="C465" s="1" t="s">
        <v>1963</v>
      </c>
      <c r="D465" s="2" t="s">
        <v>1044</v>
      </c>
      <c r="E465" s="1" t="s">
        <v>1054</v>
      </c>
      <c r="F465" s="2" t="s">
        <v>1372</v>
      </c>
      <c r="G465" s="1" t="s">
        <v>465</v>
      </c>
      <c r="H465" s="1" t="s">
        <v>1046</v>
      </c>
      <c r="I465" s="13" t="str">
        <f t="shared" si="52"/>
        <v>2W</v>
      </c>
      <c r="J465" t="str">
        <f t="shared" si="53"/>
        <v xml:space="preserve">1257 </v>
      </c>
      <c r="K465" t="str">
        <f t="shared" si="54"/>
        <v xml:space="preserve">1259 </v>
      </c>
      <c r="L465" t="str">
        <f t="shared" si="55"/>
        <v>Plat 5</v>
      </c>
      <c r="M465" s="8" t="str">
        <f t="shared" si="56"/>
        <v xml:space="preserve"> 5</v>
      </c>
      <c r="N465" s="4" t="s">
        <v>1372</v>
      </c>
      <c r="O465"/>
    </row>
    <row r="466" spans="2:24" ht="15" customHeight="1" x14ac:dyDescent="0.25">
      <c r="B466" s="3" t="s">
        <v>1964</v>
      </c>
      <c r="C466" s="1" t="s">
        <v>1965</v>
      </c>
      <c r="D466" s="2" t="s">
        <v>1074</v>
      </c>
      <c r="E466" s="1" t="s">
        <v>1050</v>
      </c>
      <c r="F466" s="1" t="s">
        <v>1051</v>
      </c>
      <c r="G466" s="1"/>
      <c r="H466" s="1" t="s">
        <v>1040</v>
      </c>
      <c r="I466" s="13" t="str">
        <f t="shared" si="52"/>
        <v>2N</v>
      </c>
      <c r="J466" t="str">
        <f t="shared" si="53"/>
        <v xml:space="preserve">1259 </v>
      </c>
      <c r="K466" t="str">
        <f t="shared" si="54"/>
        <v/>
      </c>
      <c r="L466" t="str">
        <f t="shared" si="55"/>
        <v>Plat 1</v>
      </c>
      <c r="M466" s="8" t="str">
        <f t="shared" si="56"/>
        <v xml:space="preserve"> 1</v>
      </c>
      <c r="O466"/>
    </row>
    <row r="467" spans="2:24" ht="15" customHeight="1" x14ac:dyDescent="0.25">
      <c r="B467" s="3" t="s">
        <v>1966</v>
      </c>
      <c r="C467" s="1"/>
      <c r="D467" s="1" t="s">
        <v>1037</v>
      </c>
      <c r="E467" s="1" t="s">
        <v>2148</v>
      </c>
      <c r="F467" s="2" t="s">
        <v>1254</v>
      </c>
      <c r="G467" s="1" t="s">
        <v>1967</v>
      </c>
      <c r="H467" s="1" t="s">
        <v>1046</v>
      </c>
      <c r="I467" s="13" t="str">
        <f t="shared" si="52"/>
        <v>2S</v>
      </c>
      <c r="J467" t="str">
        <f t="shared" si="53"/>
        <v/>
      </c>
      <c r="K467" t="str">
        <f t="shared" si="54"/>
        <v xml:space="preserve">1300 </v>
      </c>
      <c r="L467" t="str">
        <f t="shared" si="55"/>
        <v>Plat11</v>
      </c>
      <c r="M467" s="8" t="str">
        <f t="shared" si="56"/>
        <v>11</v>
      </c>
      <c r="N467" t="s">
        <v>2975</v>
      </c>
      <c r="O467" t="s">
        <v>3039</v>
      </c>
      <c r="P467" t="s">
        <v>3040</v>
      </c>
      <c r="Q467" t="s">
        <v>2978</v>
      </c>
      <c r="R467" t="s">
        <v>1298</v>
      </c>
      <c r="S467" t="s">
        <v>2979</v>
      </c>
      <c r="T467" t="s">
        <v>2980</v>
      </c>
      <c r="U467" t="s">
        <v>2981</v>
      </c>
      <c r="V467" t="s">
        <v>2982</v>
      </c>
      <c r="W467" t="s">
        <v>1254</v>
      </c>
    </row>
    <row r="468" spans="2:24" ht="15" customHeight="1" x14ac:dyDescent="0.25">
      <c r="B468" s="3" t="s">
        <v>1968</v>
      </c>
      <c r="C468" s="1" t="s">
        <v>1969</v>
      </c>
      <c r="D468" s="2" t="s">
        <v>1058</v>
      </c>
      <c r="E468" s="1" t="s">
        <v>1047</v>
      </c>
      <c r="F468" s="2" t="s">
        <v>1372</v>
      </c>
      <c r="G468" s="1" t="s">
        <v>1970</v>
      </c>
      <c r="H468" s="1" t="s">
        <v>1046</v>
      </c>
      <c r="I468" s="13" t="str">
        <f t="shared" si="52"/>
        <v>2K</v>
      </c>
      <c r="J468" t="str">
        <f t="shared" si="53"/>
        <v xml:space="preserve">1301 </v>
      </c>
      <c r="K468" t="str">
        <f t="shared" si="54"/>
        <v>1301½</v>
      </c>
      <c r="L468" t="str">
        <f t="shared" si="55"/>
        <v>Plat 9</v>
      </c>
      <c r="M468" s="8" t="str">
        <f t="shared" si="56"/>
        <v xml:space="preserve"> 9</v>
      </c>
      <c r="N468" s="4" t="s">
        <v>1372</v>
      </c>
      <c r="O468"/>
    </row>
    <row r="469" spans="2:24" ht="15" customHeight="1" x14ac:dyDescent="0.25">
      <c r="B469" s="3" t="s">
        <v>1971</v>
      </c>
      <c r="C469" s="1"/>
      <c r="D469" s="1" t="s">
        <v>1037</v>
      </c>
      <c r="E469" s="1" t="s">
        <v>1061</v>
      </c>
      <c r="F469" s="2" t="s">
        <v>1039</v>
      </c>
      <c r="G469" s="1" t="s">
        <v>463</v>
      </c>
      <c r="H469" s="1" t="s">
        <v>1040</v>
      </c>
      <c r="I469" s="13" t="str">
        <f t="shared" si="52"/>
        <v>2Y</v>
      </c>
      <c r="J469" t="str">
        <f t="shared" si="53"/>
        <v/>
      </c>
      <c r="K469" t="str">
        <f t="shared" si="54"/>
        <v xml:space="preserve">1302 </v>
      </c>
      <c r="L469" t="str">
        <f t="shared" si="55"/>
        <v>Plat 2</v>
      </c>
      <c r="M469" s="8" t="str">
        <f t="shared" si="56"/>
        <v xml:space="preserve"> 2</v>
      </c>
      <c r="N469" s="4" t="s">
        <v>3010</v>
      </c>
      <c r="O469" s="15" t="s">
        <v>3011</v>
      </c>
    </row>
    <row r="470" spans="2:24" ht="15" customHeight="1" x14ac:dyDescent="0.25">
      <c r="B470" s="3" t="s">
        <v>1972</v>
      </c>
      <c r="C470" s="1" t="s">
        <v>1973</v>
      </c>
      <c r="D470" s="2" t="s">
        <v>1372</v>
      </c>
      <c r="E470" s="1" t="s">
        <v>1156</v>
      </c>
      <c r="F470" s="2" t="s">
        <v>1058</v>
      </c>
      <c r="G470" s="1" t="s">
        <v>463</v>
      </c>
      <c r="H470" s="1" t="s">
        <v>1046</v>
      </c>
      <c r="I470" s="13" t="str">
        <f t="shared" si="52"/>
        <v>1K</v>
      </c>
      <c r="J470" t="str">
        <f t="shared" si="53"/>
        <v>1301½</v>
      </c>
      <c r="K470" t="str">
        <f t="shared" si="54"/>
        <v xml:space="preserve">1302 </v>
      </c>
      <c r="L470" t="str">
        <f t="shared" si="55"/>
        <v>Plat10</v>
      </c>
      <c r="M470" s="8" t="str">
        <f t="shared" si="56"/>
        <v>10</v>
      </c>
      <c r="N470" s="4" t="s">
        <v>1044</v>
      </c>
      <c r="O470" s="4" t="s">
        <v>3019</v>
      </c>
      <c r="P470" s="4" t="s">
        <v>3020</v>
      </c>
      <c r="Q470" s="4" t="s">
        <v>3021</v>
      </c>
      <c r="R470" s="4" t="s">
        <v>3022</v>
      </c>
      <c r="S470" s="4" t="s">
        <v>3023</v>
      </c>
      <c r="T470" s="4" t="s">
        <v>3024</v>
      </c>
      <c r="U470" s="4" t="s">
        <v>3025</v>
      </c>
      <c r="V470" s="4" t="s">
        <v>1058</v>
      </c>
    </row>
    <row r="471" spans="2:24" ht="15" customHeight="1" x14ac:dyDescent="0.25">
      <c r="B471" s="3" t="s">
        <v>1974</v>
      </c>
      <c r="C471" s="1" t="s">
        <v>1975</v>
      </c>
      <c r="D471" s="2" t="s">
        <v>1039</v>
      </c>
      <c r="E471" s="1" t="s">
        <v>1075</v>
      </c>
      <c r="F471" s="1" t="s">
        <v>1051</v>
      </c>
      <c r="G471" s="1"/>
      <c r="H471" s="1" t="s">
        <v>1040</v>
      </c>
      <c r="I471" s="13" t="str">
        <f t="shared" si="52"/>
        <v>2L</v>
      </c>
      <c r="J471" t="str">
        <f t="shared" si="53"/>
        <v xml:space="preserve">1305 </v>
      </c>
      <c r="K471" t="str">
        <f t="shared" si="54"/>
        <v/>
      </c>
      <c r="L471" t="str">
        <f t="shared" si="55"/>
        <v>Plat 2</v>
      </c>
      <c r="M471" s="8" t="str">
        <f t="shared" si="56"/>
        <v xml:space="preserve"> 2</v>
      </c>
      <c r="O471"/>
    </row>
    <row r="472" spans="2:24" ht="15" customHeight="1" x14ac:dyDescent="0.25">
      <c r="B472" s="3" t="s">
        <v>1976</v>
      </c>
      <c r="C472" s="1" t="s">
        <v>468</v>
      </c>
      <c r="D472" s="2" t="s">
        <v>1242</v>
      </c>
      <c r="E472" s="1" t="s">
        <v>1047</v>
      </c>
      <c r="F472" s="2" t="s">
        <v>1372</v>
      </c>
      <c r="G472" s="1" t="s">
        <v>1977</v>
      </c>
      <c r="H472" s="1" t="s">
        <v>1046</v>
      </c>
      <c r="I472" s="13" t="str">
        <f t="shared" si="52"/>
        <v>1Y</v>
      </c>
      <c r="J472" t="str">
        <f t="shared" si="53"/>
        <v xml:space="preserve">1305 </v>
      </c>
      <c r="K472" t="str">
        <f t="shared" si="54"/>
        <v>1305½</v>
      </c>
      <c r="L472" t="str">
        <f t="shared" si="55"/>
        <v>Plat 9</v>
      </c>
      <c r="M472" s="8" t="str">
        <f t="shared" si="56"/>
        <v xml:space="preserve"> 9</v>
      </c>
      <c r="N472" s="4" t="s">
        <v>1372</v>
      </c>
      <c r="O472"/>
    </row>
    <row r="473" spans="2:24" ht="15" customHeight="1" x14ac:dyDescent="0.25">
      <c r="B473" s="3" t="s">
        <v>1978</v>
      </c>
      <c r="C473" s="1" t="s">
        <v>1979</v>
      </c>
      <c r="D473" s="2" t="s">
        <v>1254</v>
      </c>
      <c r="E473" s="1" t="s">
        <v>2148</v>
      </c>
      <c r="F473" s="1" t="s">
        <v>1051</v>
      </c>
      <c r="G473" s="1"/>
      <c r="H473" s="1" t="s">
        <v>1046</v>
      </c>
      <c r="I473" s="13" t="str">
        <f t="shared" si="52"/>
        <v>2S</v>
      </c>
      <c r="J473" t="str">
        <f t="shared" si="53"/>
        <v xml:space="preserve">1307 </v>
      </c>
      <c r="K473" t="str">
        <f t="shared" si="54"/>
        <v/>
      </c>
      <c r="L473" t="str">
        <f t="shared" si="55"/>
        <v>Plat11</v>
      </c>
      <c r="M473" s="8" t="str">
        <f t="shared" si="56"/>
        <v>11</v>
      </c>
      <c r="O473"/>
    </row>
    <row r="474" spans="2:24" ht="15" customHeight="1" x14ac:dyDescent="0.25">
      <c r="B474" s="3" t="s">
        <v>1980</v>
      </c>
      <c r="C474" s="1"/>
      <c r="D474" s="1" t="s">
        <v>1037</v>
      </c>
      <c r="E474" s="1" t="s">
        <v>1038</v>
      </c>
      <c r="F474" s="2" t="s">
        <v>1074</v>
      </c>
      <c r="G474" s="1" t="s">
        <v>1979</v>
      </c>
      <c r="H474" s="1" t="s">
        <v>1040</v>
      </c>
      <c r="I474" s="13" t="str">
        <f t="shared" si="52"/>
        <v>2N</v>
      </c>
      <c r="J474" t="str">
        <f t="shared" si="53"/>
        <v/>
      </c>
      <c r="K474" t="str">
        <f t="shared" si="54"/>
        <v xml:space="preserve">1307 </v>
      </c>
      <c r="L474" t="str">
        <f t="shared" si="55"/>
        <v>Plat 1</v>
      </c>
      <c r="M474" s="8" t="str">
        <f t="shared" si="56"/>
        <v xml:space="preserve"> 1</v>
      </c>
      <c r="N474" s="4" t="s">
        <v>3010</v>
      </c>
      <c r="O474" s="15" t="s">
        <v>3011</v>
      </c>
    </row>
    <row r="475" spans="2:24" ht="15" customHeight="1" x14ac:dyDescent="0.25">
      <c r="B475" s="3" t="s">
        <v>1981</v>
      </c>
      <c r="C475" s="1" t="s">
        <v>1982</v>
      </c>
      <c r="D475" s="2" t="s">
        <v>1372</v>
      </c>
      <c r="E475" s="1" t="s">
        <v>1043</v>
      </c>
      <c r="F475" s="2" t="s">
        <v>1044</v>
      </c>
      <c r="G475" s="1" t="s">
        <v>1983</v>
      </c>
      <c r="H475" s="1" t="s">
        <v>1046</v>
      </c>
      <c r="I475" s="13" t="str">
        <f t="shared" si="52"/>
        <v>2W</v>
      </c>
      <c r="J475" t="str">
        <f t="shared" si="53"/>
        <v>1306½</v>
      </c>
      <c r="K475" t="str">
        <f t="shared" si="54"/>
        <v>1308½</v>
      </c>
      <c r="L475" t="str">
        <f t="shared" si="55"/>
        <v>Plat 8</v>
      </c>
      <c r="M475" s="8" t="str">
        <f t="shared" si="56"/>
        <v xml:space="preserve"> 8</v>
      </c>
      <c r="N475" s="4" t="s">
        <v>3012</v>
      </c>
      <c r="O475" s="4" t="s">
        <v>3013</v>
      </c>
      <c r="P475" s="4" t="s">
        <v>1181</v>
      </c>
      <c r="Q475" s="4" t="s">
        <v>3014</v>
      </c>
      <c r="R475" s="4" t="s">
        <v>3015</v>
      </c>
      <c r="S475" s="4" t="s">
        <v>3016</v>
      </c>
      <c r="T475" s="4" t="s">
        <v>3004</v>
      </c>
      <c r="U475" s="4" t="s">
        <v>1161</v>
      </c>
      <c r="V475" s="4" t="s">
        <v>3017</v>
      </c>
      <c r="W475" s="4" t="s">
        <v>3018</v>
      </c>
      <c r="X475" s="4" t="s">
        <v>1044</v>
      </c>
    </row>
    <row r="476" spans="2:24" ht="15" customHeight="1" x14ac:dyDescent="0.25">
      <c r="B476" s="3" t="s">
        <v>1984</v>
      </c>
      <c r="C476" s="1" t="s">
        <v>1979</v>
      </c>
      <c r="D476" s="2" t="s">
        <v>1044</v>
      </c>
      <c r="E476" s="1" t="s">
        <v>1054</v>
      </c>
      <c r="F476" s="2" t="s">
        <v>1372</v>
      </c>
      <c r="G476" s="1" t="s">
        <v>469</v>
      </c>
      <c r="H476" s="1" t="s">
        <v>1046</v>
      </c>
      <c r="I476" s="13" t="str">
        <f t="shared" si="52"/>
        <v>2W</v>
      </c>
      <c r="J476" t="str">
        <f t="shared" si="53"/>
        <v xml:space="preserve">1307 </v>
      </c>
      <c r="K476" t="str">
        <f t="shared" si="54"/>
        <v xml:space="preserve">1309 </v>
      </c>
      <c r="L476" t="str">
        <f t="shared" si="55"/>
        <v>Plat 5</v>
      </c>
      <c r="M476" s="8" t="str">
        <f t="shared" si="56"/>
        <v xml:space="preserve"> 5</v>
      </c>
      <c r="N476" s="4" t="s">
        <v>1372</v>
      </c>
      <c r="O476"/>
    </row>
    <row r="477" spans="2:24" ht="15" customHeight="1" x14ac:dyDescent="0.25">
      <c r="B477" s="3" t="s">
        <v>1985</v>
      </c>
      <c r="C477" s="1" t="s">
        <v>1986</v>
      </c>
      <c r="D477" s="2" t="s">
        <v>1372</v>
      </c>
      <c r="E477" s="1" t="s">
        <v>1156</v>
      </c>
      <c r="F477" s="2" t="s">
        <v>1242</v>
      </c>
      <c r="G477" s="1" t="s">
        <v>469</v>
      </c>
      <c r="H477" s="1" t="s">
        <v>1046</v>
      </c>
      <c r="I477" s="13" t="str">
        <f t="shared" ref="I477:I491" si="57">LEFT(B477,2)</f>
        <v>1Y</v>
      </c>
      <c r="J477" t="str">
        <f t="shared" ref="J477:J491" si="58">LEFT(C477,5)</f>
        <v>1308½</v>
      </c>
      <c r="K477" t="str">
        <f t="shared" ref="K477:K491" si="59">LEFT(G477,5)</f>
        <v xml:space="preserve">1309 </v>
      </c>
      <c r="L477" t="str">
        <f t="shared" ref="L477:L491" si="60">LEFT(E477,6)</f>
        <v>Plat10</v>
      </c>
      <c r="M477" s="8" t="str">
        <f t="shared" ref="M477:M491" si="61">RIGHT(L477,2)</f>
        <v>10</v>
      </c>
      <c r="N477" t="s">
        <v>1044</v>
      </c>
      <c r="O477" t="s">
        <v>1473</v>
      </c>
      <c r="P477" t="s">
        <v>3000</v>
      </c>
      <c r="Q477" t="s">
        <v>3001</v>
      </c>
      <c r="R477" t="s">
        <v>3002</v>
      </c>
      <c r="S477" t="s">
        <v>3003</v>
      </c>
      <c r="T477" t="s">
        <v>1091</v>
      </c>
      <c r="U477" t="s">
        <v>3006</v>
      </c>
      <c r="V477" t="s">
        <v>1242</v>
      </c>
    </row>
    <row r="478" spans="2:24" ht="15" customHeight="1" x14ac:dyDescent="0.25">
      <c r="B478" s="3" t="s">
        <v>1987</v>
      </c>
      <c r="C478" s="1" t="s">
        <v>1988</v>
      </c>
      <c r="D478" s="2" t="s">
        <v>1074</v>
      </c>
      <c r="E478" s="1" t="s">
        <v>1050</v>
      </c>
      <c r="F478" s="1" t="s">
        <v>1051</v>
      </c>
      <c r="G478" s="1"/>
      <c r="H478" s="1" t="s">
        <v>1040</v>
      </c>
      <c r="I478" s="13" t="str">
        <f t="shared" si="57"/>
        <v>2N</v>
      </c>
      <c r="J478" t="str">
        <f t="shared" si="58"/>
        <v xml:space="preserve">1314 </v>
      </c>
      <c r="K478" t="str">
        <f t="shared" si="59"/>
        <v/>
      </c>
      <c r="L478" t="str">
        <f t="shared" si="60"/>
        <v>Plat 1</v>
      </c>
      <c r="M478" s="8" t="str">
        <f t="shared" si="61"/>
        <v xml:space="preserve"> 1</v>
      </c>
      <c r="O478"/>
    </row>
    <row r="479" spans="2:24" ht="15" customHeight="1" x14ac:dyDescent="0.25">
      <c r="B479" s="3" t="s">
        <v>1989</v>
      </c>
      <c r="C479" s="1"/>
      <c r="D479" s="1" t="s">
        <v>1037</v>
      </c>
      <c r="E479" s="1" t="s">
        <v>1061</v>
      </c>
      <c r="F479" s="2" t="s">
        <v>1039</v>
      </c>
      <c r="G479" s="1" t="s">
        <v>1990</v>
      </c>
      <c r="H479" s="1" t="s">
        <v>1040</v>
      </c>
      <c r="I479" s="13" t="str">
        <f t="shared" si="57"/>
        <v>2Y</v>
      </c>
      <c r="J479" t="str">
        <f t="shared" si="58"/>
        <v/>
      </c>
      <c r="K479" t="str">
        <f t="shared" si="59"/>
        <v xml:space="preserve">1315 </v>
      </c>
      <c r="L479" t="str">
        <f t="shared" si="60"/>
        <v>Plat 2</v>
      </c>
      <c r="M479" s="8" t="str">
        <f t="shared" si="61"/>
        <v xml:space="preserve"> 2</v>
      </c>
      <c r="N479" s="4" t="s">
        <v>3010</v>
      </c>
      <c r="O479" s="15" t="s">
        <v>3011</v>
      </c>
    </row>
    <row r="480" spans="2:24" ht="15" customHeight="1" x14ac:dyDescent="0.25">
      <c r="B480" s="3" t="s">
        <v>1991</v>
      </c>
      <c r="C480" s="1" t="s">
        <v>1992</v>
      </c>
      <c r="D480" s="2" t="s">
        <v>1372</v>
      </c>
      <c r="E480" s="1" t="s">
        <v>1043</v>
      </c>
      <c r="F480" s="2" t="s">
        <v>1044</v>
      </c>
      <c r="G480" s="1" t="s">
        <v>1993</v>
      </c>
      <c r="H480" s="1" t="s">
        <v>1046</v>
      </c>
      <c r="I480" s="13" t="str">
        <f t="shared" si="57"/>
        <v>2W</v>
      </c>
      <c r="J480" t="str">
        <f t="shared" si="58"/>
        <v>1316½</v>
      </c>
      <c r="K480" t="str">
        <f t="shared" si="59"/>
        <v>1318½</v>
      </c>
      <c r="L480" t="str">
        <f t="shared" si="60"/>
        <v>Plat 8</v>
      </c>
      <c r="M480" s="8" t="str">
        <f t="shared" si="61"/>
        <v xml:space="preserve"> 8</v>
      </c>
      <c r="N480" s="4" t="s">
        <v>3012</v>
      </c>
      <c r="O480" s="4" t="s">
        <v>3013</v>
      </c>
      <c r="P480" s="4" t="s">
        <v>1181</v>
      </c>
      <c r="Q480" s="4" t="s">
        <v>3014</v>
      </c>
      <c r="R480" s="4" t="s">
        <v>3015</v>
      </c>
      <c r="S480" s="4" t="s">
        <v>3016</v>
      </c>
      <c r="T480" s="4" t="s">
        <v>3004</v>
      </c>
      <c r="U480" s="4" t="s">
        <v>1161</v>
      </c>
      <c r="V480" s="4" t="s">
        <v>3017</v>
      </c>
      <c r="W480" s="4" t="s">
        <v>3018</v>
      </c>
      <c r="X480" s="4" t="s">
        <v>1044</v>
      </c>
    </row>
    <row r="481" spans="2:24" ht="15" customHeight="1" x14ac:dyDescent="0.25">
      <c r="B481" s="3" t="s">
        <v>1994</v>
      </c>
      <c r="C481" s="1" t="s">
        <v>476</v>
      </c>
      <c r="D481" s="2" t="s">
        <v>1044</v>
      </c>
      <c r="E481" s="1" t="s">
        <v>1054</v>
      </c>
      <c r="F481" s="2" t="s">
        <v>1372</v>
      </c>
      <c r="G481" s="1" t="s">
        <v>479</v>
      </c>
      <c r="H481" s="1" t="s">
        <v>1046</v>
      </c>
      <c r="I481" s="13" t="str">
        <f t="shared" si="57"/>
        <v>2W</v>
      </c>
      <c r="J481" t="str">
        <f t="shared" si="58"/>
        <v xml:space="preserve">1317 </v>
      </c>
      <c r="K481" t="str">
        <f t="shared" si="59"/>
        <v xml:space="preserve">1319 </v>
      </c>
      <c r="L481" t="str">
        <f t="shared" si="60"/>
        <v>Plat 5</v>
      </c>
      <c r="M481" s="8" t="str">
        <f t="shared" si="61"/>
        <v xml:space="preserve"> 5</v>
      </c>
      <c r="N481" s="4" t="s">
        <v>1372</v>
      </c>
      <c r="O481"/>
    </row>
    <row r="482" spans="2:24" ht="15" customHeight="1" x14ac:dyDescent="0.25">
      <c r="B482" s="3" t="s">
        <v>1995</v>
      </c>
      <c r="C482" s="1" t="s">
        <v>1996</v>
      </c>
      <c r="D482" s="2" t="s">
        <v>1039</v>
      </c>
      <c r="E482" s="1" t="s">
        <v>1075</v>
      </c>
      <c r="F482" s="1" t="s">
        <v>1051</v>
      </c>
      <c r="G482" s="1"/>
      <c r="H482" s="1" t="s">
        <v>1040</v>
      </c>
      <c r="I482" s="13" t="str">
        <f t="shared" si="57"/>
        <v>2L</v>
      </c>
      <c r="J482" t="str">
        <f t="shared" si="58"/>
        <v xml:space="preserve">1319 </v>
      </c>
      <c r="K482" t="str">
        <f t="shared" si="59"/>
        <v/>
      </c>
      <c r="L482" t="str">
        <f t="shared" si="60"/>
        <v>Plat 2</v>
      </c>
      <c r="M482" s="8" t="str">
        <f t="shared" si="61"/>
        <v xml:space="preserve"> 2</v>
      </c>
      <c r="O482"/>
    </row>
    <row r="483" spans="2:24" ht="15" customHeight="1" x14ac:dyDescent="0.25">
      <c r="B483" s="3" t="s">
        <v>1997</v>
      </c>
      <c r="C483" s="1" t="s">
        <v>479</v>
      </c>
      <c r="D483" s="2" t="s">
        <v>1058</v>
      </c>
      <c r="E483" s="1" t="s">
        <v>1047</v>
      </c>
      <c r="F483" s="2" t="s">
        <v>1372</v>
      </c>
      <c r="G483" s="1" t="s">
        <v>1998</v>
      </c>
      <c r="H483" s="1" t="s">
        <v>1046</v>
      </c>
      <c r="I483" s="13" t="str">
        <f t="shared" si="57"/>
        <v>1K</v>
      </c>
      <c r="J483" t="str">
        <f t="shared" si="58"/>
        <v xml:space="preserve">1319 </v>
      </c>
      <c r="K483" t="str">
        <f t="shared" si="59"/>
        <v>1319½</v>
      </c>
      <c r="L483" t="str">
        <f t="shared" si="60"/>
        <v>Plat 9</v>
      </c>
      <c r="M483" s="8" t="str">
        <f t="shared" si="61"/>
        <v xml:space="preserve"> 9</v>
      </c>
      <c r="N483" s="4" t="s">
        <v>1372</v>
      </c>
      <c r="O483"/>
    </row>
    <row r="484" spans="2:24" ht="15" customHeight="1" x14ac:dyDescent="0.25">
      <c r="B484" s="3" t="s">
        <v>1999</v>
      </c>
      <c r="C484" s="1" t="s">
        <v>2000</v>
      </c>
      <c r="D484" s="2" t="s">
        <v>1372</v>
      </c>
      <c r="E484" s="1" t="s">
        <v>1156</v>
      </c>
      <c r="F484" s="2" t="s">
        <v>1058</v>
      </c>
      <c r="G484" s="1" t="s">
        <v>2001</v>
      </c>
      <c r="H484" s="1" t="s">
        <v>1046</v>
      </c>
      <c r="I484" s="13" t="str">
        <f t="shared" si="57"/>
        <v>2K</v>
      </c>
      <c r="J484" t="str">
        <f t="shared" si="58"/>
        <v>1319½</v>
      </c>
      <c r="K484" t="str">
        <f t="shared" si="59"/>
        <v xml:space="preserve">1320 </v>
      </c>
      <c r="L484" t="str">
        <f t="shared" si="60"/>
        <v>Plat10</v>
      </c>
      <c r="M484" s="8" t="str">
        <f t="shared" si="61"/>
        <v>10</v>
      </c>
      <c r="O484"/>
    </row>
    <row r="485" spans="2:24" ht="15" customHeight="1" x14ac:dyDescent="0.25">
      <c r="B485" s="3" t="s">
        <v>2002</v>
      </c>
      <c r="C485" s="1"/>
      <c r="D485" s="1" t="s">
        <v>1037</v>
      </c>
      <c r="E485" s="1" t="s">
        <v>1038</v>
      </c>
      <c r="F485" s="2" t="s">
        <v>1074</v>
      </c>
      <c r="G485" s="1" t="s">
        <v>2003</v>
      </c>
      <c r="H485" s="1" t="s">
        <v>1040</v>
      </c>
      <c r="I485" s="13" t="str">
        <f t="shared" si="57"/>
        <v>2N</v>
      </c>
      <c r="J485" t="str">
        <f t="shared" si="58"/>
        <v/>
      </c>
      <c r="K485" t="str">
        <f t="shared" si="59"/>
        <v xml:space="preserve">1322 </v>
      </c>
      <c r="L485" t="str">
        <f t="shared" si="60"/>
        <v>Plat 1</v>
      </c>
      <c r="M485" s="8" t="str">
        <f t="shared" si="61"/>
        <v xml:space="preserve"> 1</v>
      </c>
      <c r="N485" s="4" t="s">
        <v>3010</v>
      </c>
      <c r="O485" s="15" t="s">
        <v>3011</v>
      </c>
    </row>
    <row r="486" spans="2:24" ht="15" customHeight="1" x14ac:dyDescent="0.25">
      <c r="B486" s="3" t="s">
        <v>2004</v>
      </c>
      <c r="C486" s="1" t="s">
        <v>2003</v>
      </c>
      <c r="D486" s="2" t="s">
        <v>1185</v>
      </c>
      <c r="E486" s="1" t="s">
        <v>1047</v>
      </c>
      <c r="F486" s="2" t="s">
        <v>1372</v>
      </c>
      <c r="G486" s="1" t="s">
        <v>2005</v>
      </c>
      <c r="H486" s="1" t="s">
        <v>1046</v>
      </c>
      <c r="I486" s="13" t="str">
        <f t="shared" si="57"/>
        <v>1N</v>
      </c>
      <c r="J486" t="str">
        <f t="shared" si="58"/>
        <v xml:space="preserve">1322 </v>
      </c>
      <c r="K486" t="str">
        <f t="shared" si="59"/>
        <v>1322½</v>
      </c>
      <c r="L486" t="str">
        <f t="shared" si="60"/>
        <v>Plat 9</v>
      </c>
      <c r="M486" s="8" t="str">
        <f t="shared" si="61"/>
        <v xml:space="preserve"> 9</v>
      </c>
      <c r="N486" s="4" t="s">
        <v>1372</v>
      </c>
      <c r="O486"/>
    </row>
    <row r="487" spans="2:24" ht="15" customHeight="1" x14ac:dyDescent="0.25">
      <c r="B487" s="3" t="s">
        <v>2006</v>
      </c>
      <c r="C487" s="1" t="s">
        <v>2007</v>
      </c>
      <c r="D487" s="2" t="s">
        <v>1372</v>
      </c>
      <c r="E487" s="1" t="s">
        <v>1156</v>
      </c>
      <c r="F487" s="2" t="s">
        <v>1185</v>
      </c>
      <c r="G487" s="1" t="s">
        <v>2008</v>
      </c>
      <c r="H487" s="1" t="s">
        <v>1046</v>
      </c>
      <c r="I487" s="13" t="str">
        <f t="shared" si="57"/>
        <v>1N</v>
      </c>
      <c r="J487" t="str">
        <f t="shared" si="58"/>
        <v>1324½</v>
      </c>
      <c r="K487" t="str">
        <f t="shared" si="59"/>
        <v xml:space="preserve">1325 </v>
      </c>
      <c r="L487" t="str">
        <f t="shared" si="60"/>
        <v>Plat10</v>
      </c>
      <c r="M487" s="8" t="str">
        <f t="shared" si="61"/>
        <v>10</v>
      </c>
      <c r="N487" t="s">
        <v>1044</v>
      </c>
      <c r="O487" t="s">
        <v>2999</v>
      </c>
      <c r="P487" t="s">
        <v>1473</v>
      </c>
      <c r="Q487" t="s">
        <v>3001</v>
      </c>
      <c r="R487" t="s">
        <v>3003</v>
      </c>
      <c r="S487" t="s">
        <v>1091</v>
      </c>
      <c r="T487" t="s">
        <v>3031</v>
      </c>
      <c r="U487" t="s">
        <v>3046</v>
      </c>
      <c r="V487" t="s">
        <v>3047</v>
      </c>
    </row>
    <row r="488" spans="2:24" ht="15" customHeight="1" x14ac:dyDescent="0.25">
      <c r="B488" s="3" t="s">
        <v>2009</v>
      </c>
      <c r="C488" s="1" t="s">
        <v>2010</v>
      </c>
      <c r="D488" s="2" t="s">
        <v>1372</v>
      </c>
      <c r="E488" s="1" t="s">
        <v>1043</v>
      </c>
      <c r="F488" s="2" t="s">
        <v>1044</v>
      </c>
      <c r="G488" s="1" t="s">
        <v>2011</v>
      </c>
      <c r="H488" s="1" t="s">
        <v>1046</v>
      </c>
      <c r="I488" s="13" t="str">
        <f t="shared" si="57"/>
        <v>2W</v>
      </c>
      <c r="J488" t="str">
        <f t="shared" si="58"/>
        <v>1326½</v>
      </c>
      <c r="K488" t="str">
        <f t="shared" si="59"/>
        <v>1328½</v>
      </c>
      <c r="L488" t="str">
        <f t="shared" si="60"/>
        <v>Plat 8</v>
      </c>
      <c r="M488" s="8" t="str">
        <f t="shared" si="61"/>
        <v xml:space="preserve"> 8</v>
      </c>
      <c r="N488" s="4" t="s">
        <v>3012</v>
      </c>
      <c r="O488" s="4" t="s">
        <v>3013</v>
      </c>
      <c r="P488" s="4" t="s">
        <v>1181</v>
      </c>
      <c r="Q488" s="4" t="s">
        <v>3014</v>
      </c>
      <c r="R488" s="4" t="s">
        <v>3015</v>
      </c>
      <c r="S488" s="4" t="s">
        <v>3016</v>
      </c>
      <c r="T488" s="4" t="s">
        <v>3004</v>
      </c>
      <c r="U488" s="4" t="s">
        <v>1161</v>
      </c>
      <c r="V488" s="4" t="s">
        <v>3017</v>
      </c>
      <c r="W488" s="4" t="s">
        <v>3018</v>
      </c>
      <c r="X488" s="4" t="s">
        <v>1044</v>
      </c>
    </row>
    <row r="489" spans="2:24" ht="15" customHeight="1" x14ac:dyDescent="0.25">
      <c r="B489" s="3" t="s">
        <v>2012</v>
      </c>
      <c r="C489" s="1" t="s">
        <v>2013</v>
      </c>
      <c r="D489" s="2" t="s">
        <v>1074</v>
      </c>
      <c r="E489" s="1" t="s">
        <v>1050</v>
      </c>
      <c r="F489" s="1" t="s">
        <v>1051</v>
      </c>
      <c r="G489" s="1"/>
      <c r="H489" s="1" t="s">
        <v>1040</v>
      </c>
      <c r="I489" s="13" t="str">
        <f t="shared" si="57"/>
        <v>2N</v>
      </c>
      <c r="J489" t="str">
        <f t="shared" si="58"/>
        <v xml:space="preserve">1329 </v>
      </c>
      <c r="K489" t="str">
        <f t="shared" si="59"/>
        <v/>
      </c>
      <c r="L489" t="str">
        <f t="shared" si="60"/>
        <v>Plat 1</v>
      </c>
      <c r="M489" s="8" t="str">
        <f t="shared" si="61"/>
        <v xml:space="preserve"> 1</v>
      </c>
      <c r="O489"/>
    </row>
    <row r="490" spans="2:24" ht="15" customHeight="1" x14ac:dyDescent="0.25">
      <c r="B490" s="3" t="s">
        <v>2014</v>
      </c>
      <c r="C490" s="1" t="s">
        <v>2015</v>
      </c>
      <c r="D490" s="2" t="s">
        <v>1044</v>
      </c>
      <c r="E490" s="1" t="s">
        <v>1054</v>
      </c>
      <c r="F490" s="2" t="s">
        <v>1372</v>
      </c>
      <c r="G490" s="1" t="s">
        <v>2016</v>
      </c>
      <c r="H490" s="1" t="s">
        <v>1046</v>
      </c>
      <c r="I490" s="13" t="str">
        <f t="shared" si="57"/>
        <v>2W</v>
      </c>
      <c r="J490" t="str">
        <f t="shared" si="58"/>
        <v xml:space="preserve">1327 </v>
      </c>
      <c r="K490" t="str">
        <f t="shared" si="59"/>
        <v xml:space="preserve">1329 </v>
      </c>
      <c r="L490" t="str">
        <f t="shared" si="60"/>
        <v>Plat 5</v>
      </c>
      <c r="M490" s="8" t="str">
        <f t="shared" si="61"/>
        <v xml:space="preserve"> 5</v>
      </c>
      <c r="N490" s="4" t="s">
        <v>1372</v>
      </c>
      <c r="O490"/>
    </row>
    <row r="491" spans="2:24" ht="15" customHeight="1" x14ac:dyDescent="0.25">
      <c r="B491" s="3" t="s">
        <v>2018</v>
      </c>
      <c r="C491" s="1"/>
      <c r="D491" s="1" t="s">
        <v>1037</v>
      </c>
      <c r="E491" s="1" t="s">
        <v>1061</v>
      </c>
      <c r="F491" s="2" t="s">
        <v>1039</v>
      </c>
      <c r="G491" s="1" t="s">
        <v>486</v>
      </c>
      <c r="H491" s="1" t="s">
        <v>1040</v>
      </c>
      <c r="I491" s="13" t="str">
        <f t="shared" si="57"/>
        <v>2Y</v>
      </c>
      <c r="J491" t="str">
        <f t="shared" si="58"/>
        <v/>
      </c>
      <c r="K491" t="str">
        <f t="shared" si="59"/>
        <v xml:space="preserve">1330 </v>
      </c>
      <c r="L491" t="str">
        <f t="shared" si="60"/>
        <v>Plat 2</v>
      </c>
      <c r="M491" s="8" t="str">
        <f t="shared" si="61"/>
        <v xml:space="preserve"> 2</v>
      </c>
      <c r="N491" s="4" t="s">
        <v>3010</v>
      </c>
      <c r="O491" s="15" t="s">
        <v>3011</v>
      </c>
    </row>
    <row r="492" spans="2:24" ht="15" customHeight="1" x14ac:dyDescent="0.25">
      <c r="B492" s="3" t="s">
        <v>2017</v>
      </c>
      <c r="C492" s="1"/>
      <c r="D492" s="1" t="s">
        <v>1037</v>
      </c>
      <c r="E492" s="1" t="s">
        <v>2148</v>
      </c>
      <c r="F492" s="2" t="s">
        <v>1254</v>
      </c>
      <c r="G492" s="1" t="s">
        <v>486</v>
      </c>
      <c r="H492" s="1" t="s">
        <v>1046</v>
      </c>
      <c r="I492" s="13" t="str">
        <f t="shared" ref="I492:I550" si="62">LEFT(B492,2)</f>
        <v>2S</v>
      </c>
      <c r="J492" t="str">
        <f t="shared" ref="J492:J550" si="63">LEFT(C492,5)</f>
        <v/>
      </c>
      <c r="K492" t="str">
        <f t="shared" ref="K492:K550" si="64">LEFT(G492,5)</f>
        <v xml:space="preserve">1330 </v>
      </c>
      <c r="L492" t="str">
        <f t="shared" ref="L492:L550" si="65">LEFT(E492,6)</f>
        <v>Plat11</v>
      </c>
      <c r="M492" s="8" t="str">
        <f t="shared" ref="M492:M550" si="66">RIGHT(L492,2)</f>
        <v>11</v>
      </c>
      <c r="N492" t="s">
        <v>2975</v>
      </c>
      <c r="O492" t="s">
        <v>3039</v>
      </c>
      <c r="P492" t="s">
        <v>3041</v>
      </c>
      <c r="Q492" t="s">
        <v>3042</v>
      </c>
      <c r="R492" t="s">
        <v>2978</v>
      </c>
      <c r="S492" t="s">
        <v>1298</v>
      </c>
      <c r="T492" t="s">
        <v>2980</v>
      </c>
      <c r="U492" t="s">
        <v>2982</v>
      </c>
      <c r="V492" t="s">
        <v>1254</v>
      </c>
    </row>
    <row r="493" spans="2:24" ht="15" customHeight="1" x14ac:dyDescent="0.25">
      <c r="B493" s="3" t="s">
        <v>2020</v>
      </c>
      <c r="C493" s="1" t="s">
        <v>2021</v>
      </c>
      <c r="D493" s="2" t="s">
        <v>1039</v>
      </c>
      <c r="E493" s="1" t="s">
        <v>1075</v>
      </c>
      <c r="F493" s="1" t="s">
        <v>1051</v>
      </c>
      <c r="G493" s="1"/>
      <c r="H493" s="1" t="s">
        <v>1040</v>
      </c>
      <c r="I493" s="13" t="str">
        <f t="shared" si="62"/>
        <v>2L</v>
      </c>
      <c r="J493" t="str">
        <f t="shared" si="63"/>
        <v xml:space="preserve">1336 </v>
      </c>
      <c r="K493" t="str">
        <f t="shared" si="64"/>
        <v/>
      </c>
      <c r="L493" t="str">
        <f t="shared" si="65"/>
        <v>Plat 2</v>
      </c>
      <c r="M493" s="8" t="str">
        <f t="shared" si="66"/>
        <v xml:space="preserve"> 2</v>
      </c>
      <c r="O493"/>
    </row>
    <row r="494" spans="2:24" ht="15" customHeight="1" x14ac:dyDescent="0.25">
      <c r="B494" s="3" t="s">
        <v>2022</v>
      </c>
      <c r="C494" s="1" t="s">
        <v>2023</v>
      </c>
      <c r="D494" s="2" t="s">
        <v>1304</v>
      </c>
      <c r="E494" s="1" t="s">
        <v>1047</v>
      </c>
      <c r="F494" s="2" t="s">
        <v>1372</v>
      </c>
      <c r="G494" s="1" t="s">
        <v>2024</v>
      </c>
      <c r="H494" s="1" t="s">
        <v>1046</v>
      </c>
      <c r="I494" s="13" t="str">
        <f t="shared" si="62"/>
        <v>2F</v>
      </c>
      <c r="J494" t="str">
        <f t="shared" si="63"/>
        <v xml:space="preserve">1336 </v>
      </c>
      <c r="K494" t="str">
        <f t="shared" si="64"/>
        <v>1336½</v>
      </c>
      <c r="L494" t="str">
        <f t="shared" si="65"/>
        <v>Plat 9</v>
      </c>
      <c r="M494" s="8" t="str">
        <f t="shared" si="66"/>
        <v xml:space="preserve"> 9</v>
      </c>
      <c r="N494" s="4" t="s">
        <v>1372</v>
      </c>
      <c r="O494"/>
    </row>
    <row r="495" spans="2:24" ht="15" customHeight="1" x14ac:dyDescent="0.25">
      <c r="B495" s="3" t="s">
        <v>2025</v>
      </c>
      <c r="C495" s="1"/>
      <c r="D495" s="1" t="s">
        <v>1037</v>
      </c>
      <c r="E495" s="1" t="s">
        <v>1038</v>
      </c>
      <c r="F495" s="2" t="s">
        <v>1074</v>
      </c>
      <c r="G495" s="1" t="s">
        <v>498</v>
      </c>
      <c r="H495" s="1" t="s">
        <v>1040</v>
      </c>
      <c r="I495" s="13" t="str">
        <f t="shared" si="62"/>
        <v>2N</v>
      </c>
      <c r="J495" t="str">
        <f t="shared" si="63"/>
        <v/>
      </c>
      <c r="K495" t="str">
        <f t="shared" si="64"/>
        <v xml:space="preserve">1337 </v>
      </c>
      <c r="L495" t="str">
        <f t="shared" si="65"/>
        <v>Plat 1</v>
      </c>
      <c r="M495" s="8" t="str">
        <f t="shared" si="66"/>
        <v xml:space="preserve"> 1</v>
      </c>
      <c r="N495" s="4" t="s">
        <v>3010</v>
      </c>
      <c r="O495" s="15" t="s">
        <v>3011</v>
      </c>
    </row>
    <row r="496" spans="2:24" ht="15" customHeight="1" x14ac:dyDescent="0.25">
      <c r="B496" s="3" t="s">
        <v>2026</v>
      </c>
      <c r="C496" s="1" t="s">
        <v>498</v>
      </c>
      <c r="D496" s="2" t="s">
        <v>1254</v>
      </c>
      <c r="E496" s="1" t="s">
        <v>2148</v>
      </c>
      <c r="F496" s="1" t="s">
        <v>1051</v>
      </c>
      <c r="G496" s="1"/>
      <c r="H496" s="1" t="s">
        <v>1046</v>
      </c>
      <c r="I496" s="13" t="str">
        <f t="shared" si="62"/>
        <v>2S</v>
      </c>
      <c r="J496" t="str">
        <f t="shared" si="63"/>
        <v xml:space="preserve">1337 </v>
      </c>
      <c r="K496" t="str">
        <f t="shared" si="64"/>
        <v/>
      </c>
      <c r="L496" t="str">
        <f t="shared" si="65"/>
        <v>Plat11</v>
      </c>
      <c r="M496" s="8" t="str">
        <f t="shared" si="66"/>
        <v>11</v>
      </c>
      <c r="O496"/>
    </row>
    <row r="497" spans="2:24" ht="15" customHeight="1" x14ac:dyDescent="0.25">
      <c r="B497" s="3" t="s">
        <v>2027</v>
      </c>
      <c r="C497" s="1" t="s">
        <v>2028</v>
      </c>
      <c r="D497" s="2" t="s">
        <v>1372</v>
      </c>
      <c r="E497" s="1" t="s">
        <v>1156</v>
      </c>
      <c r="F497" s="2" t="s">
        <v>1066</v>
      </c>
      <c r="G497" s="1" t="s">
        <v>2029</v>
      </c>
      <c r="H497" s="1" t="s">
        <v>1046</v>
      </c>
      <c r="I497" s="13" t="str">
        <f t="shared" si="62"/>
        <v>1P</v>
      </c>
      <c r="J497" t="str">
        <f t="shared" si="63"/>
        <v>1337½</v>
      </c>
      <c r="K497" t="str">
        <f t="shared" si="64"/>
        <v>1338½</v>
      </c>
      <c r="L497" t="str">
        <f t="shared" si="65"/>
        <v>Plat10</v>
      </c>
      <c r="M497" s="8" t="str">
        <f t="shared" si="66"/>
        <v>10</v>
      </c>
      <c r="N497" t="s">
        <v>1473</v>
      </c>
      <c r="O497" t="s">
        <v>1091</v>
      </c>
      <c r="P497" t="s">
        <v>3006</v>
      </c>
      <c r="Q497" t="s">
        <v>1242</v>
      </c>
      <c r="R497" t="s">
        <v>1501</v>
      </c>
      <c r="S497" t="s">
        <v>3052</v>
      </c>
      <c r="T497" t="s">
        <v>1066</v>
      </c>
    </row>
    <row r="498" spans="2:24" ht="15" customHeight="1" x14ac:dyDescent="0.25">
      <c r="B498" s="3" t="s">
        <v>2030</v>
      </c>
      <c r="C498" s="1" t="s">
        <v>2031</v>
      </c>
      <c r="D498" s="2" t="s">
        <v>1372</v>
      </c>
      <c r="E498" s="1" t="s">
        <v>1043</v>
      </c>
      <c r="F498" s="2" t="s">
        <v>1044</v>
      </c>
      <c r="G498" s="1" t="s">
        <v>2029</v>
      </c>
      <c r="H498" s="1" t="s">
        <v>1046</v>
      </c>
      <c r="I498" s="13" t="str">
        <f t="shared" si="62"/>
        <v>2W</v>
      </c>
      <c r="J498" t="str">
        <f t="shared" si="63"/>
        <v>1336½</v>
      </c>
      <c r="K498" t="str">
        <f t="shared" si="64"/>
        <v>1338½</v>
      </c>
      <c r="L498" t="str">
        <f t="shared" si="65"/>
        <v>Plat 8</v>
      </c>
      <c r="M498" s="8" t="str">
        <f t="shared" si="66"/>
        <v xml:space="preserve"> 8</v>
      </c>
      <c r="N498" s="4" t="s">
        <v>3012</v>
      </c>
      <c r="O498" s="4" t="s">
        <v>3013</v>
      </c>
      <c r="P498" s="4" t="s">
        <v>1181</v>
      </c>
      <c r="Q498" s="4" t="s">
        <v>3014</v>
      </c>
      <c r="R498" s="4" t="s">
        <v>3015</v>
      </c>
      <c r="S498" s="4" t="s">
        <v>3016</v>
      </c>
      <c r="T498" s="4" t="s">
        <v>3004</v>
      </c>
      <c r="U498" s="4" t="s">
        <v>1161</v>
      </c>
      <c r="V498" s="4" t="s">
        <v>3017</v>
      </c>
      <c r="W498" s="4" t="s">
        <v>3018</v>
      </c>
      <c r="X498" s="4" t="s">
        <v>1044</v>
      </c>
    </row>
    <row r="499" spans="2:24" ht="15" customHeight="1" x14ac:dyDescent="0.25">
      <c r="B499" s="3" t="s">
        <v>2032</v>
      </c>
      <c r="C499" s="1" t="s">
        <v>498</v>
      </c>
      <c r="D499" s="2" t="s">
        <v>1044</v>
      </c>
      <c r="E499" s="1" t="s">
        <v>1054</v>
      </c>
      <c r="F499" s="2" t="s">
        <v>1372</v>
      </c>
      <c r="G499" s="1" t="s">
        <v>2033</v>
      </c>
      <c r="H499" s="1" t="s">
        <v>1046</v>
      </c>
      <c r="I499" s="13" t="str">
        <f t="shared" si="62"/>
        <v>2W</v>
      </c>
      <c r="J499" t="str">
        <f t="shared" si="63"/>
        <v xml:space="preserve">1337 </v>
      </c>
      <c r="K499" t="str">
        <f t="shared" si="64"/>
        <v xml:space="preserve">1339 </v>
      </c>
      <c r="L499" t="str">
        <f t="shared" si="65"/>
        <v>Plat 5</v>
      </c>
      <c r="M499" s="8" t="str">
        <f t="shared" si="66"/>
        <v xml:space="preserve"> 5</v>
      </c>
      <c r="N499" s="4" t="s">
        <v>1372</v>
      </c>
      <c r="O499"/>
    </row>
    <row r="500" spans="2:24" ht="15" customHeight="1" x14ac:dyDescent="0.25">
      <c r="B500" s="3" t="s">
        <v>2034</v>
      </c>
      <c r="C500" s="1" t="s">
        <v>2033</v>
      </c>
      <c r="D500" s="2" t="s">
        <v>1058</v>
      </c>
      <c r="E500" s="1" t="s">
        <v>1047</v>
      </c>
      <c r="F500" s="2" t="s">
        <v>1372</v>
      </c>
      <c r="G500" s="1" t="s">
        <v>2035</v>
      </c>
      <c r="H500" s="1" t="s">
        <v>1046</v>
      </c>
      <c r="I500" s="13" t="str">
        <f t="shared" si="62"/>
        <v>1K</v>
      </c>
      <c r="J500" t="str">
        <f t="shared" si="63"/>
        <v xml:space="preserve">1339 </v>
      </c>
      <c r="K500" t="str">
        <f t="shared" si="64"/>
        <v>1339½</v>
      </c>
      <c r="L500" t="str">
        <f t="shared" si="65"/>
        <v>Plat 9</v>
      </c>
      <c r="M500" s="8" t="str">
        <f t="shared" si="66"/>
        <v xml:space="preserve"> 9</v>
      </c>
      <c r="N500" s="4" t="s">
        <v>1372</v>
      </c>
      <c r="O500"/>
    </row>
    <row r="501" spans="2:24" ht="15" customHeight="1" x14ac:dyDescent="0.25">
      <c r="B501" s="3" t="s">
        <v>2036</v>
      </c>
      <c r="C501" s="1" t="s">
        <v>2037</v>
      </c>
      <c r="D501" s="2" t="s">
        <v>1372</v>
      </c>
      <c r="E501" s="1" t="s">
        <v>1156</v>
      </c>
      <c r="F501" s="2" t="s">
        <v>1058</v>
      </c>
      <c r="G501" s="1" t="s">
        <v>501</v>
      </c>
      <c r="H501" s="1" t="s">
        <v>1046</v>
      </c>
      <c r="I501" s="13" t="str">
        <f t="shared" si="62"/>
        <v>1K</v>
      </c>
      <c r="J501" t="str">
        <f t="shared" si="63"/>
        <v>1341½</v>
      </c>
      <c r="K501" t="str">
        <f t="shared" si="64"/>
        <v xml:space="preserve">1342 </v>
      </c>
      <c r="L501" t="str">
        <f t="shared" si="65"/>
        <v>Plat10</v>
      </c>
      <c r="M501" s="8" t="str">
        <f t="shared" si="66"/>
        <v>10</v>
      </c>
      <c r="N501" s="4" t="s">
        <v>1044</v>
      </c>
      <c r="O501" s="4" t="s">
        <v>3019</v>
      </c>
      <c r="P501" s="4" t="s">
        <v>3020</v>
      </c>
      <c r="Q501" s="4" t="s">
        <v>3021</v>
      </c>
      <c r="R501" s="4" t="s">
        <v>3022</v>
      </c>
      <c r="S501" s="4" t="s">
        <v>3023</v>
      </c>
      <c r="T501" s="4" t="s">
        <v>3024</v>
      </c>
      <c r="U501" s="4" t="s">
        <v>3025</v>
      </c>
      <c r="V501" s="4" t="s">
        <v>1058</v>
      </c>
    </row>
    <row r="502" spans="2:24" ht="15" customHeight="1" x14ac:dyDescent="0.25">
      <c r="B502" s="3" t="s">
        <v>2038</v>
      </c>
      <c r="C502" s="1" t="s">
        <v>2039</v>
      </c>
      <c r="D502" s="2" t="s">
        <v>1074</v>
      </c>
      <c r="E502" s="1" t="s">
        <v>1050</v>
      </c>
      <c r="F502" s="1" t="s">
        <v>1051</v>
      </c>
      <c r="G502" s="1"/>
      <c r="H502" s="1" t="s">
        <v>1040</v>
      </c>
      <c r="I502" s="13" t="str">
        <f t="shared" si="62"/>
        <v>2N</v>
      </c>
      <c r="J502" t="str">
        <f t="shared" si="63"/>
        <v xml:space="preserve">1344 </v>
      </c>
      <c r="K502" t="str">
        <f t="shared" si="64"/>
        <v/>
      </c>
      <c r="L502" t="str">
        <f t="shared" si="65"/>
        <v>Plat 1</v>
      </c>
      <c r="M502" s="8" t="str">
        <f t="shared" si="66"/>
        <v xml:space="preserve"> 1</v>
      </c>
      <c r="O502"/>
    </row>
    <row r="503" spans="2:24" ht="15" customHeight="1" x14ac:dyDescent="0.25">
      <c r="B503" s="3" t="s">
        <v>2040</v>
      </c>
      <c r="C503" s="1" t="s">
        <v>503</v>
      </c>
      <c r="D503" s="2" t="s">
        <v>1372</v>
      </c>
      <c r="E503" s="1" t="s">
        <v>1156</v>
      </c>
      <c r="F503" s="2" t="s">
        <v>1304</v>
      </c>
      <c r="G503" s="1" t="s">
        <v>505</v>
      </c>
      <c r="H503" s="1" t="s">
        <v>1046</v>
      </c>
      <c r="I503" s="13" t="str">
        <f t="shared" si="62"/>
        <v>2F</v>
      </c>
      <c r="J503" t="str">
        <f t="shared" si="63"/>
        <v>1344½</v>
      </c>
      <c r="K503" t="str">
        <f t="shared" si="64"/>
        <v xml:space="preserve">1345 </v>
      </c>
      <c r="L503" t="str">
        <f t="shared" si="65"/>
        <v>Plat10</v>
      </c>
      <c r="M503" s="8" t="str">
        <f t="shared" si="66"/>
        <v>10</v>
      </c>
      <c r="N503" s="4" t="s">
        <v>3004</v>
      </c>
      <c r="O503" s="4" t="s">
        <v>1044</v>
      </c>
      <c r="P503" s="4" t="s">
        <v>2999</v>
      </c>
      <c r="Q503" s="4" t="s">
        <v>1473</v>
      </c>
      <c r="R503" s="4" t="s">
        <v>3000</v>
      </c>
      <c r="S503" s="4" t="s">
        <v>3001</v>
      </c>
      <c r="T503" s="4" t="s">
        <v>3002</v>
      </c>
      <c r="U503" s="4" t="s">
        <v>3003</v>
      </c>
      <c r="V503" s="4" t="s">
        <v>1091</v>
      </c>
      <c r="W503" s="4" t="s">
        <v>1304</v>
      </c>
    </row>
    <row r="504" spans="2:24" ht="15" customHeight="1" x14ac:dyDescent="0.25">
      <c r="B504" s="3" t="s">
        <v>2041</v>
      </c>
      <c r="C504" s="1"/>
      <c r="D504" s="1" t="s">
        <v>1037</v>
      </c>
      <c r="E504" s="1" t="s">
        <v>1061</v>
      </c>
      <c r="F504" s="2" t="s">
        <v>1039</v>
      </c>
      <c r="G504" s="1" t="s">
        <v>505</v>
      </c>
      <c r="H504" s="1" t="s">
        <v>1040</v>
      </c>
      <c r="I504" s="13" t="str">
        <f t="shared" si="62"/>
        <v>2Y</v>
      </c>
      <c r="J504" t="str">
        <f t="shared" si="63"/>
        <v/>
      </c>
      <c r="K504" t="str">
        <f t="shared" si="64"/>
        <v xml:space="preserve">1345 </v>
      </c>
      <c r="L504" t="str">
        <f t="shared" si="65"/>
        <v>Plat 2</v>
      </c>
      <c r="M504" s="8" t="str">
        <f t="shared" si="66"/>
        <v xml:space="preserve"> 2</v>
      </c>
      <c r="N504" s="4" t="s">
        <v>3010</v>
      </c>
      <c r="O504" s="15" t="s">
        <v>3011</v>
      </c>
    </row>
    <row r="505" spans="2:24" ht="15" customHeight="1" x14ac:dyDescent="0.25">
      <c r="B505" s="3" t="s">
        <v>2042</v>
      </c>
      <c r="C505" s="1" t="s">
        <v>505</v>
      </c>
      <c r="D505" s="2" t="s">
        <v>1066</v>
      </c>
      <c r="E505" s="1" t="s">
        <v>1047</v>
      </c>
      <c r="F505" s="2" t="s">
        <v>1372</v>
      </c>
      <c r="G505" s="1" t="s">
        <v>2275</v>
      </c>
      <c r="H505" s="1" t="s">
        <v>1046</v>
      </c>
      <c r="I505" s="13" t="str">
        <f t="shared" si="62"/>
        <v>1P</v>
      </c>
      <c r="J505" t="str">
        <f t="shared" si="63"/>
        <v xml:space="preserve">1345 </v>
      </c>
      <c r="K505" t="str">
        <f t="shared" si="64"/>
        <v xml:space="preserve">1346 </v>
      </c>
      <c r="L505" t="str">
        <f t="shared" si="65"/>
        <v>Plat 9</v>
      </c>
      <c r="M505" s="8" t="str">
        <f t="shared" si="66"/>
        <v xml:space="preserve"> 9</v>
      </c>
      <c r="N505" s="4" t="s">
        <v>1372</v>
      </c>
      <c r="O505"/>
    </row>
    <row r="506" spans="2:24" ht="15" customHeight="1" x14ac:dyDescent="0.25">
      <c r="B506" s="3" t="s">
        <v>2043</v>
      </c>
      <c r="C506" s="1" t="s">
        <v>2044</v>
      </c>
      <c r="D506" s="2" t="s">
        <v>1372</v>
      </c>
      <c r="E506" s="1" t="s">
        <v>1043</v>
      </c>
      <c r="F506" s="2" t="s">
        <v>1044</v>
      </c>
      <c r="G506" s="1" t="s">
        <v>504</v>
      </c>
      <c r="H506" s="1" t="s">
        <v>1046</v>
      </c>
      <c r="I506" s="13" t="str">
        <f t="shared" si="62"/>
        <v>2W</v>
      </c>
      <c r="J506" t="str">
        <f t="shared" si="63"/>
        <v>1346½</v>
      </c>
      <c r="K506" t="str">
        <f t="shared" si="64"/>
        <v>1348½</v>
      </c>
      <c r="L506" t="str">
        <f t="shared" si="65"/>
        <v>Plat 8</v>
      </c>
      <c r="M506" s="8" t="str">
        <f t="shared" si="66"/>
        <v xml:space="preserve"> 8</v>
      </c>
      <c r="N506" s="4" t="s">
        <v>3012</v>
      </c>
      <c r="O506" s="4" t="s">
        <v>3013</v>
      </c>
      <c r="P506" s="4" t="s">
        <v>1181</v>
      </c>
      <c r="Q506" s="4" t="s">
        <v>3014</v>
      </c>
      <c r="R506" s="4" t="s">
        <v>3015</v>
      </c>
      <c r="S506" s="4" t="s">
        <v>3016</v>
      </c>
      <c r="T506" s="4" t="s">
        <v>3004</v>
      </c>
      <c r="U506" s="4" t="s">
        <v>1161</v>
      </c>
      <c r="V506" s="4" t="s">
        <v>3017</v>
      </c>
      <c r="W506" s="4" t="s">
        <v>3018</v>
      </c>
      <c r="X506" s="4" t="s">
        <v>1044</v>
      </c>
    </row>
    <row r="507" spans="2:24" ht="15" customHeight="1" x14ac:dyDescent="0.25">
      <c r="B507" s="3" t="s">
        <v>2045</v>
      </c>
      <c r="C507" s="1" t="s">
        <v>2046</v>
      </c>
      <c r="D507" s="2" t="s">
        <v>1044</v>
      </c>
      <c r="E507" s="1" t="s">
        <v>1054</v>
      </c>
      <c r="F507" s="2" t="s">
        <v>1372</v>
      </c>
      <c r="G507" s="1" t="s">
        <v>506</v>
      </c>
      <c r="H507" s="1" t="s">
        <v>1046</v>
      </c>
      <c r="I507" s="13" t="str">
        <f t="shared" si="62"/>
        <v>2W</v>
      </c>
      <c r="J507" t="str">
        <f t="shared" si="63"/>
        <v xml:space="preserve">1347 </v>
      </c>
      <c r="K507" t="str">
        <f t="shared" si="64"/>
        <v xml:space="preserve">1349 </v>
      </c>
      <c r="L507" t="str">
        <f t="shared" si="65"/>
        <v>Plat 5</v>
      </c>
      <c r="M507" s="8" t="str">
        <f t="shared" si="66"/>
        <v xml:space="preserve"> 5</v>
      </c>
      <c r="N507" s="4" t="s">
        <v>1372</v>
      </c>
      <c r="O507"/>
    </row>
    <row r="508" spans="2:24" ht="15" customHeight="1" x14ac:dyDescent="0.25">
      <c r="B508" s="3" t="s">
        <v>2047</v>
      </c>
      <c r="C508" s="1" t="s">
        <v>2048</v>
      </c>
      <c r="D508" s="2" t="s">
        <v>1039</v>
      </c>
      <c r="E508" s="1" t="s">
        <v>1075</v>
      </c>
      <c r="F508" s="1" t="s">
        <v>1051</v>
      </c>
      <c r="G508" s="1"/>
      <c r="H508" s="1" t="s">
        <v>1040</v>
      </c>
      <c r="I508" s="13" t="str">
        <f t="shared" si="62"/>
        <v>2L</v>
      </c>
      <c r="J508" t="str">
        <f t="shared" si="63"/>
        <v xml:space="preserve">1349 </v>
      </c>
      <c r="K508" t="str">
        <f t="shared" si="64"/>
        <v/>
      </c>
      <c r="L508" t="str">
        <f t="shared" si="65"/>
        <v>Plat 2</v>
      </c>
      <c r="M508" s="8" t="str">
        <f t="shared" si="66"/>
        <v xml:space="preserve"> 2</v>
      </c>
      <c r="O508"/>
    </row>
    <row r="509" spans="2:24" ht="15" customHeight="1" x14ac:dyDescent="0.25">
      <c r="B509" s="3" t="s">
        <v>2049</v>
      </c>
      <c r="C509" s="1"/>
      <c r="D509" s="1" t="s">
        <v>1037</v>
      </c>
      <c r="E509" s="1" t="s">
        <v>1038</v>
      </c>
      <c r="F509" s="2" t="s">
        <v>1074</v>
      </c>
      <c r="G509" s="1" t="s">
        <v>511</v>
      </c>
      <c r="H509" s="1" t="s">
        <v>1040</v>
      </c>
      <c r="I509" s="13" t="str">
        <f t="shared" si="62"/>
        <v>2N</v>
      </c>
      <c r="J509" t="str">
        <f t="shared" si="63"/>
        <v/>
      </c>
      <c r="K509" t="str">
        <f t="shared" si="64"/>
        <v xml:space="preserve">1352 </v>
      </c>
      <c r="L509" t="str">
        <f t="shared" si="65"/>
        <v>Plat 1</v>
      </c>
      <c r="M509" s="8" t="str">
        <f t="shared" si="66"/>
        <v xml:space="preserve"> 1</v>
      </c>
      <c r="N509" s="4" t="s">
        <v>3010</v>
      </c>
      <c r="O509" s="15" t="s">
        <v>3011</v>
      </c>
    </row>
    <row r="510" spans="2:24" ht="15" customHeight="1" x14ac:dyDescent="0.25">
      <c r="B510" s="3" t="s">
        <v>591</v>
      </c>
      <c r="C510" s="1" t="s">
        <v>511</v>
      </c>
      <c r="D510" s="2" t="s">
        <v>1237</v>
      </c>
      <c r="E510" s="1" t="s">
        <v>1047</v>
      </c>
      <c r="F510" s="2" t="s">
        <v>1372</v>
      </c>
      <c r="G510" s="1" t="s">
        <v>2050</v>
      </c>
      <c r="H510" s="1" t="s">
        <v>1046</v>
      </c>
      <c r="I510" s="13" t="str">
        <f t="shared" si="62"/>
        <v>1F</v>
      </c>
      <c r="J510" t="str">
        <f t="shared" si="63"/>
        <v xml:space="preserve">1352 </v>
      </c>
      <c r="K510" t="str">
        <f t="shared" si="64"/>
        <v>1352½</v>
      </c>
      <c r="L510" t="str">
        <f t="shared" si="65"/>
        <v>Plat 9</v>
      </c>
      <c r="M510" s="8" t="str">
        <f t="shared" si="66"/>
        <v xml:space="preserve"> 9</v>
      </c>
      <c r="N510" s="4" t="s">
        <v>1372</v>
      </c>
      <c r="O510"/>
    </row>
    <row r="511" spans="2:24" ht="15" customHeight="1" x14ac:dyDescent="0.25">
      <c r="B511" s="3" t="s">
        <v>386</v>
      </c>
      <c r="C511" s="1" t="s">
        <v>2051</v>
      </c>
      <c r="D511" s="2" t="s">
        <v>1372</v>
      </c>
      <c r="E511" s="1" t="s">
        <v>1156</v>
      </c>
      <c r="F511" s="2" t="s">
        <v>1237</v>
      </c>
      <c r="G511" s="1" t="s">
        <v>509</v>
      </c>
      <c r="H511" s="1" t="s">
        <v>1046</v>
      </c>
      <c r="I511" s="13" t="str">
        <f t="shared" si="62"/>
        <v>1F</v>
      </c>
      <c r="J511" t="str">
        <f t="shared" si="63"/>
        <v>1354½</v>
      </c>
      <c r="K511" t="str">
        <f t="shared" si="64"/>
        <v xml:space="preserve">1355 </v>
      </c>
      <c r="L511" t="str">
        <f t="shared" si="65"/>
        <v>Plat10</v>
      </c>
      <c r="M511" s="8" t="str">
        <f t="shared" si="66"/>
        <v>10</v>
      </c>
      <c r="N511" t="s">
        <v>1044</v>
      </c>
      <c r="O511" t="s">
        <v>2999</v>
      </c>
      <c r="P511" t="s">
        <v>1473</v>
      </c>
      <c r="Q511" t="s">
        <v>3001</v>
      </c>
      <c r="R511" t="s">
        <v>3043</v>
      </c>
      <c r="S511" t="s">
        <v>3044</v>
      </c>
      <c r="T511" t="s">
        <v>3045</v>
      </c>
      <c r="U511" t="s">
        <v>1237</v>
      </c>
    </row>
    <row r="512" spans="2:24" ht="15" customHeight="1" x14ac:dyDescent="0.25">
      <c r="B512" s="3" t="s">
        <v>2052</v>
      </c>
      <c r="C512" s="1" t="s">
        <v>2053</v>
      </c>
      <c r="D512" s="2" t="s">
        <v>1372</v>
      </c>
      <c r="E512" s="1" t="s">
        <v>1043</v>
      </c>
      <c r="F512" s="2" t="s">
        <v>1044</v>
      </c>
      <c r="G512" s="1" t="s">
        <v>2054</v>
      </c>
      <c r="H512" s="1" t="s">
        <v>1046</v>
      </c>
      <c r="I512" s="13" t="str">
        <f t="shared" si="62"/>
        <v>2W</v>
      </c>
      <c r="J512" t="str">
        <f t="shared" si="63"/>
        <v>1356½</v>
      </c>
      <c r="K512" t="str">
        <f t="shared" si="64"/>
        <v>1358½</v>
      </c>
      <c r="L512" t="str">
        <f t="shared" si="65"/>
        <v>Plat 8</v>
      </c>
      <c r="M512" s="8" t="str">
        <f t="shared" si="66"/>
        <v xml:space="preserve"> 8</v>
      </c>
      <c r="N512" s="4" t="s">
        <v>3012</v>
      </c>
      <c r="O512" s="4" t="s">
        <v>3013</v>
      </c>
      <c r="P512" s="4" t="s">
        <v>1181</v>
      </c>
      <c r="Q512" s="4" t="s">
        <v>3014</v>
      </c>
      <c r="R512" s="4" t="s">
        <v>3015</v>
      </c>
      <c r="S512" s="4" t="s">
        <v>3016</v>
      </c>
      <c r="T512" s="4" t="s">
        <v>3004</v>
      </c>
      <c r="U512" s="4" t="s">
        <v>1161</v>
      </c>
      <c r="V512" s="4" t="s">
        <v>3017</v>
      </c>
      <c r="W512" s="4" t="s">
        <v>3018</v>
      </c>
      <c r="X512" s="4" t="s">
        <v>1044</v>
      </c>
    </row>
    <row r="513" spans="2:24" ht="15" customHeight="1" x14ac:dyDescent="0.25">
      <c r="B513" s="3" t="s">
        <v>2055</v>
      </c>
      <c r="C513" s="1" t="s">
        <v>2056</v>
      </c>
      <c r="D513" s="2" t="s">
        <v>1074</v>
      </c>
      <c r="E513" s="1" t="s">
        <v>1050</v>
      </c>
      <c r="F513" s="1" t="s">
        <v>1051</v>
      </c>
      <c r="G513" s="1"/>
      <c r="H513" s="1" t="s">
        <v>1040</v>
      </c>
      <c r="I513" s="13" t="str">
        <f t="shared" si="62"/>
        <v>2N</v>
      </c>
      <c r="J513" t="str">
        <f t="shared" si="63"/>
        <v xml:space="preserve">1359 </v>
      </c>
      <c r="K513" t="str">
        <f t="shared" si="64"/>
        <v/>
      </c>
      <c r="L513" t="str">
        <f t="shared" si="65"/>
        <v>Plat 1</v>
      </c>
      <c r="M513" s="8" t="str">
        <f t="shared" si="66"/>
        <v xml:space="preserve"> 1</v>
      </c>
      <c r="O513"/>
    </row>
    <row r="514" spans="2:24" ht="15" customHeight="1" x14ac:dyDescent="0.25">
      <c r="B514" s="3" t="s">
        <v>2057</v>
      </c>
      <c r="C514" s="1" t="s">
        <v>2058</v>
      </c>
      <c r="D514" s="2" t="s">
        <v>1044</v>
      </c>
      <c r="E514" s="1" t="s">
        <v>1054</v>
      </c>
      <c r="F514" s="2" t="s">
        <v>1372</v>
      </c>
      <c r="G514" s="1" t="s">
        <v>517</v>
      </c>
      <c r="H514" s="1" t="s">
        <v>1046</v>
      </c>
      <c r="I514" s="13" t="str">
        <f t="shared" si="62"/>
        <v>2W</v>
      </c>
      <c r="J514" t="str">
        <f t="shared" si="63"/>
        <v xml:space="preserve">1357 </v>
      </c>
      <c r="K514" t="str">
        <f t="shared" si="64"/>
        <v xml:space="preserve">1359 </v>
      </c>
      <c r="L514" t="str">
        <f t="shared" si="65"/>
        <v>Plat 5</v>
      </c>
      <c r="M514" s="8" t="str">
        <f t="shared" si="66"/>
        <v xml:space="preserve"> 5</v>
      </c>
      <c r="N514" s="4" t="s">
        <v>1372</v>
      </c>
      <c r="O514"/>
    </row>
    <row r="515" spans="2:24" ht="15" customHeight="1" x14ac:dyDescent="0.25">
      <c r="B515" s="3" t="s">
        <v>2059</v>
      </c>
      <c r="C515" s="1"/>
      <c r="D515" s="1" t="s">
        <v>1037</v>
      </c>
      <c r="E515" s="1" t="s">
        <v>2148</v>
      </c>
      <c r="F515" s="2" t="s">
        <v>1254</v>
      </c>
      <c r="G515" s="1" t="s">
        <v>2060</v>
      </c>
      <c r="H515" s="1" t="s">
        <v>1046</v>
      </c>
      <c r="I515" s="13" t="str">
        <f t="shared" si="62"/>
        <v>2S</v>
      </c>
      <c r="J515" t="str">
        <f t="shared" si="63"/>
        <v/>
      </c>
      <c r="K515" t="str">
        <f t="shared" si="64"/>
        <v xml:space="preserve">1400 </v>
      </c>
      <c r="L515" t="str">
        <f t="shared" si="65"/>
        <v>Plat11</v>
      </c>
      <c r="M515" s="8" t="str">
        <f t="shared" si="66"/>
        <v>11</v>
      </c>
      <c r="N515" t="s">
        <v>2975</v>
      </c>
      <c r="O515" t="s">
        <v>3039</v>
      </c>
      <c r="P515" t="s">
        <v>3040</v>
      </c>
      <c r="Q515" t="s">
        <v>2978</v>
      </c>
      <c r="R515" t="s">
        <v>1298</v>
      </c>
      <c r="S515" t="s">
        <v>2979</v>
      </c>
      <c r="T515" t="s">
        <v>2980</v>
      </c>
      <c r="U515" t="s">
        <v>2981</v>
      </c>
      <c r="V515" t="s">
        <v>2982</v>
      </c>
      <c r="W515" t="s">
        <v>1254</v>
      </c>
    </row>
    <row r="516" spans="2:24" ht="15" customHeight="1" x14ac:dyDescent="0.25">
      <c r="B516" s="3" t="s">
        <v>2061</v>
      </c>
      <c r="C516" s="1" t="s">
        <v>2062</v>
      </c>
      <c r="D516" s="2" t="s">
        <v>1058</v>
      </c>
      <c r="E516" s="1" t="s">
        <v>1047</v>
      </c>
      <c r="F516" s="2" t="s">
        <v>1372</v>
      </c>
      <c r="G516" s="1" t="s">
        <v>2063</v>
      </c>
      <c r="H516" s="1" t="s">
        <v>1046</v>
      </c>
      <c r="I516" s="13" t="str">
        <f t="shared" si="62"/>
        <v>2K</v>
      </c>
      <c r="J516" t="str">
        <f t="shared" si="63"/>
        <v xml:space="preserve">1401 </v>
      </c>
      <c r="K516" t="str">
        <f t="shared" si="64"/>
        <v>1401½</v>
      </c>
      <c r="L516" t="str">
        <f t="shared" si="65"/>
        <v>Plat 9</v>
      </c>
      <c r="M516" s="8" t="str">
        <f t="shared" si="66"/>
        <v xml:space="preserve"> 9</v>
      </c>
      <c r="N516" s="4" t="s">
        <v>1372</v>
      </c>
      <c r="O516"/>
    </row>
    <row r="517" spans="2:24" ht="15" customHeight="1" x14ac:dyDescent="0.25">
      <c r="B517" s="3" t="s">
        <v>2064</v>
      </c>
      <c r="C517" s="1" t="s">
        <v>2065</v>
      </c>
      <c r="D517" s="2" t="s">
        <v>1372</v>
      </c>
      <c r="E517" s="1" t="s">
        <v>1156</v>
      </c>
      <c r="F517" s="2" t="s">
        <v>1058</v>
      </c>
      <c r="G517" s="1" t="s">
        <v>515</v>
      </c>
      <c r="H517" s="1" t="s">
        <v>1046</v>
      </c>
      <c r="I517" s="13" t="str">
        <f t="shared" si="62"/>
        <v>1K</v>
      </c>
      <c r="J517" t="str">
        <f t="shared" si="63"/>
        <v>1401½</v>
      </c>
      <c r="K517" t="str">
        <f t="shared" si="64"/>
        <v xml:space="preserve">1402 </v>
      </c>
      <c r="L517" t="str">
        <f t="shared" si="65"/>
        <v>Plat10</v>
      </c>
      <c r="M517" s="8" t="str">
        <f t="shared" si="66"/>
        <v>10</v>
      </c>
      <c r="N517" s="4" t="s">
        <v>1044</v>
      </c>
      <c r="O517" s="4" t="s">
        <v>3019</v>
      </c>
      <c r="P517" s="4" t="s">
        <v>3020</v>
      </c>
      <c r="Q517" s="4" t="s">
        <v>3021</v>
      </c>
      <c r="R517" s="4" t="s">
        <v>3022</v>
      </c>
      <c r="S517" s="4" t="s">
        <v>3023</v>
      </c>
      <c r="T517" s="4" t="s">
        <v>3024</v>
      </c>
      <c r="U517" s="4" t="s">
        <v>3025</v>
      </c>
      <c r="V517" s="4" t="s">
        <v>1058</v>
      </c>
    </row>
    <row r="518" spans="2:24" ht="15" customHeight="1" x14ac:dyDescent="0.25">
      <c r="B518" s="3" t="s">
        <v>2066</v>
      </c>
      <c r="C518" s="1"/>
      <c r="D518" s="1" t="s">
        <v>1037</v>
      </c>
      <c r="E518" s="1" t="s">
        <v>1061</v>
      </c>
      <c r="F518" s="2" t="s">
        <v>1039</v>
      </c>
      <c r="G518" s="1" t="s">
        <v>515</v>
      </c>
      <c r="H518" s="1" t="s">
        <v>1040</v>
      </c>
      <c r="I518" s="13" t="str">
        <f t="shared" si="62"/>
        <v>2Y</v>
      </c>
      <c r="J518" t="str">
        <f t="shared" si="63"/>
        <v/>
      </c>
      <c r="K518" t="str">
        <f t="shared" si="64"/>
        <v xml:space="preserve">1402 </v>
      </c>
      <c r="L518" t="str">
        <f t="shared" si="65"/>
        <v>Plat 2</v>
      </c>
      <c r="M518" s="8" t="str">
        <f t="shared" si="66"/>
        <v xml:space="preserve"> 2</v>
      </c>
      <c r="N518" s="4" t="s">
        <v>3010</v>
      </c>
      <c r="O518" s="15" t="s">
        <v>3011</v>
      </c>
    </row>
    <row r="519" spans="2:24" ht="15" customHeight="1" x14ac:dyDescent="0.25">
      <c r="B519" s="3" t="s">
        <v>2067</v>
      </c>
      <c r="C519" s="1" t="s">
        <v>2068</v>
      </c>
      <c r="D519" s="2" t="s">
        <v>1039</v>
      </c>
      <c r="E519" s="1" t="s">
        <v>1075</v>
      </c>
      <c r="F519" s="1" t="s">
        <v>1051</v>
      </c>
      <c r="G519" s="1"/>
      <c r="H519" s="1" t="s">
        <v>1040</v>
      </c>
      <c r="I519" s="13" t="str">
        <f t="shared" si="62"/>
        <v>2L</v>
      </c>
      <c r="J519" t="str">
        <f t="shared" si="63"/>
        <v xml:space="preserve">1405 </v>
      </c>
      <c r="K519" t="str">
        <f t="shared" si="64"/>
        <v/>
      </c>
      <c r="L519" t="str">
        <f t="shared" si="65"/>
        <v>Plat 2</v>
      </c>
      <c r="M519" s="8" t="str">
        <f t="shared" si="66"/>
        <v xml:space="preserve"> 2</v>
      </c>
      <c r="O519"/>
    </row>
    <row r="520" spans="2:24" ht="15" customHeight="1" x14ac:dyDescent="0.25">
      <c r="B520" s="3" t="s">
        <v>2069</v>
      </c>
      <c r="C520" s="1" t="s">
        <v>520</v>
      </c>
      <c r="D520" s="2" t="s">
        <v>1242</v>
      </c>
      <c r="E520" s="1" t="s">
        <v>1047</v>
      </c>
      <c r="F520" s="2" t="s">
        <v>1372</v>
      </c>
      <c r="G520" s="1" t="s">
        <v>2070</v>
      </c>
      <c r="H520" s="1" t="s">
        <v>1046</v>
      </c>
      <c r="I520" s="13" t="str">
        <f t="shared" si="62"/>
        <v>1Y</v>
      </c>
      <c r="J520" t="str">
        <f t="shared" si="63"/>
        <v xml:space="preserve">1405 </v>
      </c>
      <c r="K520" t="str">
        <f t="shared" si="64"/>
        <v>1405½</v>
      </c>
      <c r="L520" t="str">
        <f t="shared" si="65"/>
        <v>Plat 9</v>
      </c>
      <c r="M520" s="8" t="str">
        <f t="shared" si="66"/>
        <v xml:space="preserve"> 9</v>
      </c>
      <c r="N520" s="4" t="s">
        <v>1372</v>
      </c>
      <c r="O520"/>
    </row>
    <row r="521" spans="2:24" ht="15" customHeight="1" x14ac:dyDescent="0.25">
      <c r="B521" s="3" t="s">
        <v>2071</v>
      </c>
      <c r="C521" s="1"/>
      <c r="D521" s="1" t="s">
        <v>1037</v>
      </c>
      <c r="E521" s="1" t="s">
        <v>1038</v>
      </c>
      <c r="F521" s="2" t="s">
        <v>1074</v>
      </c>
      <c r="G521" s="1" t="s">
        <v>2072</v>
      </c>
      <c r="H521" s="1" t="s">
        <v>1040</v>
      </c>
      <c r="I521" s="13" t="str">
        <f t="shared" si="62"/>
        <v>2N</v>
      </c>
      <c r="J521" t="str">
        <f t="shared" si="63"/>
        <v/>
      </c>
      <c r="K521" t="str">
        <f t="shared" si="64"/>
        <v xml:space="preserve">1407 </v>
      </c>
      <c r="L521" t="str">
        <f t="shared" si="65"/>
        <v>Plat 1</v>
      </c>
      <c r="M521" s="8" t="str">
        <f t="shared" si="66"/>
        <v xml:space="preserve"> 1</v>
      </c>
      <c r="N521" s="4" t="s">
        <v>3010</v>
      </c>
      <c r="O521" s="15" t="s">
        <v>3011</v>
      </c>
    </row>
    <row r="522" spans="2:24" ht="15" customHeight="1" x14ac:dyDescent="0.25">
      <c r="B522" s="3" t="s">
        <v>2073</v>
      </c>
      <c r="C522" s="1" t="s">
        <v>2072</v>
      </c>
      <c r="D522" s="2" t="s">
        <v>1254</v>
      </c>
      <c r="E522" s="1" t="s">
        <v>2148</v>
      </c>
      <c r="F522" s="1" t="s">
        <v>1051</v>
      </c>
      <c r="G522" s="1"/>
      <c r="H522" s="1" t="s">
        <v>1046</v>
      </c>
      <c r="I522" s="13" t="str">
        <f t="shared" si="62"/>
        <v>2S</v>
      </c>
      <c r="J522" t="str">
        <f t="shared" si="63"/>
        <v xml:space="preserve">1407 </v>
      </c>
      <c r="K522" t="str">
        <f t="shared" si="64"/>
        <v/>
      </c>
      <c r="L522" t="str">
        <f t="shared" si="65"/>
        <v>Plat11</v>
      </c>
      <c r="M522" s="8" t="str">
        <f t="shared" si="66"/>
        <v>11</v>
      </c>
      <c r="O522"/>
    </row>
    <row r="523" spans="2:24" ht="15" customHeight="1" x14ac:dyDescent="0.25">
      <c r="B523" s="3" t="s">
        <v>1195</v>
      </c>
      <c r="C523" s="1" t="s">
        <v>2074</v>
      </c>
      <c r="D523" s="2" t="s">
        <v>1372</v>
      </c>
      <c r="E523" s="1" t="s">
        <v>1043</v>
      </c>
      <c r="F523" s="2" t="s">
        <v>1044</v>
      </c>
      <c r="G523" s="1" t="s">
        <v>2075</v>
      </c>
      <c r="H523" s="1" t="s">
        <v>1046</v>
      </c>
      <c r="I523" s="13" t="str">
        <f t="shared" si="62"/>
        <v>2W</v>
      </c>
      <c r="J523" t="str">
        <f t="shared" si="63"/>
        <v>1406½</v>
      </c>
      <c r="K523" t="str">
        <f t="shared" si="64"/>
        <v>1408½</v>
      </c>
      <c r="L523" t="str">
        <f t="shared" si="65"/>
        <v>Plat 8</v>
      </c>
      <c r="M523" s="8" t="str">
        <f t="shared" si="66"/>
        <v xml:space="preserve"> 8</v>
      </c>
      <c r="N523" s="4" t="s">
        <v>3012</v>
      </c>
      <c r="O523" s="4" t="s">
        <v>3013</v>
      </c>
      <c r="P523" s="4" t="s">
        <v>1181</v>
      </c>
      <c r="Q523" s="4" t="s">
        <v>3014</v>
      </c>
      <c r="R523" s="4" t="s">
        <v>3015</v>
      </c>
      <c r="S523" s="4" t="s">
        <v>3016</v>
      </c>
      <c r="T523" s="4" t="s">
        <v>3004</v>
      </c>
      <c r="U523" s="4" t="s">
        <v>1161</v>
      </c>
      <c r="V523" s="4" t="s">
        <v>3017</v>
      </c>
      <c r="W523" s="4" t="s">
        <v>3018</v>
      </c>
      <c r="X523" s="4" t="s">
        <v>1044</v>
      </c>
    </row>
    <row r="524" spans="2:24" ht="15" customHeight="1" x14ac:dyDescent="0.25">
      <c r="B524" s="3" t="s">
        <v>2076</v>
      </c>
      <c r="C524" s="1" t="s">
        <v>2077</v>
      </c>
      <c r="D524" s="2" t="s">
        <v>1372</v>
      </c>
      <c r="E524" s="1" t="s">
        <v>1156</v>
      </c>
      <c r="F524" s="2" t="s">
        <v>1242</v>
      </c>
      <c r="G524" s="1" t="s">
        <v>521</v>
      </c>
      <c r="H524" s="1" t="s">
        <v>1046</v>
      </c>
      <c r="I524" s="13" t="str">
        <f t="shared" si="62"/>
        <v>1Y</v>
      </c>
      <c r="J524" t="str">
        <f t="shared" si="63"/>
        <v>1408½</v>
      </c>
      <c r="K524" t="str">
        <f t="shared" si="64"/>
        <v xml:space="preserve">1409 </v>
      </c>
      <c r="L524" t="str">
        <f t="shared" si="65"/>
        <v>Plat10</v>
      </c>
      <c r="M524" s="8" t="str">
        <f t="shared" si="66"/>
        <v>10</v>
      </c>
      <c r="N524" t="s">
        <v>1044</v>
      </c>
      <c r="O524" t="s">
        <v>1473</v>
      </c>
      <c r="P524" t="s">
        <v>3000</v>
      </c>
      <c r="Q524" t="s">
        <v>3001</v>
      </c>
      <c r="R524" t="s">
        <v>3002</v>
      </c>
      <c r="S524" t="s">
        <v>3003</v>
      </c>
      <c r="T524" t="s">
        <v>1091</v>
      </c>
      <c r="U524" t="s">
        <v>3006</v>
      </c>
      <c r="V524" t="s">
        <v>1242</v>
      </c>
    </row>
    <row r="525" spans="2:24" ht="15" customHeight="1" x14ac:dyDescent="0.25">
      <c r="B525" s="3" t="s">
        <v>2078</v>
      </c>
      <c r="C525" s="1" t="s">
        <v>2072</v>
      </c>
      <c r="D525" s="2" t="s">
        <v>1044</v>
      </c>
      <c r="E525" s="1" t="s">
        <v>1054</v>
      </c>
      <c r="F525" s="2" t="s">
        <v>1372</v>
      </c>
      <c r="G525" s="1" t="s">
        <v>521</v>
      </c>
      <c r="H525" s="1" t="s">
        <v>1046</v>
      </c>
      <c r="I525" s="13" t="str">
        <f t="shared" si="62"/>
        <v>2W</v>
      </c>
      <c r="J525" t="str">
        <f t="shared" si="63"/>
        <v xml:space="preserve">1407 </v>
      </c>
      <c r="K525" t="str">
        <f t="shared" si="64"/>
        <v xml:space="preserve">1409 </v>
      </c>
      <c r="L525" t="str">
        <f t="shared" si="65"/>
        <v>Plat 5</v>
      </c>
      <c r="M525" s="8" t="str">
        <f t="shared" si="66"/>
        <v xml:space="preserve"> 5</v>
      </c>
      <c r="N525" s="4" t="s">
        <v>1372</v>
      </c>
      <c r="O525"/>
    </row>
    <row r="526" spans="2:24" ht="15" customHeight="1" x14ac:dyDescent="0.25">
      <c r="B526" s="3" t="s">
        <v>2079</v>
      </c>
      <c r="C526" s="1" t="s">
        <v>2080</v>
      </c>
      <c r="D526" s="2" t="s">
        <v>1074</v>
      </c>
      <c r="E526" s="1" t="s">
        <v>1050</v>
      </c>
      <c r="F526" s="1" t="s">
        <v>1051</v>
      </c>
      <c r="G526" s="1"/>
      <c r="H526" s="1" t="s">
        <v>1040</v>
      </c>
      <c r="I526" s="13" t="str">
        <f t="shared" si="62"/>
        <v>2N</v>
      </c>
      <c r="J526" t="str">
        <f t="shared" si="63"/>
        <v xml:space="preserve">1414 </v>
      </c>
      <c r="K526" t="str">
        <f t="shared" si="64"/>
        <v/>
      </c>
      <c r="L526" t="str">
        <f t="shared" si="65"/>
        <v>Plat 1</v>
      </c>
      <c r="M526" s="8" t="str">
        <f t="shared" si="66"/>
        <v xml:space="preserve"> 1</v>
      </c>
      <c r="O526"/>
    </row>
    <row r="527" spans="2:24" ht="15" customHeight="1" x14ac:dyDescent="0.25">
      <c r="B527" s="3" t="s">
        <v>2081</v>
      </c>
      <c r="C527" s="1"/>
      <c r="D527" s="1" t="s">
        <v>1037</v>
      </c>
      <c r="E527" s="1" t="s">
        <v>1061</v>
      </c>
      <c r="F527" s="2" t="s">
        <v>1039</v>
      </c>
      <c r="G527" s="1" t="s">
        <v>2082</v>
      </c>
      <c r="H527" s="1" t="s">
        <v>1040</v>
      </c>
      <c r="I527" s="13" t="str">
        <f t="shared" si="62"/>
        <v>2Y</v>
      </c>
      <c r="J527" t="str">
        <f t="shared" si="63"/>
        <v/>
      </c>
      <c r="K527" t="str">
        <f t="shared" si="64"/>
        <v xml:space="preserve">1415 </v>
      </c>
      <c r="L527" t="str">
        <f t="shared" si="65"/>
        <v>Plat 2</v>
      </c>
      <c r="M527" s="8" t="str">
        <f t="shared" si="66"/>
        <v xml:space="preserve"> 2</v>
      </c>
      <c r="N527" s="4" t="s">
        <v>3010</v>
      </c>
      <c r="O527" s="15" t="s">
        <v>3011</v>
      </c>
    </row>
    <row r="528" spans="2:24" ht="15" customHeight="1" x14ac:dyDescent="0.25">
      <c r="B528" s="3" t="s">
        <v>1222</v>
      </c>
      <c r="C528" s="1" t="s">
        <v>2083</v>
      </c>
      <c r="D528" s="2" t="s">
        <v>1372</v>
      </c>
      <c r="E528" s="1" t="s">
        <v>1043</v>
      </c>
      <c r="F528" s="2" t="s">
        <v>1044</v>
      </c>
      <c r="G528" s="1" t="s">
        <v>2084</v>
      </c>
      <c r="H528" s="1" t="s">
        <v>1046</v>
      </c>
      <c r="I528" s="13" t="str">
        <f t="shared" si="62"/>
        <v>2W</v>
      </c>
      <c r="J528" t="str">
        <f t="shared" si="63"/>
        <v>1416½</v>
      </c>
      <c r="K528" t="str">
        <f t="shared" si="64"/>
        <v>1418½</v>
      </c>
      <c r="L528" t="str">
        <f t="shared" si="65"/>
        <v>Plat 8</v>
      </c>
      <c r="M528" s="8" t="str">
        <f t="shared" si="66"/>
        <v xml:space="preserve"> 8</v>
      </c>
      <c r="N528" s="4" t="s">
        <v>3012</v>
      </c>
      <c r="O528" s="4" t="s">
        <v>3013</v>
      </c>
      <c r="P528" s="4" t="s">
        <v>1181</v>
      </c>
      <c r="Q528" s="4" t="s">
        <v>3014</v>
      </c>
      <c r="R528" s="4" t="s">
        <v>3015</v>
      </c>
      <c r="S528" s="4" t="s">
        <v>3016</v>
      </c>
      <c r="T528" s="4" t="s">
        <v>3004</v>
      </c>
      <c r="U528" s="4" t="s">
        <v>1161</v>
      </c>
      <c r="V528" s="4" t="s">
        <v>3017</v>
      </c>
      <c r="W528" s="4" t="s">
        <v>3018</v>
      </c>
      <c r="X528" s="4" t="s">
        <v>1044</v>
      </c>
    </row>
    <row r="529" spans="2:24" ht="15" customHeight="1" x14ac:dyDescent="0.25">
      <c r="B529" s="3" t="s">
        <v>2085</v>
      </c>
      <c r="C529" s="1" t="s">
        <v>2086</v>
      </c>
      <c r="D529" s="2" t="s">
        <v>1039</v>
      </c>
      <c r="E529" s="1" t="s">
        <v>1075</v>
      </c>
      <c r="F529" s="1" t="s">
        <v>1051</v>
      </c>
      <c r="G529" s="1"/>
      <c r="H529" s="1" t="s">
        <v>1040</v>
      </c>
      <c r="I529" s="13" t="str">
        <f t="shared" si="62"/>
        <v>2L</v>
      </c>
      <c r="J529" t="str">
        <f t="shared" si="63"/>
        <v xml:space="preserve">1419 </v>
      </c>
      <c r="K529" t="str">
        <f t="shared" si="64"/>
        <v/>
      </c>
      <c r="L529" t="str">
        <f t="shared" si="65"/>
        <v>Plat 2</v>
      </c>
      <c r="M529" s="8" t="str">
        <f t="shared" si="66"/>
        <v xml:space="preserve"> 2</v>
      </c>
      <c r="O529"/>
    </row>
    <row r="530" spans="2:24" ht="15" customHeight="1" x14ac:dyDescent="0.25">
      <c r="B530" s="3" t="s">
        <v>2087</v>
      </c>
      <c r="C530" s="1" t="s">
        <v>529</v>
      </c>
      <c r="D530" s="2" t="s">
        <v>1044</v>
      </c>
      <c r="E530" s="1" t="s">
        <v>1054</v>
      </c>
      <c r="F530" s="2" t="s">
        <v>1372</v>
      </c>
      <c r="G530" s="1" t="s">
        <v>532</v>
      </c>
      <c r="H530" s="1" t="s">
        <v>1046</v>
      </c>
      <c r="I530" s="13" t="str">
        <f t="shared" si="62"/>
        <v>2W</v>
      </c>
      <c r="J530" t="str">
        <f t="shared" si="63"/>
        <v xml:space="preserve">1417 </v>
      </c>
      <c r="K530" t="str">
        <f t="shared" si="64"/>
        <v xml:space="preserve">1419 </v>
      </c>
      <c r="L530" t="str">
        <f t="shared" si="65"/>
        <v>Plat 5</v>
      </c>
      <c r="M530" s="8" t="str">
        <f t="shared" si="66"/>
        <v xml:space="preserve"> 5</v>
      </c>
      <c r="N530" s="4" t="s">
        <v>1372</v>
      </c>
      <c r="O530"/>
    </row>
    <row r="531" spans="2:24" ht="15" customHeight="1" x14ac:dyDescent="0.25">
      <c r="B531" s="3" t="s">
        <v>2088</v>
      </c>
      <c r="C531" s="1" t="s">
        <v>532</v>
      </c>
      <c r="D531" s="2" t="s">
        <v>1058</v>
      </c>
      <c r="E531" s="1" t="s">
        <v>1047</v>
      </c>
      <c r="F531" s="2" t="s">
        <v>1372</v>
      </c>
      <c r="G531" s="1" t="s">
        <v>2089</v>
      </c>
      <c r="H531" s="1" t="s">
        <v>1046</v>
      </c>
      <c r="I531" s="13" t="str">
        <f t="shared" si="62"/>
        <v>1K</v>
      </c>
      <c r="J531" t="str">
        <f t="shared" si="63"/>
        <v xml:space="preserve">1419 </v>
      </c>
      <c r="K531" t="str">
        <f t="shared" si="64"/>
        <v>1419½</v>
      </c>
      <c r="L531" t="str">
        <f t="shared" si="65"/>
        <v>Plat 9</v>
      </c>
      <c r="M531" s="8" t="str">
        <f t="shared" si="66"/>
        <v xml:space="preserve"> 9</v>
      </c>
      <c r="N531" s="4" t="s">
        <v>1372</v>
      </c>
      <c r="O531"/>
    </row>
    <row r="532" spans="2:24" ht="15" customHeight="1" x14ac:dyDescent="0.25">
      <c r="B532" s="3" t="s">
        <v>2090</v>
      </c>
      <c r="C532" s="1" t="s">
        <v>2091</v>
      </c>
      <c r="D532" s="2" t="s">
        <v>1372</v>
      </c>
      <c r="E532" s="1" t="s">
        <v>1156</v>
      </c>
      <c r="F532" s="2" t="s">
        <v>1058</v>
      </c>
      <c r="G532" s="1" t="s">
        <v>2092</v>
      </c>
      <c r="H532" s="1" t="s">
        <v>1046</v>
      </c>
      <c r="I532" s="13" t="str">
        <f t="shared" si="62"/>
        <v>2K</v>
      </c>
      <c r="J532" t="str">
        <f t="shared" si="63"/>
        <v>1419½</v>
      </c>
      <c r="K532" t="str">
        <f t="shared" si="64"/>
        <v xml:space="preserve">1420 </v>
      </c>
      <c r="L532" t="str">
        <f t="shared" si="65"/>
        <v>Plat10</v>
      </c>
      <c r="M532" s="8" t="str">
        <f t="shared" si="66"/>
        <v>10</v>
      </c>
      <c r="O532"/>
    </row>
    <row r="533" spans="2:24" ht="15" customHeight="1" x14ac:dyDescent="0.25">
      <c r="B533" s="3" t="s">
        <v>2093</v>
      </c>
      <c r="C533" s="1"/>
      <c r="D533" s="1" t="s">
        <v>1037</v>
      </c>
      <c r="E533" s="1" t="s">
        <v>1038</v>
      </c>
      <c r="F533" s="2" t="s">
        <v>1074</v>
      </c>
      <c r="G533" s="1" t="s">
        <v>2094</v>
      </c>
      <c r="H533" s="1" t="s">
        <v>1040</v>
      </c>
      <c r="I533" s="13" t="str">
        <f t="shared" si="62"/>
        <v>2N</v>
      </c>
      <c r="J533" t="str">
        <f t="shared" si="63"/>
        <v/>
      </c>
      <c r="K533" t="str">
        <f t="shared" si="64"/>
        <v xml:space="preserve">1422 </v>
      </c>
      <c r="L533" t="str">
        <f t="shared" si="65"/>
        <v>Plat 1</v>
      </c>
      <c r="M533" s="8" t="str">
        <f t="shared" si="66"/>
        <v xml:space="preserve"> 1</v>
      </c>
      <c r="N533" s="4" t="s">
        <v>3010</v>
      </c>
      <c r="O533" s="15" t="s">
        <v>3011</v>
      </c>
    </row>
    <row r="534" spans="2:24" ht="15" customHeight="1" x14ac:dyDescent="0.25">
      <c r="B534" s="3" t="s">
        <v>2095</v>
      </c>
      <c r="C534" s="1" t="s">
        <v>2094</v>
      </c>
      <c r="D534" s="2" t="s">
        <v>1185</v>
      </c>
      <c r="E534" s="1" t="s">
        <v>1047</v>
      </c>
      <c r="F534" s="2" t="s">
        <v>1372</v>
      </c>
      <c r="G534" s="1" t="s">
        <v>2096</v>
      </c>
      <c r="H534" s="1" t="s">
        <v>1046</v>
      </c>
      <c r="I534" s="13" t="str">
        <f t="shared" si="62"/>
        <v>1N</v>
      </c>
      <c r="J534" t="str">
        <f t="shared" si="63"/>
        <v xml:space="preserve">1422 </v>
      </c>
      <c r="K534" t="str">
        <f t="shared" si="64"/>
        <v>1422½</v>
      </c>
      <c r="L534" t="str">
        <f t="shared" si="65"/>
        <v>Plat 9</v>
      </c>
      <c r="M534" s="8" t="str">
        <f t="shared" si="66"/>
        <v xml:space="preserve"> 9</v>
      </c>
      <c r="N534" s="4" t="s">
        <v>1372</v>
      </c>
      <c r="O534"/>
    </row>
    <row r="535" spans="2:24" ht="15" customHeight="1" x14ac:dyDescent="0.25">
      <c r="B535" s="3" t="s">
        <v>2097</v>
      </c>
      <c r="C535" s="1" t="s">
        <v>2098</v>
      </c>
      <c r="D535" s="2" t="s">
        <v>1372</v>
      </c>
      <c r="E535" s="1" t="s">
        <v>1156</v>
      </c>
      <c r="F535" s="2" t="s">
        <v>1185</v>
      </c>
      <c r="G535" s="1" t="s">
        <v>2099</v>
      </c>
      <c r="H535" s="1" t="s">
        <v>1046</v>
      </c>
      <c r="I535" s="13" t="str">
        <f t="shared" si="62"/>
        <v>1N</v>
      </c>
      <c r="J535" t="str">
        <f t="shared" si="63"/>
        <v>1424½</v>
      </c>
      <c r="K535" t="str">
        <f t="shared" si="64"/>
        <v xml:space="preserve">1425 </v>
      </c>
      <c r="L535" t="str">
        <f t="shared" si="65"/>
        <v>Plat10</v>
      </c>
      <c r="M535" s="8" t="str">
        <f t="shared" si="66"/>
        <v>10</v>
      </c>
      <c r="N535" t="s">
        <v>1044</v>
      </c>
      <c r="O535" t="s">
        <v>2999</v>
      </c>
      <c r="P535" t="s">
        <v>1473</v>
      </c>
      <c r="Q535" t="s">
        <v>3001</v>
      </c>
      <c r="R535" t="s">
        <v>3003</v>
      </c>
      <c r="S535" t="s">
        <v>1091</v>
      </c>
      <c r="T535" t="s">
        <v>3031</v>
      </c>
      <c r="U535" t="s">
        <v>3046</v>
      </c>
      <c r="V535" t="s">
        <v>3047</v>
      </c>
    </row>
    <row r="536" spans="2:24" ht="15" customHeight="1" x14ac:dyDescent="0.25">
      <c r="B536" s="3" t="s">
        <v>1231</v>
      </c>
      <c r="C536" s="1" t="s">
        <v>2100</v>
      </c>
      <c r="D536" s="2" t="s">
        <v>1372</v>
      </c>
      <c r="E536" s="1" t="s">
        <v>1043</v>
      </c>
      <c r="F536" s="2" t="s">
        <v>1044</v>
      </c>
      <c r="G536" s="1" t="s">
        <v>2101</v>
      </c>
      <c r="H536" s="1" t="s">
        <v>1046</v>
      </c>
      <c r="I536" s="13" t="str">
        <f t="shared" si="62"/>
        <v>2W</v>
      </c>
      <c r="J536" t="str">
        <f t="shared" si="63"/>
        <v>1426½</v>
      </c>
      <c r="K536" t="str">
        <f t="shared" si="64"/>
        <v>1428½</v>
      </c>
      <c r="L536" t="str">
        <f t="shared" si="65"/>
        <v>Plat 8</v>
      </c>
      <c r="M536" s="8" t="str">
        <f t="shared" si="66"/>
        <v xml:space="preserve"> 8</v>
      </c>
      <c r="N536" s="4" t="s">
        <v>3012</v>
      </c>
      <c r="O536" s="4" t="s">
        <v>3013</v>
      </c>
      <c r="P536" s="4" t="s">
        <v>1181</v>
      </c>
      <c r="Q536" s="4" t="s">
        <v>3014</v>
      </c>
      <c r="R536" s="4" t="s">
        <v>3015</v>
      </c>
      <c r="S536" s="4" t="s">
        <v>3016</v>
      </c>
      <c r="T536" s="4" t="s">
        <v>3004</v>
      </c>
      <c r="U536" s="4" t="s">
        <v>1161</v>
      </c>
      <c r="V536" s="4" t="s">
        <v>3017</v>
      </c>
      <c r="W536" s="4" t="s">
        <v>3018</v>
      </c>
      <c r="X536" s="4" t="s">
        <v>1044</v>
      </c>
    </row>
    <row r="537" spans="2:24" ht="15" customHeight="1" x14ac:dyDescent="0.25">
      <c r="B537" s="3" t="s">
        <v>2102</v>
      </c>
      <c r="C537" s="1" t="s">
        <v>2103</v>
      </c>
      <c r="D537" s="2" t="s">
        <v>1074</v>
      </c>
      <c r="E537" s="1" t="s">
        <v>1050</v>
      </c>
      <c r="F537" s="1" t="s">
        <v>1051</v>
      </c>
      <c r="G537" s="1"/>
      <c r="H537" s="1" t="s">
        <v>1040</v>
      </c>
      <c r="I537" s="13" t="str">
        <f t="shared" si="62"/>
        <v>2N</v>
      </c>
      <c r="J537" t="str">
        <f t="shared" si="63"/>
        <v xml:space="preserve">1429 </v>
      </c>
      <c r="K537" t="str">
        <f t="shared" si="64"/>
        <v/>
      </c>
      <c r="L537" t="str">
        <f t="shared" si="65"/>
        <v>Plat 1</v>
      </c>
      <c r="M537" s="8" t="str">
        <f t="shared" si="66"/>
        <v xml:space="preserve"> 1</v>
      </c>
      <c r="O537"/>
    </row>
    <row r="538" spans="2:24" ht="15" customHeight="1" x14ac:dyDescent="0.25">
      <c r="B538" s="3" t="s">
        <v>2104</v>
      </c>
      <c r="C538" s="1" t="s">
        <v>2105</v>
      </c>
      <c r="D538" s="2" t="s">
        <v>1044</v>
      </c>
      <c r="E538" s="1" t="s">
        <v>1054</v>
      </c>
      <c r="F538" s="2" t="s">
        <v>1372</v>
      </c>
      <c r="G538" s="1" t="s">
        <v>2106</v>
      </c>
      <c r="H538" s="1" t="s">
        <v>1046</v>
      </c>
      <c r="I538" s="13" t="str">
        <f t="shared" si="62"/>
        <v>2W</v>
      </c>
      <c r="J538" t="str">
        <f t="shared" si="63"/>
        <v xml:space="preserve">1427 </v>
      </c>
      <c r="K538" t="str">
        <f t="shared" si="64"/>
        <v xml:space="preserve">1429 </v>
      </c>
      <c r="L538" t="str">
        <f t="shared" si="65"/>
        <v>Plat 5</v>
      </c>
      <c r="M538" s="8" t="str">
        <f t="shared" si="66"/>
        <v xml:space="preserve"> 5</v>
      </c>
      <c r="N538" s="4" t="s">
        <v>1372</v>
      </c>
      <c r="O538"/>
    </row>
    <row r="539" spans="2:24" ht="15" customHeight="1" x14ac:dyDescent="0.25">
      <c r="B539" s="3" t="s">
        <v>2107</v>
      </c>
      <c r="C539" s="1"/>
      <c r="D539" s="1" t="s">
        <v>1037</v>
      </c>
      <c r="E539" s="1" t="s">
        <v>2148</v>
      </c>
      <c r="F539" s="2" t="s">
        <v>1254</v>
      </c>
      <c r="G539" s="1" t="s">
        <v>539</v>
      </c>
      <c r="H539" s="1" t="s">
        <v>1046</v>
      </c>
      <c r="I539" s="13" t="str">
        <f t="shared" si="62"/>
        <v>2S</v>
      </c>
      <c r="J539" t="str">
        <f t="shared" si="63"/>
        <v/>
      </c>
      <c r="K539" t="str">
        <f t="shared" si="64"/>
        <v xml:space="preserve">1430 </v>
      </c>
      <c r="L539" t="str">
        <f t="shared" si="65"/>
        <v>Plat11</v>
      </c>
      <c r="M539" s="8" t="str">
        <f t="shared" si="66"/>
        <v>11</v>
      </c>
      <c r="N539" t="s">
        <v>2975</v>
      </c>
      <c r="O539" t="s">
        <v>3039</v>
      </c>
      <c r="P539" t="s">
        <v>3041</v>
      </c>
      <c r="Q539" t="s">
        <v>3042</v>
      </c>
      <c r="R539" t="s">
        <v>2978</v>
      </c>
      <c r="S539" t="s">
        <v>1298</v>
      </c>
      <c r="T539" t="s">
        <v>2980</v>
      </c>
      <c r="U539" t="s">
        <v>2982</v>
      </c>
      <c r="V539" t="s">
        <v>1254</v>
      </c>
    </row>
    <row r="540" spans="2:24" ht="15" customHeight="1" x14ac:dyDescent="0.25">
      <c r="B540" s="3" t="s">
        <v>2108</v>
      </c>
      <c r="C540" s="1"/>
      <c r="D540" s="1" t="s">
        <v>1037</v>
      </c>
      <c r="E540" s="1" t="s">
        <v>1061</v>
      </c>
      <c r="F540" s="2" t="s">
        <v>1039</v>
      </c>
      <c r="G540" s="1" t="s">
        <v>2109</v>
      </c>
      <c r="H540" s="1" t="s">
        <v>1040</v>
      </c>
      <c r="I540" s="13" t="str">
        <f t="shared" si="62"/>
        <v>2Y</v>
      </c>
      <c r="J540" t="str">
        <f t="shared" si="63"/>
        <v/>
      </c>
      <c r="K540" t="str">
        <f t="shared" si="64"/>
        <v xml:space="preserve">1432 </v>
      </c>
      <c r="L540" t="str">
        <f t="shared" si="65"/>
        <v>Plat 2</v>
      </c>
      <c r="M540" s="8" t="str">
        <f t="shared" si="66"/>
        <v xml:space="preserve"> 2</v>
      </c>
      <c r="N540" s="4" t="s">
        <v>3010</v>
      </c>
      <c r="O540" s="15" t="s">
        <v>3011</v>
      </c>
    </row>
    <row r="541" spans="2:24" ht="15" customHeight="1" x14ac:dyDescent="0.25">
      <c r="B541" s="3" t="s">
        <v>2110</v>
      </c>
      <c r="C541" s="1" t="s">
        <v>2111</v>
      </c>
      <c r="D541" s="2" t="s">
        <v>1039</v>
      </c>
      <c r="E541" s="1" t="s">
        <v>1075</v>
      </c>
      <c r="F541" s="1" t="s">
        <v>1051</v>
      </c>
      <c r="G541" s="1"/>
      <c r="H541" s="1" t="s">
        <v>1040</v>
      </c>
      <c r="I541" s="13" t="str">
        <f t="shared" si="62"/>
        <v>2L</v>
      </c>
      <c r="J541" t="str">
        <f t="shared" si="63"/>
        <v xml:space="preserve">1436 </v>
      </c>
      <c r="K541" t="str">
        <f t="shared" si="64"/>
        <v/>
      </c>
      <c r="L541" t="str">
        <f t="shared" si="65"/>
        <v>Plat 2</v>
      </c>
      <c r="M541" s="8" t="str">
        <f t="shared" si="66"/>
        <v xml:space="preserve"> 2</v>
      </c>
      <c r="O541"/>
    </row>
    <row r="542" spans="2:24" ht="15" customHeight="1" x14ac:dyDescent="0.25">
      <c r="B542" s="3" t="s">
        <v>2112</v>
      </c>
      <c r="C542" s="1" t="s">
        <v>2113</v>
      </c>
      <c r="D542" s="2" t="s">
        <v>1304</v>
      </c>
      <c r="E542" s="1" t="s">
        <v>1047</v>
      </c>
      <c r="F542" s="2" t="s">
        <v>1372</v>
      </c>
      <c r="G542" s="1" t="s">
        <v>2114</v>
      </c>
      <c r="H542" s="1" t="s">
        <v>1046</v>
      </c>
      <c r="I542" s="13" t="str">
        <f t="shared" si="62"/>
        <v>2F</v>
      </c>
      <c r="J542" t="str">
        <f t="shared" si="63"/>
        <v xml:space="preserve">1436 </v>
      </c>
      <c r="K542" t="str">
        <f t="shared" si="64"/>
        <v>1436½</v>
      </c>
      <c r="L542" t="str">
        <f t="shared" si="65"/>
        <v>Plat 9</v>
      </c>
      <c r="M542" s="8" t="str">
        <f t="shared" si="66"/>
        <v xml:space="preserve"> 9</v>
      </c>
      <c r="N542" s="4" t="s">
        <v>1372</v>
      </c>
      <c r="O542"/>
    </row>
    <row r="543" spans="2:24" ht="15" customHeight="1" x14ac:dyDescent="0.25">
      <c r="B543" s="3" t="s">
        <v>2115</v>
      </c>
      <c r="C543" s="1" t="s">
        <v>545</v>
      </c>
      <c r="D543" s="2" t="s">
        <v>1254</v>
      </c>
      <c r="E543" s="1" t="s">
        <v>2148</v>
      </c>
      <c r="F543" s="1" t="s">
        <v>1051</v>
      </c>
      <c r="G543" s="1"/>
      <c r="H543" s="1" t="s">
        <v>1046</v>
      </c>
      <c r="I543" s="13" t="str">
        <f t="shared" si="62"/>
        <v>2S</v>
      </c>
      <c r="J543" t="str">
        <f t="shared" si="63"/>
        <v xml:space="preserve">1437 </v>
      </c>
      <c r="K543" t="str">
        <f t="shared" si="64"/>
        <v/>
      </c>
      <c r="L543" t="str">
        <f t="shared" si="65"/>
        <v>Plat11</v>
      </c>
      <c r="M543" s="8" t="str">
        <f t="shared" si="66"/>
        <v>11</v>
      </c>
      <c r="O543"/>
    </row>
    <row r="544" spans="2:24" ht="15" customHeight="1" x14ac:dyDescent="0.25">
      <c r="B544" s="3" t="s">
        <v>2116</v>
      </c>
      <c r="C544" s="1"/>
      <c r="D544" s="1" t="s">
        <v>1037</v>
      </c>
      <c r="E544" s="1" t="s">
        <v>1038</v>
      </c>
      <c r="F544" s="2" t="s">
        <v>1074</v>
      </c>
      <c r="G544" s="1" t="s">
        <v>545</v>
      </c>
      <c r="H544" s="1" t="s">
        <v>1040</v>
      </c>
      <c r="I544" s="13" t="str">
        <f t="shared" si="62"/>
        <v>2N</v>
      </c>
      <c r="J544" t="str">
        <f t="shared" si="63"/>
        <v/>
      </c>
      <c r="K544" t="str">
        <f t="shared" si="64"/>
        <v xml:space="preserve">1437 </v>
      </c>
      <c r="L544" t="str">
        <f t="shared" si="65"/>
        <v>Plat 1</v>
      </c>
      <c r="M544" s="8" t="str">
        <f t="shared" si="66"/>
        <v xml:space="preserve"> 1</v>
      </c>
      <c r="N544" s="4" t="s">
        <v>3010</v>
      </c>
      <c r="O544" s="15" t="s">
        <v>3011</v>
      </c>
    </row>
    <row r="545" spans="2:24" ht="15" customHeight="1" x14ac:dyDescent="0.25">
      <c r="B545" s="3" t="s">
        <v>1246</v>
      </c>
      <c r="C545" s="1" t="s">
        <v>2117</v>
      </c>
      <c r="D545" s="2" t="s">
        <v>1372</v>
      </c>
      <c r="E545" s="1" t="s">
        <v>1043</v>
      </c>
      <c r="F545" s="2" t="s">
        <v>1044</v>
      </c>
      <c r="G545" s="1" t="s">
        <v>2118</v>
      </c>
      <c r="H545" s="1" t="s">
        <v>1046</v>
      </c>
      <c r="I545" s="13" t="str">
        <f t="shared" si="62"/>
        <v>2W</v>
      </c>
      <c r="J545" t="str">
        <f t="shared" si="63"/>
        <v>1436½</v>
      </c>
      <c r="K545" t="str">
        <f t="shared" si="64"/>
        <v>1438½</v>
      </c>
      <c r="L545" t="str">
        <f t="shared" si="65"/>
        <v>Plat 8</v>
      </c>
      <c r="M545" s="8" t="str">
        <f t="shared" si="66"/>
        <v xml:space="preserve"> 8</v>
      </c>
      <c r="N545" s="4" t="s">
        <v>3012</v>
      </c>
      <c r="O545" s="4" t="s">
        <v>3013</v>
      </c>
      <c r="P545" s="4" t="s">
        <v>1181</v>
      </c>
      <c r="Q545" s="4" t="s">
        <v>3014</v>
      </c>
      <c r="R545" s="4" t="s">
        <v>3015</v>
      </c>
      <c r="S545" s="4" t="s">
        <v>3016</v>
      </c>
      <c r="T545" s="4" t="s">
        <v>3004</v>
      </c>
      <c r="U545" s="4" t="s">
        <v>1161</v>
      </c>
      <c r="V545" s="4" t="s">
        <v>3017</v>
      </c>
      <c r="W545" s="4" t="s">
        <v>3018</v>
      </c>
      <c r="X545" s="4" t="s">
        <v>1044</v>
      </c>
    </row>
    <row r="546" spans="2:24" ht="15" customHeight="1" x14ac:dyDescent="0.25">
      <c r="B546" s="3" t="s">
        <v>2119</v>
      </c>
      <c r="C546" s="1" t="s">
        <v>2120</v>
      </c>
      <c r="D546" s="2" t="s">
        <v>1372</v>
      </c>
      <c r="E546" s="1" t="s">
        <v>1156</v>
      </c>
      <c r="F546" s="2" t="s">
        <v>1066</v>
      </c>
      <c r="G546" s="1" t="s">
        <v>2118</v>
      </c>
      <c r="H546" s="1" t="s">
        <v>1046</v>
      </c>
      <c r="I546" s="13" t="str">
        <f t="shared" si="62"/>
        <v>1P</v>
      </c>
      <c r="J546" t="str">
        <f t="shared" si="63"/>
        <v>1437½</v>
      </c>
      <c r="K546" t="str">
        <f t="shared" si="64"/>
        <v>1438½</v>
      </c>
      <c r="L546" t="str">
        <f t="shared" si="65"/>
        <v>Plat10</v>
      </c>
      <c r="M546" s="8" t="str">
        <f t="shared" si="66"/>
        <v>10</v>
      </c>
      <c r="N546" t="s">
        <v>1473</v>
      </c>
      <c r="O546" t="s">
        <v>1091</v>
      </c>
      <c r="P546" t="s">
        <v>3006</v>
      </c>
      <c r="Q546" t="s">
        <v>1242</v>
      </c>
      <c r="R546" t="s">
        <v>1501</v>
      </c>
      <c r="S546" t="s">
        <v>3052</v>
      </c>
      <c r="T546" t="s">
        <v>1066</v>
      </c>
    </row>
    <row r="547" spans="2:24" ht="15" customHeight="1" x14ac:dyDescent="0.25">
      <c r="B547" s="3" t="s">
        <v>1216</v>
      </c>
      <c r="C547" s="1" t="s">
        <v>545</v>
      </c>
      <c r="D547" s="2" t="s">
        <v>1044</v>
      </c>
      <c r="E547" s="1" t="s">
        <v>1054</v>
      </c>
      <c r="F547" s="2" t="s">
        <v>1372</v>
      </c>
      <c r="G547" s="1" t="s">
        <v>2121</v>
      </c>
      <c r="H547" s="1" t="s">
        <v>1046</v>
      </c>
      <c r="I547" s="13" t="str">
        <f t="shared" si="62"/>
        <v>2W</v>
      </c>
      <c r="J547" t="str">
        <f t="shared" si="63"/>
        <v xml:space="preserve">1437 </v>
      </c>
      <c r="K547" t="str">
        <f t="shared" si="64"/>
        <v xml:space="preserve">1439 </v>
      </c>
      <c r="L547" t="str">
        <f t="shared" si="65"/>
        <v>Plat 5</v>
      </c>
      <c r="M547" s="8" t="str">
        <f t="shared" si="66"/>
        <v xml:space="preserve"> 5</v>
      </c>
      <c r="N547" s="4" t="s">
        <v>1372</v>
      </c>
      <c r="O547"/>
    </row>
    <row r="548" spans="2:24" ht="15" customHeight="1" x14ac:dyDescent="0.25">
      <c r="B548" s="3" t="s">
        <v>2122</v>
      </c>
      <c r="C548" s="1" t="s">
        <v>2121</v>
      </c>
      <c r="D548" s="2" t="s">
        <v>1058</v>
      </c>
      <c r="E548" s="1" t="s">
        <v>1047</v>
      </c>
      <c r="F548" s="2" t="s">
        <v>1372</v>
      </c>
      <c r="G548" s="1" t="s">
        <v>2123</v>
      </c>
      <c r="H548" s="1" t="s">
        <v>1046</v>
      </c>
      <c r="I548" s="13" t="str">
        <f t="shared" si="62"/>
        <v>1K</v>
      </c>
      <c r="J548" t="str">
        <f t="shared" si="63"/>
        <v xml:space="preserve">1439 </v>
      </c>
      <c r="K548" t="str">
        <f t="shared" si="64"/>
        <v>1439½</v>
      </c>
      <c r="L548" t="str">
        <f t="shared" si="65"/>
        <v>Plat 9</v>
      </c>
      <c r="M548" s="8" t="str">
        <f t="shared" si="66"/>
        <v xml:space="preserve"> 9</v>
      </c>
      <c r="N548" s="4" t="s">
        <v>1372</v>
      </c>
      <c r="O548"/>
    </row>
    <row r="549" spans="2:24" ht="15" customHeight="1" x14ac:dyDescent="0.25">
      <c r="B549" s="3" t="s">
        <v>2124</v>
      </c>
      <c r="C549" s="1" t="s">
        <v>2125</v>
      </c>
      <c r="D549" s="2" t="s">
        <v>1372</v>
      </c>
      <c r="E549" s="1" t="s">
        <v>1156</v>
      </c>
      <c r="F549" s="2" t="s">
        <v>1058</v>
      </c>
      <c r="G549" s="1" t="s">
        <v>548</v>
      </c>
      <c r="H549" s="1" t="s">
        <v>1046</v>
      </c>
      <c r="I549" s="13" t="str">
        <f t="shared" si="62"/>
        <v>1K</v>
      </c>
      <c r="J549" t="str">
        <f t="shared" si="63"/>
        <v>1441½</v>
      </c>
      <c r="K549" t="str">
        <f t="shared" si="64"/>
        <v xml:space="preserve">1442 </v>
      </c>
      <c r="L549" t="str">
        <f t="shared" si="65"/>
        <v>Plat10</v>
      </c>
      <c r="M549" s="8" t="str">
        <f t="shared" si="66"/>
        <v>10</v>
      </c>
      <c r="N549" s="4" t="s">
        <v>1044</v>
      </c>
      <c r="O549" s="4" t="s">
        <v>3019</v>
      </c>
      <c r="P549" s="4" t="s">
        <v>3020</v>
      </c>
      <c r="Q549" s="4" t="s">
        <v>3021</v>
      </c>
      <c r="R549" s="4" t="s">
        <v>3022</v>
      </c>
      <c r="S549" s="4" t="s">
        <v>3023</v>
      </c>
      <c r="T549" s="4" t="s">
        <v>3024</v>
      </c>
      <c r="U549" s="4" t="s">
        <v>3025</v>
      </c>
      <c r="V549" s="4" t="s">
        <v>1058</v>
      </c>
    </row>
    <row r="550" spans="2:24" ht="15" customHeight="1" x14ac:dyDescent="0.25">
      <c r="B550" s="3" t="s">
        <v>2126</v>
      </c>
      <c r="C550" s="1" t="s">
        <v>2127</v>
      </c>
      <c r="D550" s="2" t="s">
        <v>1074</v>
      </c>
      <c r="E550" s="1" t="s">
        <v>1050</v>
      </c>
      <c r="F550" s="1" t="s">
        <v>1051</v>
      </c>
      <c r="G550" s="1"/>
      <c r="H550" s="1" t="s">
        <v>1040</v>
      </c>
      <c r="I550" s="13" t="str">
        <f t="shared" si="62"/>
        <v>2N</v>
      </c>
      <c r="J550" t="str">
        <f t="shared" si="63"/>
        <v xml:space="preserve">1444 </v>
      </c>
      <c r="K550" t="str">
        <f t="shared" si="64"/>
        <v/>
      </c>
      <c r="L550" t="str">
        <f t="shared" si="65"/>
        <v>Plat 1</v>
      </c>
      <c r="M550" s="8" t="str">
        <f t="shared" si="66"/>
        <v xml:space="preserve"> 1</v>
      </c>
      <c r="O550"/>
    </row>
    <row r="551" spans="2:24" ht="15" customHeight="1" x14ac:dyDescent="0.25">
      <c r="B551" s="3" t="s">
        <v>2128</v>
      </c>
      <c r="C551" s="1"/>
      <c r="D551" s="1" t="s">
        <v>1037</v>
      </c>
      <c r="E551" s="1" t="s">
        <v>1061</v>
      </c>
      <c r="F551" s="2" t="s">
        <v>1039</v>
      </c>
      <c r="G551" s="1" t="s">
        <v>553</v>
      </c>
      <c r="H551" s="1" t="s">
        <v>1040</v>
      </c>
      <c r="I551" s="13" t="str">
        <f t="shared" ref="I551:I565" si="67">LEFT(B551,2)</f>
        <v>2Y</v>
      </c>
      <c r="J551" t="str">
        <f t="shared" ref="J551:J565" si="68">LEFT(C551,5)</f>
        <v/>
      </c>
      <c r="K551" t="str">
        <f t="shared" ref="K551:K565" si="69">LEFT(G551,5)</f>
        <v xml:space="preserve">1445 </v>
      </c>
      <c r="L551" t="str">
        <f t="shared" ref="L551:L565" si="70">LEFT(E551,6)</f>
        <v>Plat 2</v>
      </c>
      <c r="M551" s="8" t="str">
        <f t="shared" ref="M551:M565" si="71">RIGHT(L551,2)</f>
        <v xml:space="preserve"> 2</v>
      </c>
      <c r="N551" s="4" t="s">
        <v>3010</v>
      </c>
      <c r="O551" s="15" t="s">
        <v>3011</v>
      </c>
    </row>
    <row r="552" spans="2:24" ht="15" customHeight="1" x14ac:dyDescent="0.25">
      <c r="B552" s="3" t="s">
        <v>2129</v>
      </c>
      <c r="C552" s="1" t="s">
        <v>550</v>
      </c>
      <c r="D552" s="2" t="s">
        <v>1372</v>
      </c>
      <c r="E552" s="1" t="s">
        <v>1156</v>
      </c>
      <c r="F552" s="2" t="s">
        <v>1304</v>
      </c>
      <c r="G552" s="1" t="s">
        <v>553</v>
      </c>
      <c r="H552" s="1" t="s">
        <v>1046</v>
      </c>
      <c r="I552" s="13" t="str">
        <f t="shared" si="67"/>
        <v>2F</v>
      </c>
      <c r="J552" t="str">
        <f t="shared" si="68"/>
        <v>1444½</v>
      </c>
      <c r="K552" t="str">
        <f t="shared" si="69"/>
        <v xml:space="preserve">1445 </v>
      </c>
      <c r="L552" t="str">
        <f t="shared" si="70"/>
        <v>Plat10</v>
      </c>
      <c r="M552" s="8" t="str">
        <f t="shared" si="71"/>
        <v>10</v>
      </c>
      <c r="N552" s="4" t="s">
        <v>3004</v>
      </c>
      <c r="O552" s="4" t="s">
        <v>1044</v>
      </c>
      <c r="P552" s="4" t="s">
        <v>2999</v>
      </c>
      <c r="Q552" s="4" t="s">
        <v>1473</v>
      </c>
      <c r="R552" s="4" t="s">
        <v>3000</v>
      </c>
      <c r="S552" s="4" t="s">
        <v>3001</v>
      </c>
      <c r="T552" s="4" t="s">
        <v>3002</v>
      </c>
      <c r="U552" s="4" t="s">
        <v>3003</v>
      </c>
      <c r="V552" s="4" t="s">
        <v>1091</v>
      </c>
      <c r="W552" s="4" t="s">
        <v>1304</v>
      </c>
    </row>
    <row r="553" spans="2:24" ht="15" customHeight="1" x14ac:dyDescent="0.25">
      <c r="B553" s="3" t="s">
        <v>2130</v>
      </c>
      <c r="C553" s="1" t="s">
        <v>553</v>
      </c>
      <c r="D553" s="2" t="s">
        <v>1066</v>
      </c>
      <c r="E553" s="1" t="s">
        <v>1047</v>
      </c>
      <c r="F553" s="2" t="s">
        <v>1372</v>
      </c>
      <c r="G553" s="1" t="s">
        <v>2274</v>
      </c>
      <c r="H553" s="1" t="s">
        <v>1046</v>
      </c>
      <c r="I553" s="13" t="str">
        <f t="shared" si="67"/>
        <v>1P</v>
      </c>
      <c r="J553" t="str">
        <f t="shared" si="68"/>
        <v xml:space="preserve">1445 </v>
      </c>
      <c r="K553" t="str">
        <f t="shared" si="69"/>
        <v xml:space="preserve">1446 </v>
      </c>
      <c r="L553" t="str">
        <f t="shared" si="70"/>
        <v>Plat 9</v>
      </c>
      <c r="M553" s="8" t="str">
        <f t="shared" si="71"/>
        <v xml:space="preserve"> 9</v>
      </c>
      <c r="N553" s="4" t="s">
        <v>1372</v>
      </c>
      <c r="O553"/>
    </row>
    <row r="554" spans="2:24" ht="15" customHeight="1" x14ac:dyDescent="0.25">
      <c r="B554" s="3" t="s">
        <v>1269</v>
      </c>
      <c r="C554" s="1" t="s">
        <v>2131</v>
      </c>
      <c r="D554" s="2" t="s">
        <v>1372</v>
      </c>
      <c r="E554" s="1" t="s">
        <v>1043</v>
      </c>
      <c r="F554" s="2" t="s">
        <v>1044</v>
      </c>
      <c r="G554" s="1" t="s">
        <v>551</v>
      </c>
      <c r="H554" s="1" t="s">
        <v>1046</v>
      </c>
      <c r="I554" s="13" t="str">
        <f t="shared" si="67"/>
        <v>2W</v>
      </c>
      <c r="J554" t="str">
        <f t="shared" si="68"/>
        <v>1446½</v>
      </c>
      <c r="K554" t="str">
        <f t="shared" si="69"/>
        <v>1448½</v>
      </c>
      <c r="L554" t="str">
        <f t="shared" si="70"/>
        <v>Plat 8</v>
      </c>
      <c r="M554" s="8" t="str">
        <f t="shared" si="71"/>
        <v xml:space="preserve"> 8</v>
      </c>
      <c r="N554" s="4" t="s">
        <v>3012</v>
      </c>
      <c r="O554" s="4" t="s">
        <v>3013</v>
      </c>
      <c r="P554" s="4" t="s">
        <v>1181</v>
      </c>
      <c r="Q554" s="4" t="s">
        <v>3014</v>
      </c>
      <c r="R554" s="4" t="s">
        <v>3015</v>
      </c>
      <c r="S554" s="4" t="s">
        <v>3016</v>
      </c>
      <c r="T554" s="4" t="s">
        <v>3004</v>
      </c>
      <c r="U554" s="4" t="s">
        <v>1161</v>
      </c>
      <c r="V554" s="4" t="s">
        <v>3017</v>
      </c>
      <c r="W554" s="4" t="s">
        <v>3018</v>
      </c>
      <c r="X554" s="4" t="s">
        <v>1044</v>
      </c>
    </row>
    <row r="555" spans="2:24" ht="15" customHeight="1" x14ac:dyDescent="0.25">
      <c r="B555" s="3" t="s">
        <v>1234</v>
      </c>
      <c r="C555" s="1" t="s">
        <v>2132</v>
      </c>
      <c r="D555" s="2" t="s">
        <v>1044</v>
      </c>
      <c r="E555" s="1" t="s">
        <v>1054</v>
      </c>
      <c r="F555" s="2" t="s">
        <v>1372</v>
      </c>
      <c r="G555" s="1" t="s">
        <v>554</v>
      </c>
      <c r="H555" s="1" t="s">
        <v>1046</v>
      </c>
      <c r="I555" s="13" t="str">
        <f t="shared" si="67"/>
        <v>2W</v>
      </c>
      <c r="J555" t="str">
        <f t="shared" si="68"/>
        <v xml:space="preserve">1447 </v>
      </c>
      <c r="K555" t="str">
        <f t="shared" si="69"/>
        <v xml:space="preserve">1449 </v>
      </c>
      <c r="L555" t="str">
        <f t="shared" si="70"/>
        <v>Plat 5</v>
      </c>
      <c r="M555" s="8" t="str">
        <f t="shared" si="71"/>
        <v xml:space="preserve"> 5</v>
      </c>
      <c r="N555" s="4" t="s">
        <v>1372</v>
      </c>
      <c r="O555"/>
    </row>
    <row r="556" spans="2:24" ht="15" customHeight="1" x14ac:dyDescent="0.25">
      <c r="B556" s="3" t="s">
        <v>2133</v>
      </c>
      <c r="C556" s="1" t="s">
        <v>2134</v>
      </c>
      <c r="D556" s="2" t="s">
        <v>1039</v>
      </c>
      <c r="E556" s="1" t="s">
        <v>1075</v>
      </c>
      <c r="F556" s="1" t="s">
        <v>1051</v>
      </c>
      <c r="G556" s="1"/>
      <c r="H556" s="1" t="s">
        <v>1040</v>
      </c>
      <c r="I556" s="13" t="str">
        <f t="shared" si="67"/>
        <v>2L</v>
      </c>
      <c r="J556" t="str">
        <f t="shared" si="68"/>
        <v xml:space="preserve">1449 </v>
      </c>
      <c r="K556" t="str">
        <f t="shared" si="69"/>
        <v/>
      </c>
      <c r="L556" t="str">
        <f t="shared" si="70"/>
        <v>Plat 2</v>
      </c>
      <c r="M556" s="8" t="str">
        <f t="shared" si="71"/>
        <v xml:space="preserve"> 2</v>
      </c>
      <c r="O556"/>
    </row>
    <row r="557" spans="2:24" ht="15" customHeight="1" x14ac:dyDescent="0.25">
      <c r="B557" s="3" t="s">
        <v>2135</v>
      </c>
      <c r="C557" s="1"/>
      <c r="D557" s="1" t="s">
        <v>1037</v>
      </c>
      <c r="E557" s="1" t="s">
        <v>1038</v>
      </c>
      <c r="F557" s="2" t="s">
        <v>1074</v>
      </c>
      <c r="G557" s="1" t="s">
        <v>559</v>
      </c>
      <c r="H557" s="1" t="s">
        <v>1040</v>
      </c>
      <c r="I557" s="13" t="str">
        <f t="shared" si="67"/>
        <v>2N</v>
      </c>
      <c r="J557" t="str">
        <f t="shared" si="68"/>
        <v/>
      </c>
      <c r="K557" t="str">
        <f t="shared" si="69"/>
        <v xml:space="preserve">1452 </v>
      </c>
      <c r="L557" t="str">
        <f t="shared" si="70"/>
        <v>Plat 1</v>
      </c>
      <c r="M557" s="8" t="str">
        <f t="shared" si="71"/>
        <v xml:space="preserve"> 1</v>
      </c>
      <c r="N557" s="4" t="s">
        <v>3010</v>
      </c>
      <c r="O557" s="15" t="s">
        <v>3011</v>
      </c>
    </row>
    <row r="558" spans="2:24" ht="15" customHeight="1" x14ac:dyDescent="0.25">
      <c r="B558" s="3" t="s">
        <v>609</v>
      </c>
      <c r="C558" s="1" t="s">
        <v>559</v>
      </c>
      <c r="D558" s="2" t="s">
        <v>1237</v>
      </c>
      <c r="E558" s="1" t="s">
        <v>1047</v>
      </c>
      <c r="F558" s="2" t="s">
        <v>1372</v>
      </c>
      <c r="G558" s="1" t="s">
        <v>2136</v>
      </c>
      <c r="H558" s="1" t="s">
        <v>1046</v>
      </c>
      <c r="I558" s="13" t="str">
        <f t="shared" si="67"/>
        <v>1F</v>
      </c>
      <c r="J558" t="str">
        <f t="shared" si="68"/>
        <v xml:space="preserve">1452 </v>
      </c>
      <c r="K558" t="str">
        <f t="shared" si="69"/>
        <v>1452½</v>
      </c>
      <c r="L558" t="str">
        <f t="shared" si="70"/>
        <v>Plat 9</v>
      </c>
      <c r="M558" s="8" t="str">
        <f t="shared" si="71"/>
        <v xml:space="preserve"> 9</v>
      </c>
      <c r="N558" s="4" t="s">
        <v>1372</v>
      </c>
      <c r="O558"/>
    </row>
    <row r="559" spans="2:24" ht="15" customHeight="1" x14ac:dyDescent="0.25">
      <c r="B559" s="3" t="s">
        <v>398</v>
      </c>
      <c r="C559" s="1" t="s">
        <v>2137</v>
      </c>
      <c r="D559" s="2" t="s">
        <v>1372</v>
      </c>
      <c r="E559" s="1" t="s">
        <v>1156</v>
      </c>
      <c r="F559" s="2" t="s">
        <v>1237</v>
      </c>
      <c r="G559" s="1" t="s">
        <v>557</v>
      </c>
      <c r="H559" s="1" t="s">
        <v>1046</v>
      </c>
      <c r="I559" s="13" t="str">
        <f t="shared" si="67"/>
        <v>1F</v>
      </c>
      <c r="J559" t="str">
        <f t="shared" si="68"/>
        <v>1454½</v>
      </c>
      <c r="K559" t="str">
        <f t="shared" si="69"/>
        <v xml:space="preserve">1455 </v>
      </c>
      <c r="L559" t="str">
        <f t="shared" si="70"/>
        <v>Plat10</v>
      </c>
      <c r="M559" s="8" t="str">
        <f t="shared" si="71"/>
        <v>10</v>
      </c>
      <c r="N559" t="s">
        <v>1044</v>
      </c>
      <c r="O559" t="s">
        <v>2999</v>
      </c>
      <c r="P559" t="s">
        <v>1473</v>
      </c>
      <c r="Q559" t="s">
        <v>3001</v>
      </c>
      <c r="R559" t="s">
        <v>3043</v>
      </c>
      <c r="S559" t="s">
        <v>3044</v>
      </c>
      <c r="T559" t="s">
        <v>3045</v>
      </c>
      <c r="U559" t="s">
        <v>1237</v>
      </c>
    </row>
    <row r="560" spans="2:24" ht="15" customHeight="1" x14ac:dyDescent="0.25">
      <c r="B560" s="3" t="s">
        <v>1289</v>
      </c>
      <c r="C560" s="1" t="s">
        <v>2138</v>
      </c>
      <c r="D560" s="2" t="s">
        <v>1372</v>
      </c>
      <c r="E560" s="1" t="s">
        <v>1043</v>
      </c>
      <c r="F560" s="2" t="s">
        <v>1044</v>
      </c>
      <c r="G560" s="1" t="s">
        <v>2139</v>
      </c>
      <c r="H560" s="1" t="s">
        <v>1046</v>
      </c>
      <c r="I560" s="13" t="str">
        <f t="shared" si="67"/>
        <v>2W</v>
      </c>
      <c r="J560" t="str">
        <f t="shared" si="68"/>
        <v>1456½</v>
      </c>
      <c r="K560" t="str">
        <f t="shared" si="69"/>
        <v>1458½</v>
      </c>
      <c r="L560" t="str">
        <f t="shared" si="70"/>
        <v>Plat 8</v>
      </c>
      <c r="M560" s="8" t="str">
        <f t="shared" si="71"/>
        <v xml:space="preserve"> 8</v>
      </c>
      <c r="N560" s="4" t="s">
        <v>3012</v>
      </c>
      <c r="O560" s="4" t="s">
        <v>3013</v>
      </c>
      <c r="P560" s="4" t="s">
        <v>1181</v>
      </c>
      <c r="Q560" s="4" t="s">
        <v>3014</v>
      </c>
      <c r="R560" s="4" t="s">
        <v>3015</v>
      </c>
      <c r="S560" s="4" t="s">
        <v>3016</v>
      </c>
      <c r="T560" s="4" t="s">
        <v>3004</v>
      </c>
      <c r="U560" s="4" t="s">
        <v>1161</v>
      </c>
      <c r="V560" s="4" t="s">
        <v>3017</v>
      </c>
      <c r="W560" s="4" t="s">
        <v>3018</v>
      </c>
      <c r="X560" s="4" t="s">
        <v>1044</v>
      </c>
    </row>
    <row r="561" spans="2:24" ht="15" customHeight="1" x14ac:dyDescent="0.25">
      <c r="B561" s="3" t="s">
        <v>1272</v>
      </c>
      <c r="C561" s="1" t="s">
        <v>2140</v>
      </c>
      <c r="D561" s="2" t="s">
        <v>1044</v>
      </c>
      <c r="E561" s="1" t="s">
        <v>1054</v>
      </c>
      <c r="F561" s="2" t="s">
        <v>1372</v>
      </c>
      <c r="G561" s="1" t="s">
        <v>565</v>
      </c>
      <c r="H561" s="1" t="s">
        <v>1046</v>
      </c>
      <c r="I561" s="13" t="str">
        <f t="shared" si="67"/>
        <v>2W</v>
      </c>
      <c r="J561" t="str">
        <f t="shared" si="68"/>
        <v xml:space="preserve">1457 </v>
      </c>
      <c r="K561" t="str">
        <f t="shared" si="69"/>
        <v xml:space="preserve">1459 </v>
      </c>
      <c r="L561" t="str">
        <f t="shared" si="70"/>
        <v>Plat 5</v>
      </c>
      <c r="M561" s="8" t="str">
        <f t="shared" si="71"/>
        <v xml:space="preserve"> 5</v>
      </c>
      <c r="N561" s="4" t="s">
        <v>1372</v>
      </c>
      <c r="O561"/>
    </row>
    <row r="562" spans="2:24" ht="15" customHeight="1" x14ac:dyDescent="0.25">
      <c r="B562" s="3" t="s">
        <v>2141</v>
      </c>
      <c r="C562" s="1" t="s">
        <v>2142</v>
      </c>
      <c r="D562" s="2" t="s">
        <v>1074</v>
      </c>
      <c r="E562" s="1" t="s">
        <v>1050</v>
      </c>
      <c r="F562" s="1" t="s">
        <v>1051</v>
      </c>
      <c r="G562" s="1"/>
      <c r="H562" s="1" t="s">
        <v>1040</v>
      </c>
      <c r="I562" s="13" t="str">
        <f t="shared" si="67"/>
        <v>2N</v>
      </c>
      <c r="J562" t="str">
        <f t="shared" si="68"/>
        <v xml:space="preserve">1459 </v>
      </c>
      <c r="K562" t="str">
        <f t="shared" si="69"/>
        <v/>
      </c>
      <c r="L562" t="str">
        <f t="shared" si="70"/>
        <v>Plat 1</v>
      </c>
      <c r="M562" s="8" t="str">
        <f t="shared" si="71"/>
        <v xml:space="preserve"> 1</v>
      </c>
      <c r="O562"/>
    </row>
    <row r="563" spans="2:24" ht="15" customHeight="1" x14ac:dyDescent="0.25">
      <c r="B563" s="3" t="s">
        <v>2143</v>
      </c>
      <c r="C563" s="1" t="s">
        <v>565</v>
      </c>
      <c r="D563" s="2" t="s">
        <v>1058</v>
      </c>
      <c r="E563" s="1" t="s">
        <v>1047</v>
      </c>
      <c r="F563" s="2" t="s">
        <v>1372</v>
      </c>
      <c r="G563" s="1" t="s">
        <v>2144</v>
      </c>
      <c r="H563" s="1" t="s">
        <v>1046</v>
      </c>
      <c r="I563" s="13" t="str">
        <f t="shared" si="67"/>
        <v>1K</v>
      </c>
      <c r="J563" t="str">
        <f t="shared" si="68"/>
        <v xml:space="preserve">1459 </v>
      </c>
      <c r="K563" t="str">
        <f t="shared" si="69"/>
        <v>1459½</v>
      </c>
      <c r="L563" t="str">
        <f t="shared" si="70"/>
        <v>Plat 9</v>
      </c>
      <c r="M563" s="8" t="str">
        <f t="shared" si="71"/>
        <v xml:space="preserve"> 9</v>
      </c>
      <c r="N563" s="4" t="s">
        <v>1372</v>
      </c>
      <c r="O563"/>
    </row>
    <row r="564" spans="2:24" ht="15" customHeight="1" x14ac:dyDescent="0.25">
      <c r="B564" s="3" t="s">
        <v>2145</v>
      </c>
      <c r="C564" s="1"/>
      <c r="D564" s="1" t="s">
        <v>1037</v>
      </c>
      <c r="E564" s="1" t="s">
        <v>2148</v>
      </c>
      <c r="F564" s="2" t="s">
        <v>1254</v>
      </c>
      <c r="G564" s="1" t="s">
        <v>2146</v>
      </c>
      <c r="H564" s="1" t="s">
        <v>1046</v>
      </c>
      <c r="I564" s="13" t="str">
        <f t="shared" si="67"/>
        <v>2S</v>
      </c>
      <c r="J564" t="str">
        <f t="shared" si="68"/>
        <v/>
      </c>
      <c r="K564" t="str">
        <f t="shared" si="69"/>
        <v xml:space="preserve">1500 </v>
      </c>
      <c r="L564" t="str">
        <f t="shared" si="70"/>
        <v>Plat11</v>
      </c>
      <c r="M564" s="8" t="str">
        <f t="shared" si="71"/>
        <v>11</v>
      </c>
      <c r="N564" t="s">
        <v>2975</v>
      </c>
      <c r="O564" t="s">
        <v>3039</v>
      </c>
      <c r="P564" t="s">
        <v>3040</v>
      </c>
      <c r="Q564" t="s">
        <v>2978</v>
      </c>
      <c r="R564" t="s">
        <v>1298</v>
      </c>
      <c r="S564" t="s">
        <v>2979</v>
      </c>
      <c r="T564" t="s">
        <v>2980</v>
      </c>
      <c r="U564" t="s">
        <v>2981</v>
      </c>
      <c r="V564" t="s">
        <v>2982</v>
      </c>
      <c r="W564" t="s">
        <v>1254</v>
      </c>
    </row>
    <row r="565" spans="2:24" ht="15" customHeight="1" x14ac:dyDescent="0.25">
      <c r="B565" s="3" t="s">
        <v>2147</v>
      </c>
      <c r="C565" s="1"/>
      <c r="D565" s="1" t="s">
        <v>1037</v>
      </c>
      <c r="E565" s="1" t="s">
        <v>1061</v>
      </c>
      <c r="F565" s="2" t="s">
        <v>1039</v>
      </c>
      <c r="G565" s="1" t="s">
        <v>2146</v>
      </c>
      <c r="H565" s="1" t="s">
        <v>1040</v>
      </c>
      <c r="I565" s="13" t="str">
        <f t="shared" si="67"/>
        <v>2Y</v>
      </c>
      <c r="J565" t="str">
        <f t="shared" si="68"/>
        <v/>
      </c>
      <c r="K565" t="str">
        <f t="shared" si="69"/>
        <v xml:space="preserve">1500 </v>
      </c>
      <c r="L565" t="str">
        <f t="shared" si="70"/>
        <v>Plat 2</v>
      </c>
      <c r="M565" s="8" t="str">
        <f t="shared" si="71"/>
        <v xml:space="preserve"> 2</v>
      </c>
      <c r="N565" s="4" t="s">
        <v>3010</v>
      </c>
      <c r="O565" s="15" t="s">
        <v>3011</v>
      </c>
    </row>
    <row r="566" spans="2:24" ht="15" customHeight="1" x14ac:dyDescent="0.25">
      <c r="B566" s="3" t="s">
        <v>2149</v>
      </c>
      <c r="C566" s="1" t="s">
        <v>2150</v>
      </c>
      <c r="D566" s="2" t="s">
        <v>1372</v>
      </c>
      <c r="E566" s="1" t="s">
        <v>2271</v>
      </c>
      <c r="F566" s="2" t="s">
        <v>1058</v>
      </c>
      <c r="G566" s="1" t="s">
        <v>563</v>
      </c>
      <c r="H566" s="1" t="s">
        <v>1046</v>
      </c>
      <c r="I566" s="13" t="str">
        <f t="shared" ref="I566:I621" si="72">LEFT(B566,2)</f>
        <v>1K</v>
      </c>
      <c r="J566" t="str">
        <f t="shared" ref="J566:J621" si="73">LEFT(C566,5)</f>
        <v>1501½</v>
      </c>
      <c r="K566" t="str">
        <f t="shared" ref="K566:K621" si="74">LEFT(G566,5)</f>
        <v xml:space="preserve">1502 </v>
      </c>
      <c r="L566" t="str">
        <f t="shared" ref="L566:L621" si="75">LEFT(E566,6)</f>
        <v>Plat10</v>
      </c>
      <c r="M566" s="8" t="str">
        <f t="shared" ref="M566:M621" si="76">RIGHT(L566,2)</f>
        <v>10</v>
      </c>
      <c r="N566" s="4" t="s">
        <v>1044</v>
      </c>
      <c r="O566" s="4" t="s">
        <v>3019</v>
      </c>
      <c r="P566" s="4" t="s">
        <v>3020</v>
      </c>
      <c r="Q566" s="4" t="s">
        <v>3021</v>
      </c>
      <c r="R566" s="4" t="s">
        <v>3022</v>
      </c>
      <c r="S566" s="4" t="s">
        <v>3023</v>
      </c>
      <c r="T566" s="4" t="s">
        <v>3024</v>
      </c>
      <c r="U566" s="4" t="s">
        <v>3025</v>
      </c>
      <c r="V566" s="4" t="s">
        <v>1058</v>
      </c>
    </row>
    <row r="567" spans="2:24" ht="15" customHeight="1" x14ac:dyDescent="0.25">
      <c r="B567" s="3" t="s">
        <v>2151</v>
      </c>
      <c r="C567" s="1" t="s">
        <v>2152</v>
      </c>
      <c r="D567" s="2" t="s">
        <v>1039</v>
      </c>
      <c r="E567" s="1" t="s">
        <v>1075</v>
      </c>
      <c r="F567" s="1" t="s">
        <v>1051</v>
      </c>
      <c r="G567" s="1"/>
      <c r="H567" s="1" t="s">
        <v>1040</v>
      </c>
      <c r="I567" s="13" t="str">
        <f t="shared" si="72"/>
        <v>2L</v>
      </c>
      <c r="J567" t="str">
        <f t="shared" si="73"/>
        <v xml:space="preserve">1504 </v>
      </c>
      <c r="K567" t="str">
        <f t="shared" si="74"/>
        <v/>
      </c>
      <c r="L567" t="str">
        <f t="shared" si="75"/>
        <v>Plat 2</v>
      </c>
      <c r="M567" s="8" t="str">
        <f t="shared" si="76"/>
        <v xml:space="preserve"> 2</v>
      </c>
      <c r="O567"/>
    </row>
    <row r="568" spans="2:24" ht="15" customHeight="1" x14ac:dyDescent="0.25">
      <c r="B568" s="3" t="s">
        <v>2153</v>
      </c>
      <c r="C568" s="1" t="s">
        <v>568</v>
      </c>
      <c r="D568" s="2" t="s">
        <v>1242</v>
      </c>
      <c r="E568" s="1" t="s">
        <v>1047</v>
      </c>
      <c r="F568" s="2" t="s">
        <v>1372</v>
      </c>
      <c r="G568" s="1" t="s">
        <v>2154</v>
      </c>
      <c r="H568" s="1" t="s">
        <v>1046</v>
      </c>
      <c r="I568" s="13" t="str">
        <f t="shared" si="72"/>
        <v>1Y</v>
      </c>
      <c r="J568" t="str">
        <f t="shared" si="73"/>
        <v xml:space="preserve">1505 </v>
      </c>
      <c r="K568" t="str">
        <f t="shared" si="74"/>
        <v>1505½</v>
      </c>
      <c r="L568" t="str">
        <f t="shared" si="75"/>
        <v>Plat 9</v>
      </c>
      <c r="M568" s="8" t="str">
        <f t="shared" si="76"/>
        <v xml:space="preserve"> 9</v>
      </c>
      <c r="N568" s="4" t="s">
        <v>1372</v>
      </c>
      <c r="O568"/>
    </row>
    <row r="569" spans="2:24" ht="15" customHeight="1" x14ac:dyDescent="0.25">
      <c r="B569" s="3" t="s">
        <v>2155</v>
      </c>
      <c r="C569" s="1" t="s">
        <v>2156</v>
      </c>
      <c r="D569" s="2" t="s">
        <v>1254</v>
      </c>
      <c r="E569" s="1" t="s">
        <v>2148</v>
      </c>
      <c r="F569" s="1" t="s">
        <v>1051</v>
      </c>
      <c r="G569" s="1"/>
      <c r="H569" s="1" t="s">
        <v>1046</v>
      </c>
      <c r="I569" s="13" t="str">
        <f t="shared" si="72"/>
        <v>2S</v>
      </c>
      <c r="J569" t="str">
        <f t="shared" si="73"/>
        <v xml:space="preserve">1507 </v>
      </c>
      <c r="K569" t="str">
        <f t="shared" si="74"/>
        <v/>
      </c>
      <c r="L569" t="str">
        <f t="shared" si="75"/>
        <v>Plat11</v>
      </c>
      <c r="M569" s="8" t="str">
        <f t="shared" si="76"/>
        <v>11</v>
      </c>
      <c r="O569"/>
    </row>
    <row r="570" spans="2:24" ht="15" customHeight="1" x14ac:dyDescent="0.25">
      <c r="B570" s="3" t="s">
        <v>1267</v>
      </c>
      <c r="C570" s="1"/>
      <c r="D570" s="1" t="s">
        <v>1037</v>
      </c>
      <c r="E570" s="1" t="s">
        <v>1038</v>
      </c>
      <c r="F570" s="2" t="s">
        <v>1074</v>
      </c>
      <c r="G570" s="1" t="s">
        <v>2156</v>
      </c>
      <c r="H570" s="1" t="s">
        <v>1040</v>
      </c>
      <c r="I570" s="13" t="str">
        <f t="shared" si="72"/>
        <v>2N</v>
      </c>
      <c r="J570" t="str">
        <f t="shared" si="73"/>
        <v/>
      </c>
      <c r="K570" t="str">
        <f t="shared" si="74"/>
        <v xml:space="preserve">1507 </v>
      </c>
      <c r="L570" t="str">
        <f t="shared" si="75"/>
        <v>Plat 1</v>
      </c>
      <c r="M570" s="8" t="str">
        <f t="shared" si="76"/>
        <v xml:space="preserve"> 1</v>
      </c>
      <c r="N570" s="4" t="s">
        <v>3010</v>
      </c>
      <c r="O570" s="15" t="s">
        <v>3011</v>
      </c>
    </row>
    <row r="571" spans="2:24" ht="15" customHeight="1" x14ac:dyDescent="0.25">
      <c r="B571" s="3" t="s">
        <v>1310</v>
      </c>
      <c r="C571" s="1" t="s">
        <v>2157</v>
      </c>
      <c r="D571" s="2" t="s">
        <v>1372</v>
      </c>
      <c r="E571" s="1" t="s">
        <v>1043</v>
      </c>
      <c r="F571" s="2" t="s">
        <v>1044</v>
      </c>
      <c r="G571" s="1" t="s">
        <v>2158</v>
      </c>
      <c r="H571" s="1" t="s">
        <v>1046</v>
      </c>
      <c r="I571" s="13" t="str">
        <f t="shared" si="72"/>
        <v>2W</v>
      </c>
      <c r="J571" t="str">
        <f t="shared" si="73"/>
        <v>1506½</v>
      </c>
      <c r="K571" t="str">
        <f t="shared" si="74"/>
        <v>1508½</v>
      </c>
      <c r="L571" t="str">
        <f t="shared" si="75"/>
        <v>Plat 8</v>
      </c>
      <c r="M571" s="8" t="str">
        <f t="shared" si="76"/>
        <v xml:space="preserve"> 8</v>
      </c>
      <c r="N571" s="4" t="s">
        <v>3012</v>
      </c>
      <c r="O571" s="4" t="s">
        <v>3013</v>
      </c>
      <c r="P571" s="4" t="s">
        <v>1181</v>
      </c>
      <c r="Q571" s="4" t="s">
        <v>3014</v>
      </c>
      <c r="R571" s="4" t="s">
        <v>3015</v>
      </c>
      <c r="S571" s="4" t="s">
        <v>3016</v>
      </c>
      <c r="T571" s="4" t="s">
        <v>3004</v>
      </c>
      <c r="U571" s="4" t="s">
        <v>1161</v>
      </c>
      <c r="V571" s="4" t="s">
        <v>3017</v>
      </c>
      <c r="W571" s="4" t="s">
        <v>3018</v>
      </c>
      <c r="X571" s="4" t="s">
        <v>1044</v>
      </c>
    </row>
    <row r="572" spans="2:24" ht="15" customHeight="1" x14ac:dyDescent="0.25">
      <c r="B572" s="3" t="s">
        <v>1052</v>
      </c>
      <c r="C572" s="1" t="s">
        <v>2156</v>
      </c>
      <c r="D572" s="2" t="s">
        <v>1044</v>
      </c>
      <c r="E572" s="1" t="s">
        <v>1054</v>
      </c>
      <c r="F572" s="2" t="s">
        <v>1372</v>
      </c>
      <c r="G572" s="1" t="s">
        <v>569</v>
      </c>
      <c r="H572" s="1" t="s">
        <v>1046</v>
      </c>
      <c r="I572" s="13" t="str">
        <f t="shared" si="72"/>
        <v>2W</v>
      </c>
      <c r="J572" t="str">
        <f t="shared" si="73"/>
        <v xml:space="preserve">1507 </v>
      </c>
      <c r="K572" t="str">
        <f t="shared" si="74"/>
        <v xml:space="preserve">1509 </v>
      </c>
      <c r="L572" t="str">
        <f t="shared" si="75"/>
        <v>Plat 5</v>
      </c>
      <c r="M572" s="8" t="str">
        <f t="shared" si="76"/>
        <v xml:space="preserve"> 5</v>
      </c>
      <c r="N572" s="4" t="s">
        <v>1372</v>
      </c>
      <c r="O572"/>
    </row>
    <row r="573" spans="2:24" ht="15" customHeight="1" x14ac:dyDescent="0.25">
      <c r="B573" s="3" t="s">
        <v>2159</v>
      </c>
      <c r="C573" s="1" t="s">
        <v>2160</v>
      </c>
      <c r="D573" s="2" t="s">
        <v>1372</v>
      </c>
      <c r="E573" s="1" t="s">
        <v>2271</v>
      </c>
      <c r="F573" s="2" t="s">
        <v>1242</v>
      </c>
      <c r="G573" s="1" t="s">
        <v>569</v>
      </c>
      <c r="H573" s="1" t="s">
        <v>1046</v>
      </c>
      <c r="I573" s="13" t="str">
        <f t="shared" si="72"/>
        <v>1Y</v>
      </c>
      <c r="J573" t="str">
        <f t="shared" si="73"/>
        <v>1508½</v>
      </c>
      <c r="K573" t="str">
        <f t="shared" si="74"/>
        <v xml:space="preserve">1509 </v>
      </c>
      <c r="L573" t="str">
        <f t="shared" si="75"/>
        <v>Plat10</v>
      </c>
      <c r="M573" s="8" t="str">
        <f t="shared" si="76"/>
        <v>10</v>
      </c>
      <c r="N573" t="s">
        <v>1044</v>
      </c>
      <c r="O573" t="s">
        <v>1473</v>
      </c>
      <c r="P573" t="s">
        <v>3000</v>
      </c>
      <c r="Q573" t="s">
        <v>3001</v>
      </c>
      <c r="R573" t="s">
        <v>3002</v>
      </c>
      <c r="S573" t="s">
        <v>3003</v>
      </c>
      <c r="T573" t="s">
        <v>1091</v>
      </c>
      <c r="U573" t="s">
        <v>3006</v>
      </c>
      <c r="V573" t="s">
        <v>1242</v>
      </c>
    </row>
    <row r="574" spans="2:24" ht="15" customHeight="1" x14ac:dyDescent="0.25">
      <c r="B574" s="3" t="s">
        <v>2161</v>
      </c>
      <c r="C574" s="1" t="s">
        <v>2162</v>
      </c>
      <c r="D574" s="2" t="s">
        <v>1074</v>
      </c>
      <c r="E574" s="1" t="s">
        <v>1050</v>
      </c>
      <c r="F574" s="1" t="s">
        <v>1051</v>
      </c>
      <c r="G574" s="1"/>
      <c r="H574" s="1" t="s">
        <v>1040</v>
      </c>
      <c r="I574" s="13" t="str">
        <f t="shared" si="72"/>
        <v>2N</v>
      </c>
      <c r="J574" t="str">
        <f t="shared" si="73"/>
        <v xml:space="preserve">1514 </v>
      </c>
      <c r="K574" t="str">
        <f t="shared" si="74"/>
        <v/>
      </c>
      <c r="L574" t="str">
        <f t="shared" si="75"/>
        <v>Plat 1</v>
      </c>
      <c r="M574" s="8" t="str">
        <f t="shared" si="76"/>
        <v xml:space="preserve"> 1</v>
      </c>
      <c r="O574"/>
    </row>
    <row r="575" spans="2:24" ht="15" customHeight="1" x14ac:dyDescent="0.25">
      <c r="B575" s="3" t="s">
        <v>2163</v>
      </c>
      <c r="C575" s="1"/>
      <c r="D575" s="1" t="s">
        <v>1037</v>
      </c>
      <c r="E575" s="1" t="s">
        <v>1061</v>
      </c>
      <c r="F575" s="2" t="s">
        <v>1039</v>
      </c>
      <c r="G575" s="1" t="s">
        <v>575</v>
      </c>
      <c r="H575" s="1" t="s">
        <v>1040</v>
      </c>
      <c r="I575" s="13" t="str">
        <f t="shared" si="72"/>
        <v>2Y</v>
      </c>
      <c r="J575" t="str">
        <f t="shared" si="73"/>
        <v/>
      </c>
      <c r="K575" t="str">
        <f t="shared" si="74"/>
        <v xml:space="preserve">1516 </v>
      </c>
      <c r="L575" t="str">
        <f t="shared" si="75"/>
        <v>Plat 2</v>
      </c>
      <c r="M575" s="8" t="str">
        <f t="shared" si="76"/>
        <v xml:space="preserve"> 2</v>
      </c>
      <c r="N575" s="4" t="s">
        <v>3010</v>
      </c>
      <c r="O575" s="15" t="s">
        <v>3011</v>
      </c>
    </row>
    <row r="576" spans="2:24" ht="15" customHeight="1" x14ac:dyDescent="0.25">
      <c r="B576" s="3" t="s">
        <v>1326</v>
      </c>
      <c r="C576" s="1" t="s">
        <v>2164</v>
      </c>
      <c r="D576" s="2" t="s">
        <v>1372</v>
      </c>
      <c r="E576" s="1" t="s">
        <v>1043</v>
      </c>
      <c r="F576" s="2" t="s">
        <v>1044</v>
      </c>
      <c r="G576" s="1" t="s">
        <v>2165</v>
      </c>
      <c r="H576" s="1" t="s">
        <v>1046</v>
      </c>
      <c r="I576" s="13" t="str">
        <f t="shared" si="72"/>
        <v>2W</v>
      </c>
      <c r="J576" t="str">
        <f t="shared" si="73"/>
        <v>1516½</v>
      </c>
      <c r="K576" t="str">
        <f t="shared" si="74"/>
        <v>1518½</v>
      </c>
      <c r="L576" t="str">
        <f t="shared" si="75"/>
        <v>Plat 8</v>
      </c>
      <c r="M576" s="8" t="str">
        <f t="shared" si="76"/>
        <v xml:space="preserve"> 8</v>
      </c>
      <c r="N576" s="4" t="s">
        <v>3012</v>
      </c>
      <c r="O576" s="4" t="s">
        <v>3013</v>
      </c>
      <c r="P576" s="4" t="s">
        <v>1181</v>
      </c>
      <c r="Q576" s="4" t="s">
        <v>3014</v>
      </c>
      <c r="R576" s="4" t="s">
        <v>3015</v>
      </c>
      <c r="S576" s="4" t="s">
        <v>3016</v>
      </c>
      <c r="T576" s="4" t="s">
        <v>3004</v>
      </c>
      <c r="U576" s="4" t="s">
        <v>1161</v>
      </c>
      <c r="V576" s="4" t="s">
        <v>3017</v>
      </c>
      <c r="W576" s="4" t="s">
        <v>3018</v>
      </c>
      <c r="X576" s="4" t="s">
        <v>1044</v>
      </c>
    </row>
    <row r="577" spans="2:24" ht="15" customHeight="1" x14ac:dyDescent="0.25">
      <c r="B577" s="3" t="s">
        <v>1082</v>
      </c>
      <c r="C577" s="1" t="s">
        <v>577</v>
      </c>
      <c r="D577" s="2" t="s">
        <v>1044</v>
      </c>
      <c r="E577" s="1" t="s">
        <v>1054</v>
      </c>
      <c r="F577" s="2" t="s">
        <v>1372</v>
      </c>
      <c r="G577" s="1" t="s">
        <v>580</v>
      </c>
      <c r="H577" s="1" t="s">
        <v>1046</v>
      </c>
      <c r="I577" s="13" t="str">
        <f t="shared" si="72"/>
        <v>2W</v>
      </c>
      <c r="J577" t="str">
        <f t="shared" si="73"/>
        <v xml:space="preserve">1517 </v>
      </c>
      <c r="K577" t="str">
        <f t="shared" si="74"/>
        <v xml:space="preserve">1519 </v>
      </c>
      <c r="L577" t="str">
        <f t="shared" si="75"/>
        <v>Plat 5</v>
      </c>
      <c r="M577" s="8" t="str">
        <f t="shared" si="76"/>
        <v xml:space="preserve"> 5</v>
      </c>
      <c r="N577" s="4" t="s">
        <v>1372</v>
      </c>
      <c r="O577"/>
    </row>
    <row r="578" spans="2:24" ht="15" customHeight="1" x14ac:dyDescent="0.25">
      <c r="B578" s="3" t="s">
        <v>2166</v>
      </c>
      <c r="C578" s="1" t="s">
        <v>2167</v>
      </c>
      <c r="D578" s="2" t="s">
        <v>1039</v>
      </c>
      <c r="E578" s="1" t="s">
        <v>1075</v>
      </c>
      <c r="F578" s="1" t="s">
        <v>1051</v>
      </c>
      <c r="G578" s="1"/>
      <c r="H578" s="1" t="s">
        <v>1040</v>
      </c>
      <c r="I578" s="13" t="str">
        <f t="shared" si="72"/>
        <v>2L</v>
      </c>
      <c r="J578" t="str">
        <f t="shared" si="73"/>
        <v xml:space="preserve">1519 </v>
      </c>
      <c r="K578" t="str">
        <f t="shared" si="74"/>
        <v/>
      </c>
      <c r="L578" t="str">
        <f t="shared" si="75"/>
        <v>Plat 2</v>
      </c>
      <c r="M578" s="8" t="str">
        <f t="shared" si="76"/>
        <v xml:space="preserve"> 2</v>
      </c>
      <c r="O578"/>
    </row>
    <row r="579" spans="2:24" ht="15" customHeight="1" x14ac:dyDescent="0.25">
      <c r="B579" s="3" t="s">
        <v>2168</v>
      </c>
      <c r="C579" s="1" t="s">
        <v>580</v>
      </c>
      <c r="D579" s="2" t="s">
        <v>1058</v>
      </c>
      <c r="E579" s="1" t="s">
        <v>1047</v>
      </c>
      <c r="F579" s="2" t="s">
        <v>1372</v>
      </c>
      <c r="G579" s="1" t="s">
        <v>2169</v>
      </c>
      <c r="H579" s="1" t="s">
        <v>1046</v>
      </c>
      <c r="I579" s="13" t="str">
        <f t="shared" si="72"/>
        <v>1K</v>
      </c>
      <c r="J579" t="str">
        <f t="shared" si="73"/>
        <v xml:space="preserve">1519 </v>
      </c>
      <c r="K579" t="str">
        <f t="shared" si="74"/>
        <v>1519½</v>
      </c>
      <c r="L579" t="str">
        <f t="shared" si="75"/>
        <v>Plat 9</v>
      </c>
      <c r="M579" s="8" t="str">
        <f t="shared" si="76"/>
        <v xml:space="preserve"> 9</v>
      </c>
      <c r="N579" s="4" t="s">
        <v>1372</v>
      </c>
      <c r="O579"/>
    </row>
    <row r="580" spans="2:24" ht="15" customHeight="1" x14ac:dyDescent="0.25">
      <c r="B580" s="3" t="s">
        <v>2170</v>
      </c>
      <c r="C580" s="1" t="s">
        <v>2171</v>
      </c>
      <c r="D580" s="2" t="s">
        <v>1372</v>
      </c>
      <c r="E580" s="1" t="s">
        <v>2271</v>
      </c>
      <c r="F580" s="2" t="s">
        <v>1058</v>
      </c>
      <c r="G580" s="1" t="s">
        <v>2172</v>
      </c>
      <c r="H580" s="1" t="s">
        <v>1046</v>
      </c>
      <c r="I580" s="13" t="str">
        <f t="shared" si="72"/>
        <v>2K</v>
      </c>
      <c r="J580" t="str">
        <f t="shared" si="73"/>
        <v>1519½</v>
      </c>
      <c r="K580" t="str">
        <f t="shared" si="74"/>
        <v xml:space="preserve">1520 </v>
      </c>
      <c r="L580" t="str">
        <f t="shared" si="75"/>
        <v>Plat10</v>
      </c>
      <c r="M580" s="8" t="str">
        <f t="shared" si="76"/>
        <v>10</v>
      </c>
      <c r="O580"/>
    </row>
    <row r="581" spans="2:24" ht="15" customHeight="1" x14ac:dyDescent="0.25">
      <c r="B581" s="3" t="s">
        <v>2173</v>
      </c>
      <c r="C581" s="1"/>
      <c r="D581" s="1" t="s">
        <v>1037</v>
      </c>
      <c r="E581" s="1" t="s">
        <v>1038</v>
      </c>
      <c r="F581" s="2" t="s">
        <v>1074</v>
      </c>
      <c r="G581" s="1" t="s">
        <v>2174</v>
      </c>
      <c r="H581" s="1" t="s">
        <v>1040</v>
      </c>
      <c r="I581" s="13" t="str">
        <f t="shared" si="72"/>
        <v>2N</v>
      </c>
      <c r="J581" t="str">
        <f t="shared" si="73"/>
        <v/>
      </c>
      <c r="K581" t="str">
        <f t="shared" si="74"/>
        <v xml:space="preserve">1522 </v>
      </c>
      <c r="L581" t="str">
        <f t="shared" si="75"/>
        <v>Plat 1</v>
      </c>
      <c r="M581" s="8" t="str">
        <f t="shared" si="76"/>
        <v xml:space="preserve"> 1</v>
      </c>
      <c r="N581" s="4" t="s">
        <v>3010</v>
      </c>
      <c r="O581" s="15" t="s">
        <v>3011</v>
      </c>
    </row>
    <row r="582" spans="2:24" ht="15" customHeight="1" x14ac:dyDescent="0.25">
      <c r="B582" s="3" t="s">
        <v>2175</v>
      </c>
      <c r="C582" s="1" t="s">
        <v>2174</v>
      </c>
      <c r="D582" s="2" t="s">
        <v>1185</v>
      </c>
      <c r="E582" s="1" t="s">
        <v>1047</v>
      </c>
      <c r="F582" s="2" t="s">
        <v>1372</v>
      </c>
      <c r="G582" s="1" t="s">
        <v>2176</v>
      </c>
      <c r="H582" s="1" t="s">
        <v>1046</v>
      </c>
      <c r="I582" s="13" t="str">
        <f t="shared" si="72"/>
        <v>1N</v>
      </c>
      <c r="J582" t="str">
        <f t="shared" si="73"/>
        <v xml:space="preserve">1522 </v>
      </c>
      <c r="K582" t="str">
        <f t="shared" si="74"/>
        <v>1522½</v>
      </c>
      <c r="L582" t="str">
        <f t="shared" si="75"/>
        <v>Plat 9</v>
      </c>
      <c r="M582" s="8" t="str">
        <f t="shared" si="76"/>
        <v xml:space="preserve"> 9</v>
      </c>
      <c r="N582" s="4" t="s">
        <v>1372</v>
      </c>
      <c r="O582"/>
    </row>
    <row r="583" spans="2:24" ht="15" customHeight="1" x14ac:dyDescent="0.25">
      <c r="B583" s="3" t="s">
        <v>2177</v>
      </c>
      <c r="C583" s="1" t="s">
        <v>2178</v>
      </c>
      <c r="D583" s="2" t="s">
        <v>1372</v>
      </c>
      <c r="E583" s="1" t="s">
        <v>2271</v>
      </c>
      <c r="F583" s="2" t="s">
        <v>1185</v>
      </c>
      <c r="G583" s="1" t="s">
        <v>2179</v>
      </c>
      <c r="H583" s="1" t="s">
        <v>1046</v>
      </c>
      <c r="I583" s="13" t="str">
        <f t="shared" si="72"/>
        <v>1N</v>
      </c>
      <c r="J583" t="str">
        <f t="shared" si="73"/>
        <v>1524½</v>
      </c>
      <c r="K583" t="str">
        <f t="shared" si="74"/>
        <v xml:space="preserve">1525 </v>
      </c>
      <c r="L583" t="str">
        <f t="shared" si="75"/>
        <v>Plat10</v>
      </c>
      <c r="M583" s="8" t="str">
        <f t="shared" si="76"/>
        <v>10</v>
      </c>
      <c r="N583" t="s">
        <v>1044</v>
      </c>
      <c r="O583" t="s">
        <v>2999</v>
      </c>
      <c r="P583" t="s">
        <v>1473</v>
      </c>
      <c r="Q583" t="s">
        <v>3001</v>
      </c>
      <c r="R583" t="s">
        <v>3003</v>
      </c>
      <c r="S583" t="s">
        <v>1091</v>
      </c>
      <c r="T583" t="s">
        <v>3031</v>
      </c>
      <c r="U583" t="s">
        <v>3046</v>
      </c>
      <c r="V583" t="s">
        <v>3047</v>
      </c>
    </row>
    <row r="584" spans="2:24" ht="15" customHeight="1" x14ac:dyDescent="0.25">
      <c r="B584" s="3" t="s">
        <v>2180</v>
      </c>
      <c r="C584" s="1"/>
      <c r="D584" s="1" t="s">
        <v>1037</v>
      </c>
      <c r="E584" s="1" t="s">
        <v>1061</v>
      </c>
      <c r="F584" s="2" t="s">
        <v>1039</v>
      </c>
      <c r="G584" s="1" t="s">
        <v>584</v>
      </c>
      <c r="H584" s="1" t="s">
        <v>1040</v>
      </c>
      <c r="I584" s="13" t="str">
        <f t="shared" si="72"/>
        <v>2Y</v>
      </c>
      <c r="J584" t="str">
        <f t="shared" si="73"/>
        <v/>
      </c>
      <c r="K584" t="str">
        <f t="shared" si="74"/>
        <v xml:space="preserve">1528 </v>
      </c>
      <c r="L584" t="str">
        <f t="shared" si="75"/>
        <v>Plat 2</v>
      </c>
      <c r="M584" s="8" t="str">
        <f t="shared" si="76"/>
        <v xml:space="preserve"> 2</v>
      </c>
      <c r="N584" s="4" t="s">
        <v>3010</v>
      </c>
      <c r="O584" s="15" t="s">
        <v>3011</v>
      </c>
    </row>
    <row r="585" spans="2:24" ht="15" customHeight="1" x14ac:dyDescent="0.25">
      <c r="B585" s="3" t="s">
        <v>1342</v>
      </c>
      <c r="C585" s="1" t="s">
        <v>2181</v>
      </c>
      <c r="D585" s="2" t="s">
        <v>1372</v>
      </c>
      <c r="E585" s="1" t="s">
        <v>1043</v>
      </c>
      <c r="F585" s="2" t="s">
        <v>1044</v>
      </c>
      <c r="G585" s="1" t="s">
        <v>2182</v>
      </c>
      <c r="H585" s="1" t="s">
        <v>1046</v>
      </c>
      <c r="I585" s="13" t="str">
        <f t="shared" si="72"/>
        <v>2W</v>
      </c>
      <c r="J585" t="str">
        <f t="shared" si="73"/>
        <v>1526½</v>
      </c>
      <c r="K585" t="str">
        <f t="shared" si="74"/>
        <v>1528½</v>
      </c>
      <c r="L585" t="str">
        <f t="shared" si="75"/>
        <v>Plat 8</v>
      </c>
      <c r="M585" s="8" t="str">
        <f t="shared" si="76"/>
        <v xml:space="preserve"> 8</v>
      </c>
      <c r="N585" s="4" t="s">
        <v>3012</v>
      </c>
      <c r="O585" s="4" t="s">
        <v>3013</v>
      </c>
      <c r="P585" s="4" t="s">
        <v>1181</v>
      </c>
      <c r="Q585" s="4" t="s">
        <v>3014</v>
      </c>
      <c r="R585" s="4" t="s">
        <v>3015</v>
      </c>
      <c r="S585" s="4" t="s">
        <v>3016</v>
      </c>
      <c r="T585" s="4" t="s">
        <v>3004</v>
      </c>
      <c r="U585" s="4" t="s">
        <v>1161</v>
      </c>
      <c r="V585" s="4" t="s">
        <v>3017</v>
      </c>
      <c r="W585" s="4" t="s">
        <v>3018</v>
      </c>
      <c r="X585" s="4" t="s">
        <v>1044</v>
      </c>
    </row>
    <row r="586" spans="2:24" ht="15" customHeight="1" x14ac:dyDescent="0.25">
      <c r="B586" s="3" t="s">
        <v>1108</v>
      </c>
      <c r="C586" s="1" t="s">
        <v>2183</v>
      </c>
      <c r="D586" s="2" t="s">
        <v>1044</v>
      </c>
      <c r="E586" s="1" t="s">
        <v>1054</v>
      </c>
      <c r="F586" s="2" t="s">
        <v>1372</v>
      </c>
      <c r="G586" s="1" t="s">
        <v>2184</v>
      </c>
      <c r="H586" s="1" t="s">
        <v>1046</v>
      </c>
      <c r="I586" s="13" t="str">
        <f t="shared" si="72"/>
        <v>2W</v>
      </c>
      <c r="J586" t="str">
        <f t="shared" si="73"/>
        <v xml:space="preserve">1527 </v>
      </c>
      <c r="K586" t="str">
        <f t="shared" si="74"/>
        <v xml:space="preserve">1529 </v>
      </c>
      <c r="L586" t="str">
        <f t="shared" si="75"/>
        <v>Plat 5</v>
      </c>
      <c r="M586" s="8" t="str">
        <f t="shared" si="76"/>
        <v xml:space="preserve"> 5</v>
      </c>
      <c r="N586" s="4" t="s">
        <v>1372</v>
      </c>
      <c r="O586"/>
    </row>
    <row r="587" spans="2:24" ht="15" customHeight="1" x14ac:dyDescent="0.25">
      <c r="B587" s="3" t="s">
        <v>2185</v>
      </c>
      <c r="C587" s="1"/>
      <c r="D587" s="1" t="s">
        <v>1037</v>
      </c>
      <c r="E587" s="1" t="s">
        <v>2148</v>
      </c>
      <c r="F587" s="2" t="s">
        <v>1254</v>
      </c>
      <c r="G587" s="1" t="s">
        <v>587</v>
      </c>
      <c r="H587" s="1" t="s">
        <v>1046</v>
      </c>
      <c r="I587" s="13" t="str">
        <f t="shared" si="72"/>
        <v>2S</v>
      </c>
      <c r="J587" t="str">
        <f t="shared" si="73"/>
        <v/>
      </c>
      <c r="K587" t="str">
        <f t="shared" si="74"/>
        <v xml:space="preserve">1530 </v>
      </c>
      <c r="L587" t="str">
        <f t="shared" si="75"/>
        <v>Plat11</v>
      </c>
      <c r="M587" s="8" t="str">
        <f t="shared" si="76"/>
        <v>11</v>
      </c>
      <c r="N587" t="s">
        <v>2975</v>
      </c>
      <c r="O587" t="s">
        <v>3039</v>
      </c>
      <c r="P587" t="s">
        <v>3041</v>
      </c>
      <c r="Q587" t="s">
        <v>3042</v>
      </c>
      <c r="R587" t="s">
        <v>2978</v>
      </c>
      <c r="S587" t="s">
        <v>1298</v>
      </c>
      <c r="T587" t="s">
        <v>2980</v>
      </c>
      <c r="U587" t="s">
        <v>2982</v>
      </c>
      <c r="V587" t="s">
        <v>1254</v>
      </c>
    </row>
    <row r="588" spans="2:24" ht="15" customHeight="1" x14ac:dyDescent="0.25">
      <c r="B588" s="3" t="s">
        <v>2186</v>
      </c>
      <c r="C588" s="1" t="s">
        <v>2187</v>
      </c>
      <c r="D588" s="2" t="s">
        <v>1074</v>
      </c>
      <c r="E588" s="1" t="s">
        <v>1050</v>
      </c>
      <c r="F588" s="1" t="s">
        <v>1051</v>
      </c>
      <c r="G588" s="1"/>
      <c r="H588" s="1" t="s">
        <v>1040</v>
      </c>
      <c r="I588" s="13" t="str">
        <f t="shared" si="72"/>
        <v>2N</v>
      </c>
      <c r="J588" t="str">
        <f t="shared" si="73"/>
        <v xml:space="preserve">1531 </v>
      </c>
      <c r="K588" t="str">
        <f t="shared" si="74"/>
        <v/>
      </c>
      <c r="L588" t="str">
        <f t="shared" si="75"/>
        <v>Plat 1</v>
      </c>
      <c r="M588" s="8" t="str">
        <f t="shared" si="76"/>
        <v xml:space="preserve"> 1</v>
      </c>
      <c r="O588"/>
    </row>
    <row r="589" spans="2:24" ht="15" customHeight="1" x14ac:dyDescent="0.25">
      <c r="B589" s="3" t="s">
        <v>2188</v>
      </c>
      <c r="C589" s="1" t="s">
        <v>2189</v>
      </c>
      <c r="D589" s="2" t="s">
        <v>1039</v>
      </c>
      <c r="E589" s="1" t="s">
        <v>1075</v>
      </c>
      <c r="F589" s="1" t="s">
        <v>1051</v>
      </c>
      <c r="G589" s="1"/>
      <c r="H589" s="1" t="s">
        <v>1040</v>
      </c>
      <c r="I589" s="13" t="str">
        <f t="shared" si="72"/>
        <v>2L</v>
      </c>
      <c r="J589" t="str">
        <f t="shared" si="73"/>
        <v xml:space="preserve">1534 </v>
      </c>
      <c r="K589" t="str">
        <f t="shared" si="74"/>
        <v/>
      </c>
      <c r="L589" t="str">
        <f t="shared" si="75"/>
        <v>Plat 2</v>
      </c>
      <c r="M589" s="8" t="str">
        <f t="shared" si="76"/>
        <v xml:space="preserve"> 2</v>
      </c>
      <c r="O589"/>
    </row>
    <row r="590" spans="2:24" ht="15" customHeight="1" x14ac:dyDescent="0.25">
      <c r="B590" s="3" t="s">
        <v>2190</v>
      </c>
      <c r="C590" s="1" t="s">
        <v>2191</v>
      </c>
      <c r="D590" s="2" t="s">
        <v>1304</v>
      </c>
      <c r="E590" s="1" t="s">
        <v>1047</v>
      </c>
      <c r="F590" s="2" t="s">
        <v>1372</v>
      </c>
      <c r="G590" s="1" t="s">
        <v>2192</v>
      </c>
      <c r="H590" s="1" t="s">
        <v>1046</v>
      </c>
      <c r="I590" s="13" t="str">
        <f t="shared" si="72"/>
        <v>2F</v>
      </c>
      <c r="J590" t="str">
        <f t="shared" si="73"/>
        <v xml:space="preserve">1536 </v>
      </c>
      <c r="K590" t="str">
        <f t="shared" si="74"/>
        <v>1536½</v>
      </c>
      <c r="L590" t="str">
        <f t="shared" si="75"/>
        <v>Plat 9</v>
      </c>
      <c r="M590" s="8" t="str">
        <f t="shared" si="76"/>
        <v xml:space="preserve"> 9</v>
      </c>
      <c r="N590" s="4" t="s">
        <v>1372</v>
      </c>
      <c r="O590"/>
    </row>
    <row r="591" spans="2:24" ht="15" customHeight="1" x14ac:dyDescent="0.25">
      <c r="B591" s="3" t="s">
        <v>2193</v>
      </c>
      <c r="C591" s="1" t="s">
        <v>593</v>
      </c>
      <c r="D591" s="2" t="s">
        <v>1254</v>
      </c>
      <c r="E591" s="1" t="s">
        <v>2148</v>
      </c>
      <c r="F591" s="1" t="s">
        <v>1051</v>
      </c>
      <c r="G591" s="1"/>
      <c r="H591" s="1" t="s">
        <v>1046</v>
      </c>
      <c r="I591" s="13" t="str">
        <f t="shared" si="72"/>
        <v>2S</v>
      </c>
      <c r="J591" t="str">
        <f t="shared" si="73"/>
        <v xml:space="preserve">1537 </v>
      </c>
      <c r="K591" t="str">
        <f t="shared" si="74"/>
        <v/>
      </c>
      <c r="L591" t="str">
        <f t="shared" si="75"/>
        <v>Plat11</v>
      </c>
      <c r="M591" s="8" t="str">
        <f t="shared" si="76"/>
        <v>11</v>
      </c>
      <c r="O591"/>
    </row>
    <row r="592" spans="2:24" ht="15" customHeight="1" x14ac:dyDescent="0.25">
      <c r="B592" s="3" t="s">
        <v>2194</v>
      </c>
      <c r="C592" s="1"/>
      <c r="D592" s="1" t="s">
        <v>1037</v>
      </c>
      <c r="E592" s="1" t="s">
        <v>1038</v>
      </c>
      <c r="F592" s="2" t="s">
        <v>1074</v>
      </c>
      <c r="G592" s="1" t="s">
        <v>593</v>
      </c>
      <c r="H592" s="1" t="s">
        <v>1040</v>
      </c>
      <c r="I592" s="13" t="str">
        <f t="shared" si="72"/>
        <v>2N</v>
      </c>
      <c r="J592" t="str">
        <f t="shared" si="73"/>
        <v/>
      </c>
      <c r="K592" t="str">
        <f t="shared" si="74"/>
        <v xml:space="preserve">1537 </v>
      </c>
      <c r="L592" t="str">
        <f t="shared" si="75"/>
        <v>Plat 1</v>
      </c>
      <c r="M592" s="8" t="str">
        <f t="shared" si="76"/>
        <v xml:space="preserve"> 1</v>
      </c>
      <c r="N592" s="4" t="s">
        <v>3010</v>
      </c>
      <c r="O592" s="15" t="s">
        <v>3011</v>
      </c>
    </row>
    <row r="593" spans="2:24" ht="15" customHeight="1" x14ac:dyDescent="0.25">
      <c r="B593" s="3" t="s">
        <v>1364</v>
      </c>
      <c r="C593" s="1" t="s">
        <v>2195</v>
      </c>
      <c r="D593" s="2" t="s">
        <v>1372</v>
      </c>
      <c r="E593" s="1" t="s">
        <v>1043</v>
      </c>
      <c r="F593" s="2" t="s">
        <v>1044</v>
      </c>
      <c r="G593" s="1" t="s">
        <v>2196</v>
      </c>
      <c r="H593" s="1" t="s">
        <v>1046</v>
      </c>
      <c r="I593" s="13" t="str">
        <f t="shared" si="72"/>
        <v>2W</v>
      </c>
      <c r="J593" t="str">
        <f t="shared" si="73"/>
        <v>1536½</v>
      </c>
      <c r="K593" t="str">
        <f t="shared" si="74"/>
        <v>1538½</v>
      </c>
      <c r="L593" t="str">
        <f t="shared" si="75"/>
        <v>Plat 8</v>
      </c>
      <c r="M593" s="8" t="str">
        <f t="shared" si="76"/>
        <v xml:space="preserve"> 8</v>
      </c>
      <c r="N593" s="4" t="s">
        <v>3012</v>
      </c>
      <c r="O593" s="4" t="s">
        <v>3013</v>
      </c>
      <c r="P593" s="4" t="s">
        <v>1181</v>
      </c>
      <c r="Q593" s="4" t="s">
        <v>3014</v>
      </c>
      <c r="R593" s="4" t="s">
        <v>3015</v>
      </c>
      <c r="S593" s="4" t="s">
        <v>3016</v>
      </c>
      <c r="T593" s="4" t="s">
        <v>3004</v>
      </c>
      <c r="U593" s="4" t="s">
        <v>1161</v>
      </c>
      <c r="V593" s="4" t="s">
        <v>3017</v>
      </c>
      <c r="W593" s="4" t="s">
        <v>3018</v>
      </c>
      <c r="X593" s="4" t="s">
        <v>1044</v>
      </c>
    </row>
    <row r="594" spans="2:24" ht="15" customHeight="1" x14ac:dyDescent="0.25">
      <c r="B594" s="3" t="s">
        <v>1339</v>
      </c>
      <c r="C594" s="1" t="s">
        <v>593</v>
      </c>
      <c r="D594" s="2" t="s">
        <v>1044</v>
      </c>
      <c r="E594" s="1" t="s">
        <v>1054</v>
      </c>
      <c r="F594" s="2" t="s">
        <v>1372</v>
      </c>
      <c r="G594" s="1" t="s">
        <v>2197</v>
      </c>
      <c r="H594" s="1" t="s">
        <v>1046</v>
      </c>
      <c r="I594" s="13" t="str">
        <f t="shared" si="72"/>
        <v>2W</v>
      </c>
      <c r="J594" t="str">
        <f t="shared" si="73"/>
        <v xml:space="preserve">1537 </v>
      </c>
      <c r="K594" t="str">
        <f t="shared" si="74"/>
        <v xml:space="preserve">1539 </v>
      </c>
      <c r="L594" t="str">
        <f t="shared" si="75"/>
        <v>Plat 5</v>
      </c>
      <c r="M594" s="8" t="str">
        <f t="shared" si="76"/>
        <v xml:space="preserve"> 5</v>
      </c>
      <c r="N594" s="4" t="s">
        <v>1372</v>
      </c>
      <c r="O594"/>
    </row>
    <row r="595" spans="2:24" ht="15" customHeight="1" x14ac:dyDescent="0.25">
      <c r="B595" s="3" t="s">
        <v>2198</v>
      </c>
      <c r="C595" s="1" t="s">
        <v>2197</v>
      </c>
      <c r="D595" s="2" t="s">
        <v>1058</v>
      </c>
      <c r="E595" s="1" t="s">
        <v>1047</v>
      </c>
      <c r="F595" s="2" t="s">
        <v>1372</v>
      </c>
      <c r="G595" s="1" t="s">
        <v>2199</v>
      </c>
      <c r="H595" s="1" t="s">
        <v>1046</v>
      </c>
      <c r="I595" s="13" t="str">
        <f t="shared" si="72"/>
        <v>1K</v>
      </c>
      <c r="J595" t="str">
        <f t="shared" si="73"/>
        <v xml:space="preserve">1539 </v>
      </c>
      <c r="K595" t="str">
        <f t="shared" si="74"/>
        <v>1539½</v>
      </c>
      <c r="L595" t="str">
        <f t="shared" si="75"/>
        <v>Plat 9</v>
      </c>
      <c r="M595" s="8" t="str">
        <f t="shared" si="76"/>
        <v xml:space="preserve"> 9</v>
      </c>
      <c r="N595" s="4" t="s">
        <v>1372</v>
      </c>
      <c r="O595"/>
    </row>
    <row r="596" spans="2:24" ht="15" customHeight="1" x14ac:dyDescent="0.25">
      <c r="B596" s="3" t="s">
        <v>2200</v>
      </c>
      <c r="C596" s="1" t="s">
        <v>2201</v>
      </c>
      <c r="D596" s="2" t="s">
        <v>1372</v>
      </c>
      <c r="E596" s="1" t="s">
        <v>2271</v>
      </c>
      <c r="F596" s="2" t="s">
        <v>1058</v>
      </c>
      <c r="G596" s="1" t="s">
        <v>596</v>
      </c>
      <c r="H596" s="1" t="s">
        <v>1046</v>
      </c>
      <c r="I596" s="13" t="str">
        <f t="shared" si="72"/>
        <v>1K</v>
      </c>
      <c r="J596" t="str">
        <f t="shared" si="73"/>
        <v>1541½</v>
      </c>
      <c r="K596" t="str">
        <f t="shared" si="74"/>
        <v xml:space="preserve">1542 </v>
      </c>
      <c r="L596" t="str">
        <f t="shared" si="75"/>
        <v>Plat10</v>
      </c>
      <c r="M596" s="8" t="str">
        <f t="shared" si="76"/>
        <v>10</v>
      </c>
      <c r="N596" s="4" t="s">
        <v>1044</v>
      </c>
      <c r="O596" s="4" t="s">
        <v>3019</v>
      </c>
      <c r="P596" s="4" t="s">
        <v>3020</v>
      </c>
      <c r="Q596" s="4" t="s">
        <v>3021</v>
      </c>
      <c r="R596" s="4" t="s">
        <v>3022</v>
      </c>
      <c r="S596" s="4" t="s">
        <v>3023</v>
      </c>
      <c r="T596" s="4" t="s">
        <v>3024</v>
      </c>
      <c r="U596" s="4" t="s">
        <v>3025</v>
      </c>
      <c r="V596" s="4" t="s">
        <v>1058</v>
      </c>
    </row>
    <row r="597" spans="2:24" ht="15" customHeight="1" x14ac:dyDescent="0.25">
      <c r="B597" s="3" t="s">
        <v>1319</v>
      </c>
      <c r="C597" s="1" t="s">
        <v>2202</v>
      </c>
      <c r="D597" s="2" t="s">
        <v>1074</v>
      </c>
      <c r="E597" s="1" t="s">
        <v>1050</v>
      </c>
      <c r="F597" s="1" t="s">
        <v>1051</v>
      </c>
      <c r="G597" s="1"/>
      <c r="H597" s="1" t="s">
        <v>1040</v>
      </c>
      <c r="I597" s="13" t="str">
        <f t="shared" si="72"/>
        <v>2N</v>
      </c>
      <c r="J597" t="str">
        <f t="shared" si="73"/>
        <v xml:space="preserve">1544 </v>
      </c>
      <c r="K597" t="str">
        <f t="shared" si="74"/>
        <v/>
      </c>
      <c r="L597" t="str">
        <f t="shared" si="75"/>
        <v>Plat 1</v>
      </c>
      <c r="M597" s="8" t="str">
        <f t="shared" si="76"/>
        <v xml:space="preserve"> 1</v>
      </c>
      <c r="O597"/>
    </row>
    <row r="598" spans="2:24" ht="15" customHeight="1" x14ac:dyDescent="0.25">
      <c r="B598" s="3" t="s">
        <v>2203</v>
      </c>
      <c r="C598" s="1" t="s">
        <v>598</v>
      </c>
      <c r="D598" s="2" t="s">
        <v>1372</v>
      </c>
      <c r="E598" s="1" t="s">
        <v>2271</v>
      </c>
      <c r="F598" s="2" t="s">
        <v>1304</v>
      </c>
      <c r="G598" s="1" t="s">
        <v>601</v>
      </c>
      <c r="H598" s="1" t="s">
        <v>1046</v>
      </c>
      <c r="I598" s="13" t="str">
        <f t="shared" si="72"/>
        <v>2F</v>
      </c>
      <c r="J598" t="str">
        <f t="shared" si="73"/>
        <v>1544½</v>
      </c>
      <c r="K598" t="str">
        <f t="shared" si="74"/>
        <v xml:space="preserve">1545 </v>
      </c>
      <c r="L598" t="str">
        <f t="shared" si="75"/>
        <v>Plat10</v>
      </c>
      <c r="M598" s="8" t="str">
        <f t="shared" si="76"/>
        <v>10</v>
      </c>
      <c r="N598" s="4" t="s">
        <v>3004</v>
      </c>
      <c r="O598" s="4" t="s">
        <v>1044</v>
      </c>
      <c r="P598" s="4" t="s">
        <v>2999</v>
      </c>
      <c r="Q598" s="4" t="s">
        <v>1473</v>
      </c>
      <c r="R598" s="4" t="s">
        <v>3000</v>
      </c>
      <c r="S598" s="4" t="s">
        <v>3001</v>
      </c>
      <c r="T598" s="4" t="s">
        <v>3002</v>
      </c>
      <c r="U598" s="4" t="s">
        <v>3003</v>
      </c>
      <c r="V598" s="4" t="s">
        <v>1091</v>
      </c>
      <c r="W598" s="4" t="s">
        <v>1304</v>
      </c>
    </row>
    <row r="599" spans="2:24" ht="15" customHeight="1" x14ac:dyDescent="0.25">
      <c r="B599" s="3" t="s">
        <v>2204</v>
      </c>
      <c r="C599" s="1"/>
      <c r="D599" s="1" t="s">
        <v>1037</v>
      </c>
      <c r="E599" s="1" t="s">
        <v>1061</v>
      </c>
      <c r="F599" s="2" t="s">
        <v>1039</v>
      </c>
      <c r="G599" s="1" t="s">
        <v>601</v>
      </c>
      <c r="H599" s="1" t="s">
        <v>1040</v>
      </c>
      <c r="I599" s="13" t="str">
        <f t="shared" si="72"/>
        <v>2Y</v>
      </c>
      <c r="J599" t="str">
        <f t="shared" si="73"/>
        <v/>
      </c>
      <c r="K599" t="str">
        <f t="shared" si="74"/>
        <v xml:space="preserve">1545 </v>
      </c>
      <c r="L599" t="str">
        <f t="shared" si="75"/>
        <v>Plat 2</v>
      </c>
      <c r="M599" s="8" t="str">
        <f t="shared" si="76"/>
        <v xml:space="preserve"> 2</v>
      </c>
      <c r="N599" s="4" t="s">
        <v>3010</v>
      </c>
      <c r="O599" s="15" t="s">
        <v>3011</v>
      </c>
    </row>
    <row r="600" spans="2:24" ht="15" customHeight="1" x14ac:dyDescent="0.25">
      <c r="B600" s="3" t="s">
        <v>2205</v>
      </c>
      <c r="C600" s="1" t="s">
        <v>601</v>
      </c>
      <c r="D600" s="2" t="s">
        <v>1066</v>
      </c>
      <c r="E600" s="1" t="s">
        <v>1047</v>
      </c>
      <c r="F600" s="2" t="s">
        <v>1372</v>
      </c>
      <c r="G600" s="1" t="s">
        <v>2273</v>
      </c>
      <c r="H600" s="1" t="s">
        <v>1046</v>
      </c>
      <c r="I600" s="13" t="str">
        <f t="shared" si="72"/>
        <v>1P</v>
      </c>
      <c r="J600" t="str">
        <f t="shared" si="73"/>
        <v xml:space="preserve">1545 </v>
      </c>
      <c r="K600" t="str">
        <f t="shared" si="74"/>
        <v xml:space="preserve">1546 </v>
      </c>
      <c r="L600" t="str">
        <f t="shared" si="75"/>
        <v>Plat 9</v>
      </c>
      <c r="M600" s="8" t="str">
        <f t="shared" si="76"/>
        <v xml:space="preserve"> 9</v>
      </c>
      <c r="N600" s="4" t="s">
        <v>1372</v>
      </c>
      <c r="O600"/>
    </row>
    <row r="601" spans="2:24" ht="15" customHeight="1" x14ac:dyDescent="0.25">
      <c r="B601" s="3" t="s">
        <v>1041</v>
      </c>
      <c r="C601" s="1" t="s">
        <v>2206</v>
      </c>
      <c r="D601" s="2" t="s">
        <v>1372</v>
      </c>
      <c r="E601" s="1" t="s">
        <v>1043</v>
      </c>
      <c r="F601" s="2" t="s">
        <v>1044</v>
      </c>
      <c r="G601" s="1" t="s">
        <v>599</v>
      </c>
      <c r="H601" s="1" t="s">
        <v>1046</v>
      </c>
      <c r="I601" s="13" t="str">
        <f t="shared" si="72"/>
        <v>2W</v>
      </c>
      <c r="J601" t="str">
        <f t="shared" si="73"/>
        <v>1546½</v>
      </c>
      <c r="K601" t="str">
        <f t="shared" si="74"/>
        <v>1548½</v>
      </c>
      <c r="L601" t="str">
        <f t="shared" si="75"/>
        <v>Plat 8</v>
      </c>
      <c r="M601" s="8" t="str">
        <f t="shared" si="76"/>
        <v xml:space="preserve"> 8</v>
      </c>
      <c r="N601" s="4" t="s">
        <v>3012</v>
      </c>
      <c r="O601" s="4" t="s">
        <v>3013</v>
      </c>
      <c r="P601" s="4" t="s">
        <v>1181</v>
      </c>
      <c r="Q601" s="4" t="s">
        <v>3014</v>
      </c>
      <c r="R601" s="4" t="s">
        <v>3015</v>
      </c>
      <c r="S601" s="4" t="s">
        <v>3016</v>
      </c>
      <c r="T601" s="4" t="s">
        <v>3004</v>
      </c>
      <c r="U601" s="4" t="s">
        <v>1161</v>
      </c>
      <c r="V601" s="4" t="s">
        <v>3017</v>
      </c>
      <c r="W601" s="4" t="s">
        <v>3018</v>
      </c>
      <c r="X601" s="4" t="s">
        <v>1044</v>
      </c>
    </row>
    <row r="602" spans="2:24" ht="15" customHeight="1" x14ac:dyDescent="0.25">
      <c r="B602" s="3" t="s">
        <v>1139</v>
      </c>
      <c r="C602" s="1" t="s">
        <v>2207</v>
      </c>
      <c r="D602" s="2" t="s">
        <v>1044</v>
      </c>
      <c r="E602" s="1" t="s">
        <v>1054</v>
      </c>
      <c r="F602" s="2" t="s">
        <v>1372</v>
      </c>
      <c r="G602" s="1" t="s">
        <v>602</v>
      </c>
      <c r="H602" s="1" t="s">
        <v>1046</v>
      </c>
      <c r="I602" s="13" t="str">
        <f t="shared" si="72"/>
        <v>2W</v>
      </c>
      <c r="J602" t="str">
        <f t="shared" si="73"/>
        <v xml:space="preserve">1547 </v>
      </c>
      <c r="K602" t="str">
        <f t="shared" si="74"/>
        <v xml:space="preserve">1549 </v>
      </c>
      <c r="L602" t="str">
        <f t="shared" si="75"/>
        <v>Plat 5</v>
      </c>
      <c r="M602" s="8" t="str">
        <f t="shared" si="76"/>
        <v xml:space="preserve"> 5</v>
      </c>
      <c r="N602" s="4" t="s">
        <v>1372</v>
      </c>
      <c r="O602"/>
    </row>
    <row r="603" spans="2:24" ht="15" customHeight="1" x14ac:dyDescent="0.25">
      <c r="B603" s="3" t="s">
        <v>2208</v>
      </c>
      <c r="C603" s="1"/>
      <c r="D603" s="1" t="s">
        <v>1037</v>
      </c>
      <c r="E603" s="1" t="s">
        <v>1038</v>
      </c>
      <c r="F603" s="2" t="s">
        <v>1074</v>
      </c>
      <c r="G603" s="1" t="s">
        <v>607</v>
      </c>
      <c r="H603" s="1" t="s">
        <v>1040</v>
      </c>
      <c r="I603" s="13" t="str">
        <f t="shared" si="72"/>
        <v>2N</v>
      </c>
      <c r="J603" t="str">
        <f t="shared" si="73"/>
        <v/>
      </c>
      <c r="K603" t="str">
        <f t="shared" si="74"/>
        <v xml:space="preserve">1552 </v>
      </c>
      <c r="L603" t="str">
        <f t="shared" si="75"/>
        <v>Plat 1</v>
      </c>
      <c r="M603" s="8" t="str">
        <f t="shared" si="76"/>
        <v xml:space="preserve"> 1</v>
      </c>
      <c r="N603" s="4" t="s">
        <v>3010</v>
      </c>
      <c r="O603" s="15" t="s">
        <v>3011</v>
      </c>
    </row>
    <row r="604" spans="2:24" ht="15" customHeight="1" x14ac:dyDescent="0.25">
      <c r="B604" s="3" t="s">
        <v>648</v>
      </c>
      <c r="C604" s="1" t="s">
        <v>607</v>
      </c>
      <c r="D604" s="2" t="s">
        <v>1237</v>
      </c>
      <c r="E604" s="1" t="s">
        <v>1047</v>
      </c>
      <c r="F604" s="2" t="s">
        <v>1372</v>
      </c>
      <c r="G604" s="1" t="s">
        <v>2209</v>
      </c>
      <c r="H604" s="1" t="s">
        <v>1046</v>
      </c>
      <c r="I604" s="13" t="str">
        <f t="shared" si="72"/>
        <v>1F</v>
      </c>
      <c r="J604" t="str">
        <f t="shared" si="73"/>
        <v xml:space="preserve">1552 </v>
      </c>
      <c r="K604" t="str">
        <f t="shared" si="74"/>
        <v>1552½</v>
      </c>
      <c r="L604" t="str">
        <f t="shared" si="75"/>
        <v>Plat 9</v>
      </c>
      <c r="M604" s="8" t="str">
        <f t="shared" si="76"/>
        <v xml:space="preserve"> 9</v>
      </c>
      <c r="N604" s="4" t="s">
        <v>1372</v>
      </c>
      <c r="O604"/>
    </row>
    <row r="605" spans="2:24" ht="15" customHeight="1" x14ac:dyDescent="0.25">
      <c r="B605" s="3" t="s">
        <v>2210</v>
      </c>
      <c r="C605" s="1" t="s">
        <v>2211</v>
      </c>
      <c r="D605" s="2" t="s">
        <v>1039</v>
      </c>
      <c r="E605" s="1" t="s">
        <v>1075</v>
      </c>
      <c r="F605" s="1" t="s">
        <v>1051</v>
      </c>
      <c r="G605" s="1"/>
      <c r="H605" s="1" t="s">
        <v>1040</v>
      </c>
      <c r="I605" s="13" t="str">
        <f t="shared" si="72"/>
        <v>2L</v>
      </c>
      <c r="J605" t="str">
        <f t="shared" si="73"/>
        <v xml:space="preserve">1554 </v>
      </c>
      <c r="K605" t="str">
        <f t="shared" si="74"/>
        <v/>
      </c>
      <c r="L605" t="str">
        <f t="shared" si="75"/>
        <v>Plat 2</v>
      </c>
      <c r="M605" s="8" t="str">
        <f t="shared" si="76"/>
        <v xml:space="preserve"> 2</v>
      </c>
      <c r="O605"/>
    </row>
    <row r="606" spans="2:24" ht="15" customHeight="1" x14ac:dyDescent="0.25">
      <c r="B606" s="3" t="s">
        <v>434</v>
      </c>
      <c r="C606" s="1" t="s">
        <v>2212</v>
      </c>
      <c r="D606" s="2" t="s">
        <v>1372</v>
      </c>
      <c r="E606" s="1" t="s">
        <v>2271</v>
      </c>
      <c r="F606" s="2" t="s">
        <v>1237</v>
      </c>
      <c r="G606" s="1" t="s">
        <v>605</v>
      </c>
      <c r="H606" s="1" t="s">
        <v>1046</v>
      </c>
      <c r="I606" s="13" t="str">
        <f t="shared" si="72"/>
        <v>1F</v>
      </c>
      <c r="J606" t="str">
        <f t="shared" si="73"/>
        <v>1554½</v>
      </c>
      <c r="K606" t="str">
        <f t="shared" si="74"/>
        <v xml:space="preserve">1555 </v>
      </c>
      <c r="L606" t="str">
        <f t="shared" si="75"/>
        <v>Plat10</v>
      </c>
      <c r="M606" s="8" t="str">
        <f t="shared" si="76"/>
        <v>10</v>
      </c>
      <c r="N606" t="s">
        <v>1044</v>
      </c>
      <c r="O606" t="s">
        <v>2999</v>
      </c>
      <c r="P606" t="s">
        <v>1473</v>
      </c>
      <c r="Q606" t="s">
        <v>3001</v>
      </c>
      <c r="R606" t="s">
        <v>3043</v>
      </c>
      <c r="S606" t="s">
        <v>3044</v>
      </c>
      <c r="T606" t="s">
        <v>3045</v>
      </c>
      <c r="U606" t="s">
        <v>1237</v>
      </c>
    </row>
    <row r="607" spans="2:24" ht="15" customHeight="1" x14ac:dyDescent="0.25">
      <c r="B607" s="3" t="s">
        <v>1069</v>
      </c>
      <c r="C607" s="1" t="s">
        <v>2213</v>
      </c>
      <c r="D607" s="2" t="s">
        <v>1372</v>
      </c>
      <c r="E607" s="1" t="s">
        <v>1043</v>
      </c>
      <c r="F607" s="2" t="s">
        <v>1044</v>
      </c>
      <c r="G607" s="1" t="s">
        <v>2214</v>
      </c>
      <c r="H607" s="1" t="s">
        <v>1046</v>
      </c>
      <c r="I607" s="13" t="str">
        <f t="shared" si="72"/>
        <v>2W</v>
      </c>
      <c r="J607" t="str">
        <f t="shared" si="73"/>
        <v>1556½</v>
      </c>
      <c r="K607" t="str">
        <f t="shared" si="74"/>
        <v>1558½</v>
      </c>
      <c r="L607" t="str">
        <f t="shared" si="75"/>
        <v>Plat 8</v>
      </c>
      <c r="M607" s="8" t="str">
        <f t="shared" si="76"/>
        <v xml:space="preserve"> 8</v>
      </c>
      <c r="N607" s="4" t="s">
        <v>3012</v>
      </c>
      <c r="O607" s="4" t="s">
        <v>3013</v>
      </c>
      <c r="P607" s="4" t="s">
        <v>1181</v>
      </c>
      <c r="Q607" s="4" t="s">
        <v>3014</v>
      </c>
      <c r="R607" s="4" t="s">
        <v>3015</v>
      </c>
      <c r="S607" s="4" t="s">
        <v>3016</v>
      </c>
      <c r="T607" s="4" t="s">
        <v>3004</v>
      </c>
      <c r="U607" s="4" t="s">
        <v>1161</v>
      </c>
      <c r="V607" s="4" t="s">
        <v>3017</v>
      </c>
      <c r="W607" s="4" t="s">
        <v>3018</v>
      </c>
      <c r="X607" s="4" t="s">
        <v>1044</v>
      </c>
    </row>
    <row r="608" spans="2:24" ht="15" customHeight="1" x14ac:dyDescent="0.25">
      <c r="B608" s="3" t="s">
        <v>2215</v>
      </c>
      <c r="C608" s="1" t="s">
        <v>2216</v>
      </c>
      <c r="D608" s="2" t="s">
        <v>1074</v>
      </c>
      <c r="E608" s="1" t="s">
        <v>1050</v>
      </c>
      <c r="F608" s="1" t="s">
        <v>1051</v>
      </c>
      <c r="G608" s="1"/>
      <c r="H608" s="1" t="s">
        <v>1040</v>
      </c>
      <c r="I608" s="13" t="str">
        <f t="shared" si="72"/>
        <v>2N</v>
      </c>
      <c r="J608" t="str">
        <f t="shared" si="73"/>
        <v xml:space="preserve">1559 </v>
      </c>
      <c r="K608" t="str">
        <f t="shared" si="74"/>
        <v/>
      </c>
      <c r="L608" t="str">
        <f t="shared" si="75"/>
        <v>Plat 1</v>
      </c>
      <c r="M608" s="8" t="str">
        <f t="shared" si="76"/>
        <v xml:space="preserve"> 1</v>
      </c>
      <c r="O608"/>
    </row>
    <row r="609" spans="2:24" ht="15" customHeight="1" x14ac:dyDescent="0.25">
      <c r="B609" s="3" t="s">
        <v>1144</v>
      </c>
      <c r="C609" s="1" t="s">
        <v>2217</v>
      </c>
      <c r="D609" s="2" t="s">
        <v>1044</v>
      </c>
      <c r="E609" s="1" t="s">
        <v>1054</v>
      </c>
      <c r="F609" s="2" t="s">
        <v>1372</v>
      </c>
      <c r="G609" s="1" t="s">
        <v>613</v>
      </c>
      <c r="H609" s="1" t="s">
        <v>1046</v>
      </c>
      <c r="I609" s="13" t="str">
        <f t="shared" si="72"/>
        <v>2W</v>
      </c>
      <c r="J609" t="str">
        <f t="shared" si="73"/>
        <v xml:space="preserve">1557 </v>
      </c>
      <c r="K609" t="str">
        <f t="shared" si="74"/>
        <v xml:space="preserve">1559 </v>
      </c>
      <c r="L609" t="str">
        <f t="shared" si="75"/>
        <v>Plat 5</v>
      </c>
      <c r="M609" s="8" t="str">
        <f t="shared" si="76"/>
        <v xml:space="preserve"> 5</v>
      </c>
      <c r="N609" s="4" t="s">
        <v>1372</v>
      </c>
      <c r="O609"/>
    </row>
    <row r="610" spans="2:24" ht="15" customHeight="1" x14ac:dyDescent="0.25">
      <c r="B610" s="3" t="s">
        <v>2218</v>
      </c>
      <c r="C610" s="1"/>
      <c r="D610" s="1" t="s">
        <v>1037</v>
      </c>
      <c r="E610" s="1" t="s">
        <v>1061</v>
      </c>
      <c r="F610" s="2" t="s">
        <v>1039</v>
      </c>
      <c r="G610" s="1" t="s">
        <v>2219</v>
      </c>
      <c r="H610" s="1" t="s">
        <v>1040</v>
      </c>
      <c r="I610" s="13" t="str">
        <f t="shared" si="72"/>
        <v>2Y</v>
      </c>
      <c r="J610" t="str">
        <f t="shared" si="73"/>
        <v/>
      </c>
      <c r="K610" t="str">
        <f t="shared" si="74"/>
        <v xml:space="preserve">1600 </v>
      </c>
      <c r="L610" t="str">
        <f t="shared" si="75"/>
        <v>Plat 2</v>
      </c>
      <c r="M610" s="8" t="str">
        <f t="shared" si="76"/>
        <v xml:space="preserve"> 2</v>
      </c>
      <c r="N610" s="4" t="s">
        <v>3010</v>
      </c>
      <c r="O610" s="15" t="s">
        <v>3011</v>
      </c>
    </row>
    <row r="611" spans="2:24" ht="15" customHeight="1" x14ac:dyDescent="0.25">
      <c r="B611" s="3" t="s">
        <v>2220</v>
      </c>
      <c r="C611" s="1"/>
      <c r="D611" s="1" t="s">
        <v>1037</v>
      </c>
      <c r="E611" s="1" t="s">
        <v>2148</v>
      </c>
      <c r="F611" s="2" t="s">
        <v>1254</v>
      </c>
      <c r="G611" s="1" t="s">
        <v>2219</v>
      </c>
      <c r="H611" s="1" t="s">
        <v>1046</v>
      </c>
      <c r="I611" s="13" t="str">
        <f t="shared" si="72"/>
        <v>2S</v>
      </c>
      <c r="J611" t="str">
        <f t="shared" si="73"/>
        <v/>
      </c>
      <c r="K611" t="str">
        <f t="shared" si="74"/>
        <v xml:space="preserve">1600 </v>
      </c>
      <c r="L611" t="str">
        <f t="shared" si="75"/>
        <v>Plat11</v>
      </c>
      <c r="M611" s="8" t="str">
        <f t="shared" si="76"/>
        <v>11</v>
      </c>
      <c r="N611" t="s">
        <v>2975</v>
      </c>
      <c r="O611" t="s">
        <v>3039</v>
      </c>
      <c r="P611" t="s">
        <v>3040</v>
      </c>
      <c r="Q611" t="s">
        <v>2978</v>
      </c>
      <c r="R611" t="s">
        <v>1298</v>
      </c>
      <c r="S611" t="s">
        <v>2979</v>
      </c>
      <c r="T611" t="s">
        <v>2980</v>
      </c>
      <c r="U611" t="s">
        <v>2981</v>
      </c>
      <c r="V611" t="s">
        <v>2982</v>
      </c>
      <c r="W611" t="s">
        <v>1254</v>
      </c>
    </row>
    <row r="612" spans="2:24" ht="15" customHeight="1" x14ac:dyDescent="0.25">
      <c r="B612" s="3" t="s">
        <v>2221</v>
      </c>
      <c r="C612" s="1" t="s">
        <v>2222</v>
      </c>
      <c r="D612" s="2" t="s">
        <v>1058</v>
      </c>
      <c r="E612" s="1" t="s">
        <v>1047</v>
      </c>
      <c r="F612" s="2" t="s">
        <v>1372</v>
      </c>
      <c r="G612" s="1" t="s">
        <v>2223</v>
      </c>
      <c r="H612" s="1" t="s">
        <v>1046</v>
      </c>
      <c r="I612" s="13" t="str">
        <f t="shared" si="72"/>
        <v>2K</v>
      </c>
      <c r="J612" t="str">
        <f t="shared" si="73"/>
        <v xml:space="preserve">1601 </v>
      </c>
      <c r="K612" t="str">
        <f t="shared" si="74"/>
        <v>1601½</v>
      </c>
      <c r="L612" t="str">
        <f t="shared" si="75"/>
        <v>Plat 9</v>
      </c>
      <c r="M612" s="8" t="str">
        <f t="shared" si="76"/>
        <v xml:space="preserve"> 9</v>
      </c>
      <c r="N612" s="4" t="s">
        <v>1372</v>
      </c>
      <c r="O612"/>
    </row>
    <row r="613" spans="2:24" ht="15" customHeight="1" x14ac:dyDescent="0.25">
      <c r="B613" s="3" t="s">
        <v>2224</v>
      </c>
      <c r="C613" s="1" t="s">
        <v>2225</v>
      </c>
      <c r="D613" s="2" t="s">
        <v>1372</v>
      </c>
      <c r="E613" s="1" t="s">
        <v>2271</v>
      </c>
      <c r="F613" s="2" t="s">
        <v>1058</v>
      </c>
      <c r="G613" s="1" t="s">
        <v>611</v>
      </c>
      <c r="H613" s="1" t="s">
        <v>1046</v>
      </c>
      <c r="I613" s="13" t="str">
        <f t="shared" si="72"/>
        <v>1K</v>
      </c>
      <c r="J613" t="str">
        <f t="shared" si="73"/>
        <v>1601½</v>
      </c>
      <c r="K613" t="str">
        <f t="shared" si="74"/>
        <v xml:space="preserve">1602 </v>
      </c>
      <c r="L613" t="str">
        <f t="shared" si="75"/>
        <v>Plat10</v>
      </c>
      <c r="M613" s="8" t="str">
        <f t="shared" si="76"/>
        <v>10</v>
      </c>
      <c r="N613" s="4" t="s">
        <v>1044</v>
      </c>
      <c r="O613" s="4" t="s">
        <v>3019</v>
      </c>
      <c r="P613" s="4" t="s">
        <v>3020</v>
      </c>
      <c r="Q613" s="4" t="s">
        <v>3021</v>
      </c>
      <c r="R613" s="4" t="s">
        <v>3022</v>
      </c>
      <c r="S613" s="4" t="s">
        <v>3023</v>
      </c>
      <c r="T613" s="4" t="s">
        <v>3024</v>
      </c>
      <c r="U613" s="4" t="s">
        <v>3025</v>
      </c>
      <c r="V613" s="4" t="s">
        <v>1058</v>
      </c>
    </row>
    <row r="614" spans="2:24" ht="15" customHeight="1" x14ac:dyDescent="0.25">
      <c r="B614" s="3" t="s">
        <v>2226</v>
      </c>
      <c r="C614" s="1"/>
      <c r="D614" s="1" t="s">
        <v>1037</v>
      </c>
      <c r="E614" s="1" t="s">
        <v>1054</v>
      </c>
      <c r="F614" s="2" t="s">
        <v>1372</v>
      </c>
      <c r="G614" s="1" t="s">
        <v>614</v>
      </c>
      <c r="H614" s="1" t="s">
        <v>1046</v>
      </c>
      <c r="I614" s="13" t="str">
        <f t="shared" si="72"/>
        <v>2C</v>
      </c>
      <c r="J614" t="str">
        <f t="shared" si="73"/>
        <v/>
      </c>
      <c r="K614" t="str">
        <f t="shared" si="74"/>
        <v xml:space="preserve">1603 </v>
      </c>
      <c r="L614" t="str">
        <f t="shared" si="75"/>
        <v>Plat 5</v>
      </c>
      <c r="M614" s="8" t="str">
        <f t="shared" si="76"/>
        <v xml:space="preserve"> 5</v>
      </c>
      <c r="N614" s="4" t="s">
        <v>1372</v>
      </c>
      <c r="O614"/>
    </row>
    <row r="615" spans="2:24" ht="15" customHeight="1" x14ac:dyDescent="0.25">
      <c r="B615" s="3" t="s">
        <v>2227</v>
      </c>
      <c r="C615" s="1" t="s">
        <v>2228</v>
      </c>
      <c r="D615" s="2" t="s">
        <v>1039</v>
      </c>
      <c r="E615" s="1" t="s">
        <v>1075</v>
      </c>
      <c r="F615" s="1" t="s">
        <v>1051</v>
      </c>
      <c r="G615" s="1"/>
      <c r="H615" s="1" t="s">
        <v>1040</v>
      </c>
      <c r="I615" s="13" t="str">
        <f t="shared" si="72"/>
        <v>2L</v>
      </c>
      <c r="J615" t="str">
        <f t="shared" si="73"/>
        <v xml:space="preserve">1605 </v>
      </c>
      <c r="K615" t="str">
        <f t="shared" si="74"/>
        <v/>
      </c>
      <c r="L615" t="str">
        <f t="shared" si="75"/>
        <v>Plat 2</v>
      </c>
      <c r="M615" s="8" t="str">
        <f t="shared" si="76"/>
        <v xml:space="preserve"> 2</v>
      </c>
      <c r="O615"/>
    </row>
    <row r="616" spans="2:24" ht="15" customHeight="1" x14ac:dyDescent="0.25">
      <c r="B616" s="3" t="s">
        <v>2229</v>
      </c>
      <c r="C616" s="1" t="s">
        <v>616</v>
      </c>
      <c r="D616" s="2" t="s">
        <v>1242</v>
      </c>
      <c r="E616" s="1" t="s">
        <v>1047</v>
      </c>
      <c r="F616" s="2" t="s">
        <v>1372</v>
      </c>
      <c r="G616" s="1" t="s">
        <v>2230</v>
      </c>
      <c r="H616" s="1" t="s">
        <v>1046</v>
      </c>
      <c r="I616" s="13" t="str">
        <f t="shared" si="72"/>
        <v>1Y</v>
      </c>
      <c r="J616" t="str">
        <f t="shared" si="73"/>
        <v xml:space="preserve">1605 </v>
      </c>
      <c r="K616" t="str">
        <f t="shared" si="74"/>
        <v>1605½</v>
      </c>
      <c r="L616" t="str">
        <f t="shared" si="75"/>
        <v>Plat 9</v>
      </c>
      <c r="M616" s="8" t="str">
        <f t="shared" si="76"/>
        <v xml:space="preserve"> 9</v>
      </c>
      <c r="N616" s="4" t="s">
        <v>1372</v>
      </c>
      <c r="O616"/>
    </row>
    <row r="617" spans="2:24" ht="15" customHeight="1" x14ac:dyDescent="0.25">
      <c r="B617" s="3" t="s">
        <v>2231</v>
      </c>
      <c r="C617" s="1"/>
      <c r="D617" s="1" t="s">
        <v>1037</v>
      </c>
      <c r="E617" s="1" t="s">
        <v>1038</v>
      </c>
      <c r="F617" s="2" t="s">
        <v>1074</v>
      </c>
      <c r="G617" s="1" t="s">
        <v>2232</v>
      </c>
      <c r="H617" s="1" t="s">
        <v>1040</v>
      </c>
      <c r="I617" s="13" t="str">
        <f t="shared" si="72"/>
        <v>2N</v>
      </c>
      <c r="J617" t="str">
        <f t="shared" si="73"/>
        <v/>
      </c>
      <c r="K617" t="str">
        <f t="shared" si="74"/>
        <v xml:space="preserve">1607 </v>
      </c>
      <c r="L617" t="str">
        <f t="shared" si="75"/>
        <v>Plat 1</v>
      </c>
      <c r="M617" s="8" t="str">
        <f t="shared" si="76"/>
        <v xml:space="preserve"> 1</v>
      </c>
      <c r="N617" s="4" t="s">
        <v>3010</v>
      </c>
      <c r="O617" s="15" t="s">
        <v>3011</v>
      </c>
    </row>
    <row r="618" spans="2:24" ht="15" customHeight="1" x14ac:dyDescent="0.25">
      <c r="B618" s="3" t="s">
        <v>2233</v>
      </c>
      <c r="C618" s="1" t="s">
        <v>2234</v>
      </c>
      <c r="D618" s="2" t="s">
        <v>1254</v>
      </c>
      <c r="E618" s="1" t="s">
        <v>2148</v>
      </c>
      <c r="F618" s="1" t="s">
        <v>1051</v>
      </c>
      <c r="G618" s="1"/>
      <c r="H618" s="1" t="s">
        <v>1046</v>
      </c>
      <c r="I618" s="13" t="str">
        <f t="shared" si="72"/>
        <v>2S</v>
      </c>
      <c r="J618" t="str">
        <f t="shared" si="73"/>
        <v xml:space="preserve">1608 </v>
      </c>
      <c r="K618" t="str">
        <f t="shared" si="74"/>
        <v/>
      </c>
      <c r="L618" t="str">
        <f t="shared" si="75"/>
        <v>Plat11</v>
      </c>
      <c r="M618" s="8" t="str">
        <f t="shared" si="76"/>
        <v>11</v>
      </c>
      <c r="O618"/>
    </row>
    <row r="619" spans="2:24" ht="15" customHeight="1" x14ac:dyDescent="0.25">
      <c r="B619" s="3" t="s">
        <v>1086</v>
      </c>
      <c r="C619" s="1" t="s">
        <v>2235</v>
      </c>
      <c r="D619" s="2" t="s">
        <v>1372</v>
      </c>
      <c r="E619" s="1" t="s">
        <v>1043</v>
      </c>
      <c r="F619" s="2" t="s">
        <v>1044</v>
      </c>
      <c r="G619" s="1" t="s">
        <v>2236</v>
      </c>
      <c r="H619" s="1" t="s">
        <v>1046</v>
      </c>
      <c r="I619" s="13" t="str">
        <f t="shared" si="72"/>
        <v>2W</v>
      </c>
      <c r="J619" t="str">
        <f t="shared" si="73"/>
        <v>1606½</v>
      </c>
      <c r="K619" t="str">
        <f t="shared" si="74"/>
        <v>1608½</v>
      </c>
      <c r="L619" t="str">
        <f t="shared" si="75"/>
        <v>Plat 8</v>
      </c>
      <c r="M619" s="8" t="str">
        <f t="shared" si="76"/>
        <v xml:space="preserve"> 8</v>
      </c>
      <c r="N619" s="4" t="s">
        <v>3012</v>
      </c>
      <c r="O619" s="4" t="s">
        <v>3013</v>
      </c>
      <c r="P619" s="4" t="s">
        <v>1181</v>
      </c>
      <c r="Q619" s="4" t="s">
        <v>3014</v>
      </c>
      <c r="R619" s="4" t="s">
        <v>3015</v>
      </c>
      <c r="S619" s="4" t="s">
        <v>3016</v>
      </c>
      <c r="T619" s="4" t="s">
        <v>3004</v>
      </c>
      <c r="U619" s="4" t="s">
        <v>1161</v>
      </c>
      <c r="V619" s="4" t="s">
        <v>3017</v>
      </c>
      <c r="W619" s="4" t="s">
        <v>3018</v>
      </c>
      <c r="X619" s="4" t="s">
        <v>1044</v>
      </c>
    </row>
    <row r="620" spans="2:24" ht="15" customHeight="1" x14ac:dyDescent="0.25">
      <c r="B620" s="3" t="s">
        <v>2237</v>
      </c>
      <c r="C620" s="1" t="s">
        <v>2238</v>
      </c>
      <c r="D620" s="2" t="s">
        <v>1372</v>
      </c>
      <c r="E620" s="1" t="s">
        <v>2271</v>
      </c>
      <c r="F620" s="2" t="s">
        <v>1242</v>
      </c>
      <c r="G620" s="1" t="s">
        <v>2239</v>
      </c>
      <c r="H620" s="1" t="s">
        <v>1046</v>
      </c>
      <c r="I620" s="13" t="str">
        <f t="shared" si="72"/>
        <v>1Y</v>
      </c>
      <c r="J620" t="str">
        <f t="shared" si="73"/>
        <v>1608½</v>
      </c>
      <c r="K620" t="str">
        <f t="shared" si="74"/>
        <v xml:space="preserve">1609 </v>
      </c>
      <c r="L620" t="str">
        <f t="shared" si="75"/>
        <v>Plat10</v>
      </c>
      <c r="M620" s="8" t="str">
        <f t="shared" si="76"/>
        <v>10</v>
      </c>
      <c r="N620" t="s">
        <v>1044</v>
      </c>
      <c r="O620" t="s">
        <v>1473</v>
      </c>
      <c r="P620" t="s">
        <v>3000</v>
      </c>
      <c r="Q620" t="s">
        <v>3001</v>
      </c>
      <c r="R620" t="s">
        <v>3002</v>
      </c>
      <c r="S620" t="s">
        <v>3003</v>
      </c>
      <c r="T620" t="s">
        <v>1091</v>
      </c>
      <c r="U620" t="s">
        <v>3006</v>
      </c>
      <c r="V620" t="s">
        <v>1242</v>
      </c>
    </row>
    <row r="621" spans="2:24" ht="15" customHeight="1" x14ac:dyDescent="0.25">
      <c r="B621" s="3" t="s">
        <v>1402</v>
      </c>
      <c r="C621" s="1" t="s">
        <v>2232</v>
      </c>
      <c r="D621" s="2" t="s">
        <v>1044</v>
      </c>
      <c r="E621" s="1" t="s">
        <v>1054</v>
      </c>
      <c r="F621" s="2" t="s">
        <v>1372</v>
      </c>
      <c r="G621" s="1" t="s">
        <v>2239</v>
      </c>
      <c r="H621" s="1" t="s">
        <v>1046</v>
      </c>
      <c r="I621" s="13" t="str">
        <f t="shared" si="72"/>
        <v>2W</v>
      </c>
      <c r="J621" t="str">
        <f t="shared" si="73"/>
        <v xml:space="preserve">1607 </v>
      </c>
      <c r="K621" t="str">
        <f t="shared" si="74"/>
        <v xml:space="preserve">1609 </v>
      </c>
      <c r="L621" t="str">
        <f t="shared" si="75"/>
        <v>Plat 5</v>
      </c>
      <c r="M621" s="8" t="str">
        <f t="shared" si="76"/>
        <v xml:space="preserve"> 5</v>
      </c>
      <c r="N621" s="4" t="s">
        <v>1372</v>
      </c>
      <c r="O621"/>
    </row>
    <row r="622" spans="2:24" ht="15" customHeight="1" x14ac:dyDescent="0.25">
      <c r="B622" s="3" t="s">
        <v>2240</v>
      </c>
      <c r="C622" s="1" t="s">
        <v>2241</v>
      </c>
      <c r="D622" s="2" t="s">
        <v>1062</v>
      </c>
      <c r="E622" s="1" t="s">
        <v>1050</v>
      </c>
      <c r="F622" s="1" t="s">
        <v>1051</v>
      </c>
      <c r="G622" s="1"/>
      <c r="H622" s="1" t="s">
        <v>1040</v>
      </c>
      <c r="I622" s="13" t="str">
        <f t="shared" ref="I622:I639" si="77">LEFT(B622,2)</f>
        <v>2G</v>
      </c>
      <c r="J622" t="str">
        <f t="shared" ref="J622:J639" si="78">LEFT(C622,5)</f>
        <v xml:space="preserve">1610 </v>
      </c>
      <c r="K622" t="str">
        <f t="shared" ref="K622:K639" si="79">LEFT(G622,5)</f>
        <v/>
      </c>
      <c r="L622" t="str">
        <f t="shared" ref="L622:L639" si="80">LEFT(E622,6)</f>
        <v>Plat 1</v>
      </c>
      <c r="M622" s="8" t="str">
        <f t="shared" ref="M622:M639" si="81">RIGHT(L622,2)</f>
        <v xml:space="preserve"> 1</v>
      </c>
      <c r="O622"/>
    </row>
    <row r="623" spans="2:24" ht="15" customHeight="1" x14ac:dyDescent="0.25">
      <c r="B623" s="3" t="s">
        <v>2242</v>
      </c>
      <c r="C623" s="1"/>
      <c r="D623" s="1" t="s">
        <v>1037</v>
      </c>
      <c r="E623" s="1" t="s">
        <v>1061</v>
      </c>
      <c r="F623" s="2" t="s">
        <v>1062</v>
      </c>
      <c r="G623" s="1" t="s">
        <v>2243</v>
      </c>
      <c r="H623" s="1" t="s">
        <v>1040</v>
      </c>
      <c r="I623" s="13" t="str">
        <f t="shared" si="77"/>
        <v>2G</v>
      </c>
      <c r="J623" t="str">
        <f t="shared" si="78"/>
        <v/>
      </c>
      <c r="K623" t="str">
        <f t="shared" si="79"/>
        <v xml:space="preserve">1611 </v>
      </c>
      <c r="L623" t="str">
        <f t="shared" si="80"/>
        <v>Plat 2</v>
      </c>
      <c r="M623" s="8" t="str">
        <f t="shared" si="81"/>
        <v xml:space="preserve"> 2</v>
      </c>
      <c r="N623" s="4" t="s">
        <v>3010</v>
      </c>
      <c r="O623" s="15" t="s">
        <v>3011</v>
      </c>
    </row>
    <row r="624" spans="2:24" ht="15" customHeight="1" x14ac:dyDescent="0.25">
      <c r="B624" s="3" t="s">
        <v>2244</v>
      </c>
      <c r="C624" s="1" t="s">
        <v>2245</v>
      </c>
      <c r="D624" s="2" t="s">
        <v>1074</v>
      </c>
      <c r="E624" s="1" t="s">
        <v>1075</v>
      </c>
      <c r="F624" s="1" t="s">
        <v>1051</v>
      </c>
      <c r="G624" s="1"/>
      <c r="H624" s="1" t="s">
        <v>1040</v>
      </c>
      <c r="I624" s="13" t="str">
        <f t="shared" si="77"/>
        <v>2N</v>
      </c>
      <c r="J624" t="str">
        <f t="shared" si="78"/>
        <v xml:space="preserve">1614 </v>
      </c>
      <c r="K624" t="str">
        <f t="shared" si="79"/>
        <v/>
      </c>
      <c r="L624" t="str">
        <f t="shared" si="80"/>
        <v>Plat 2</v>
      </c>
      <c r="M624" s="8" t="str">
        <f t="shared" si="81"/>
        <v xml:space="preserve"> 2</v>
      </c>
      <c r="O624"/>
    </row>
    <row r="625" spans="2:24" ht="15" customHeight="1" x14ac:dyDescent="0.25">
      <c r="B625" s="3" t="s">
        <v>2246</v>
      </c>
      <c r="C625" s="1"/>
      <c r="D625" s="1" t="s">
        <v>1037</v>
      </c>
      <c r="E625" s="1" t="s">
        <v>1038</v>
      </c>
      <c r="F625" s="2" t="s">
        <v>1039</v>
      </c>
      <c r="G625" s="1" t="s">
        <v>2247</v>
      </c>
      <c r="H625" s="1" t="s">
        <v>1040</v>
      </c>
      <c r="I625" s="13" t="str">
        <f t="shared" si="77"/>
        <v>2Y</v>
      </c>
      <c r="J625" t="str">
        <f t="shared" si="78"/>
        <v/>
      </c>
      <c r="K625" t="str">
        <f t="shared" si="79"/>
        <v xml:space="preserve">1615 </v>
      </c>
      <c r="L625" t="str">
        <f t="shared" si="80"/>
        <v>Plat 1</v>
      </c>
      <c r="M625" s="8" t="str">
        <f t="shared" si="81"/>
        <v xml:space="preserve"> 1</v>
      </c>
      <c r="N625" s="4" t="s">
        <v>3010</v>
      </c>
      <c r="O625" s="15" t="s">
        <v>3011</v>
      </c>
    </row>
    <row r="626" spans="2:24" ht="15" customHeight="1" x14ac:dyDescent="0.25">
      <c r="B626" s="3" t="s">
        <v>2248</v>
      </c>
      <c r="C626" s="1" t="s">
        <v>2249</v>
      </c>
      <c r="D626" s="2" t="s">
        <v>1372</v>
      </c>
      <c r="E626" s="1" t="s">
        <v>2271</v>
      </c>
      <c r="F626" s="2" t="s">
        <v>1058</v>
      </c>
      <c r="G626" s="1" t="s">
        <v>2250</v>
      </c>
      <c r="H626" s="1" t="s">
        <v>1046</v>
      </c>
      <c r="I626" s="13" t="str">
        <f t="shared" si="77"/>
        <v>1K</v>
      </c>
      <c r="J626" t="str">
        <f t="shared" si="78"/>
        <v>1617½</v>
      </c>
      <c r="K626" t="str">
        <f t="shared" si="79"/>
        <v>1618½</v>
      </c>
      <c r="L626" t="str">
        <f t="shared" si="80"/>
        <v>Plat10</v>
      </c>
      <c r="M626" s="8" t="str">
        <f t="shared" si="81"/>
        <v>10</v>
      </c>
      <c r="N626" s="4" t="s">
        <v>1044</v>
      </c>
      <c r="O626" s="4" t="s">
        <v>3019</v>
      </c>
      <c r="P626" s="4" t="s">
        <v>3020</v>
      </c>
      <c r="Q626" s="4" t="s">
        <v>3021</v>
      </c>
      <c r="R626" s="4" t="s">
        <v>3022</v>
      </c>
      <c r="S626" s="4" t="s">
        <v>3023</v>
      </c>
      <c r="T626" s="4" t="s">
        <v>3024</v>
      </c>
      <c r="U626" s="4" t="s">
        <v>3025</v>
      </c>
      <c r="V626" s="4" t="s">
        <v>1058</v>
      </c>
    </row>
    <row r="627" spans="2:24" ht="15" customHeight="1" x14ac:dyDescent="0.25">
      <c r="B627" s="3" t="s">
        <v>1101</v>
      </c>
      <c r="C627" s="1" t="s">
        <v>2251</v>
      </c>
      <c r="D627" s="2" t="s">
        <v>1372</v>
      </c>
      <c r="E627" s="1" t="s">
        <v>1043</v>
      </c>
      <c r="F627" s="2" t="s">
        <v>1044</v>
      </c>
      <c r="G627" s="1" t="s">
        <v>2250</v>
      </c>
      <c r="H627" s="1" t="s">
        <v>1046</v>
      </c>
      <c r="I627" s="13" t="str">
        <f t="shared" si="77"/>
        <v>2W</v>
      </c>
      <c r="J627" t="str">
        <f t="shared" si="78"/>
        <v>1616½</v>
      </c>
      <c r="K627" t="str">
        <f t="shared" si="79"/>
        <v>1618½</v>
      </c>
      <c r="L627" t="str">
        <f t="shared" si="80"/>
        <v>Plat 8</v>
      </c>
      <c r="M627" s="8" t="str">
        <f t="shared" si="81"/>
        <v xml:space="preserve"> 8</v>
      </c>
      <c r="N627" s="4" t="s">
        <v>3012</v>
      </c>
      <c r="O627" s="4" t="s">
        <v>3013</v>
      </c>
      <c r="P627" s="4" t="s">
        <v>1181</v>
      </c>
      <c r="Q627" s="4" t="s">
        <v>3014</v>
      </c>
      <c r="R627" s="4" t="s">
        <v>3015</v>
      </c>
      <c r="S627" s="4" t="s">
        <v>3016</v>
      </c>
      <c r="T627" s="4" t="s">
        <v>3004</v>
      </c>
      <c r="U627" s="4" t="s">
        <v>1161</v>
      </c>
      <c r="V627" s="4" t="s">
        <v>3017</v>
      </c>
      <c r="W627" s="4" t="s">
        <v>3018</v>
      </c>
      <c r="X627" s="4" t="s">
        <v>1044</v>
      </c>
    </row>
    <row r="628" spans="2:24" ht="15" customHeight="1" x14ac:dyDescent="0.25">
      <c r="B628" s="3" t="s">
        <v>2252</v>
      </c>
      <c r="C628" s="1" t="s">
        <v>2253</v>
      </c>
      <c r="D628" s="2" t="s">
        <v>1039</v>
      </c>
      <c r="E628" s="1" t="s">
        <v>1050</v>
      </c>
      <c r="F628" s="1" t="s">
        <v>1051</v>
      </c>
      <c r="G628" s="1"/>
      <c r="H628" s="1" t="s">
        <v>1040</v>
      </c>
      <c r="I628" s="13" t="str">
        <f t="shared" si="77"/>
        <v>2L</v>
      </c>
      <c r="J628" t="str">
        <f t="shared" si="78"/>
        <v xml:space="preserve">1619 </v>
      </c>
      <c r="K628" t="str">
        <f t="shared" si="79"/>
        <v/>
      </c>
      <c r="L628" t="str">
        <f t="shared" si="80"/>
        <v>Plat 1</v>
      </c>
      <c r="M628" s="8" t="str">
        <f t="shared" si="81"/>
        <v xml:space="preserve"> 1</v>
      </c>
      <c r="O628"/>
    </row>
    <row r="629" spans="2:24" ht="15" customHeight="1" x14ac:dyDescent="0.25">
      <c r="B629" s="3" t="s">
        <v>1417</v>
      </c>
      <c r="C629" s="1" t="s">
        <v>624</v>
      </c>
      <c r="D629" s="2" t="s">
        <v>1044</v>
      </c>
      <c r="E629" s="1" t="s">
        <v>1054</v>
      </c>
      <c r="F629" s="2" t="s">
        <v>1372</v>
      </c>
      <c r="G629" s="1" t="s">
        <v>627</v>
      </c>
      <c r="H629" s="1" t="s">
        <v>1046</v>
      </c>
      <c r="I629" s="13" t="str">
        <f t="shared" si="77"/>
        <v>2W</v>
      </c>
      <c r="J629" t="str">
        <f t="shared" si="78"/>
        <v xml:space="preserve">1617 </v>
      </c>
      <c r="K629" t="str">
        <f t="shared" si="79"/>
        <v xml:space="preserve">1619 </v>
      </c>
      <c r="L629" t="str">
        <f t="shared" si="80"/>
        <v>Plat 5</v>
      </c>
      <c r="M629" s="8" t="str">
        <f t="shared" si="81"/>
        <v xml:space="preserve"> 5</v>
      </c>
      <c r="N629" s="4" t="s">
        <v>1372</v>
      </c>
      <c r="O629"/>
    </row>
    <row r="630" spans="2:24" ht="15" customHeight="1" x14ac:dyDescent="0.25">
      <c r="B630" s="3" t="s">
        <v>2254</v>
      </c>
      <c r="C630" s="1" t="s">
        <v>627</v>
      </c>
      <c r="D630" s="2" t="s">
        <v>1058</v>
      </c>
      <c r="E630" s="1" t="s">
        <v>1047</v>
      </c>
      <c r="F630" s="2" t="s">
        <v>1372</v>
      </c>
      <c r="G630" s="1" t="s">
        <v>2255</v>
      </c>
      <c r="H630" s="1" t="s">
        <v>1046</v>
      </c>
      <c r="I630" s="13" t="str">
        <f t="shared" si="77"/>
        <v>1K</v>
      </c>
      <c r="J630" t="str">
        <f t="shared" si="78"/>
        <v xml:space="preserve">1619 </v>
      </c>
      <c r="K630" t="str">
        <f t="shared" si="79"/>
        <v>1619½</v>
      </c>
      <c r="L630" t="str">
        <f t="shared" si="80"/>
        <v>Plat 9</v>
      </c>
      <c r="M630" s="8" t="str">
        <f t="shared" si="81"/>
        <v xml:space="preserve"> 9</v>
      </c>
      <c r="N630" s="4" t="s">
        <v>1372</v>
      </c>
      <c r="O630"/>
    </row>
    <row r="631" spans="2:24" ht="15" customHeight="1" x14ac:dyDescent="0.25">
      <c r="B631" s="3" t="s">
        <v>2256</v>
      </c>
      <c r="C631" s="1"/>
      <c r="D631" s="1" t="s">
        <v>1037</v>
      </c>
      <c r="E631" s="1" t="s">
        <v>1061</v>
      </c>
      <c r="F631" s="2" t="s">
        <v>1074</v>
      </c>
      <c r="G631" s="1" t="s">
        <v>2257</v>
      </c>
      <c r="H631" s="1" t="s">
        <v>1040</v>
      </c>
      <c r="I631" s="13" t="str">
        <f t="shared" si="77"/>
        <v>2N</v>
      </c>
      <c r="J631" t="str">
        <f t="shared" si="78"/>
        <v/>
      </c>
      <c r="K631" t="str">
        <f t="shared" si="79"/>
        <v xml:space="preserve">1622 </v>
      </c>
      <c r="L631" t="str">
        <f t="shared" si="80"/>
        <v>Plat 2</v>
      </c>
      <c r="M631" s="8" t="str">
        <f t="shared" si="81"/>
        <v xml:space="preserve"> 2</v>
      </c>
      <c r="N631" s="4" t="s">
        <v>3010</v>
      </c>
      <c r="O631" s="15" t="s">
        <v>3011</v>
      </c>
    </row>
    <row r="632" spans="2:24" ht="15" customHeight="1" x14ac:dyDescent="0.25">
      <c r="B632" s="3" t="s">
        <v>2258</v>
      </c>
      <c r="C632" s="1" t="s">
        <v>2257</v>
      </c>
      <c r="D632" s="2" t="s">
        <v>1185</v>
      </c>
      <c r="E632" s="1" t="s">
        <v>1047</v>
      </c>
      <c r="F632" s="2" t="s">
        <v>1372</v>
      </c>
      <c r="G632" s="1" t="s">
        <v>2259</v>
      </c>
      <c r="H632" s="1" t="s">
        <v>1046</v>
      </c>
      <c r="I632" s="13" t="str">
        <f t="shared" si="77"/>
        <v>1N</v>
      </c>
      <c r="J632" t="str">
        <f t="shared" si="78"/>
        <v xml:space="preserve">1622 </v>
      </c>
      <c r="K632" t="str">
        <f t="shared" si="79"/>
        <v>1622½</v>
      </c>
      <c r="L632" t="str">
        <f t="shared" si="80"/>
        <v>Plat 9</v>
      </c>
      <c r="M632" s="8" t="str">
        <f t="shared" si="81"/>
        <v xml:space="preserve"> 9</v>
      </c>
      <c r="N632" s="4" t="s">
        <v>1372</v>
      </c>
      <c r="O632"/>
    </row>
    <row r="633" spans="2:24" ht="15" customHeight="1" x14ac:dyDescent="0.25">
      <c r="B633" s="3" t="s">
        <v>2260</v>
      </c>
      <c r="C633" s="1" t="s">
        <v>2261</v>
      </c>
      <c r="D633" s="2" t="s">
        <v>1372</v>
      </c>
      <c r="E633" s="1" t="s">
        <v>2271</v>
      </c>
      <c r="F633" s="2" t="s">
        <v>1185</v>
      </c>
      <c r="G633" s="1" t="s">
        <v>2259</v>
      </c>
      <c r="H633" s="1" t="s">
        <v>1046</v>
      </c>
      <c r="I633" s="13" t="str">
        <f t="shared" si="77"/>
        <v>1N</v>
      </c>
      <c r="J633" t="str">
        <f t="shared" si="78"/>
        <v>1621½</v>
      </c>
      <c r="K633" t="str">
        <f t="shared" si="79"/>
        <v>1622½</v>
      </c>
      <c r="L633" t="str">
        <f t="shared" si="80"/>
        <v>Plat10</v>
      </c>
      <c r="M633" s="8" t="str">
        <f t="shared" si="81"/>
        <v>10</v>
      </c>
      <c r="N633" t="s">
        <v>1044</v>
      </c>
      <c r="O633" t="s">
        <v>1473</v>
      </c>
      <c r="P633" t="s">
        <v>3002</v>
      </c>
      <c r="Q633" t="s">
        <v>3003</v>
      </c>
      <c r="R633" t="s">
        <v>1091</v>
      </c>
      <c r="S633" t="s">
        <v>3048</v>
      </c>
      <c r="T633" t="s">
        <v>3031</v>
      </c>
      <c r="U633" t="s">
        <v>3046</v>
      </c>
      <c r="V633" t="s">
        <v>3047</v>
      </c>
    </row>
    <row r="634" spans="2:24" ht="15" customHeight="1" x14ac:dyDescent="0.25">
      <c r="B634" s="3" t="s">
        <v>2262</v>
      </c>
      <c r="C634" s="1"/>
      <c r="D634" s="1" t="s">
        <v>1037</v>
      </c>
      <c r="E634" s="1" t="s">
        <v>1054</v>
      </c>
      <c r="F634" s="2" t="s">
        <v>1372</v>
      </c>
      <c r="G634" s="1" t="s">
        <v>628</v>
      </c>
      <c r="H634" s="1" t="s">
        <v>1046</v>
      </c>
      <c r="I634" s="13" t="str">
        <f t="shared" si="77"/>
        <v>2C</v>
      </c>
      <c r="J634" t="str">
        <f t="shared" si="78"/>
        <v/>
      </c>
      <c r="K634" t="str">
        <f t="shared" si="79"/>
        <v xml:space="preserve">1623 </v>
      </c>
      <c r="L634" t="str">
        <f t="shared" si="80"/>
        <v>Plat 5</v>
      </c>
      <c r="M634" s="8" t="str">
        <f t="shared" si="81"/>
        <v xml:space="preserve"> 5</v>
      </c>
      <c r="N634" s="4" t="s">
        <v>1372</v>
      </c>
      <c r="O634"/>
    </row>
    <row r="635" spans="2:24" ht="15" customHeight="1" x14ac:dyDescent="0.25">
      <c r="B635" s="3" t="s">
        <v>446</v>
      </c>
      <c r="C635" s="1" t="s">
        <v>2263</v>
      </c>
      <c r="D635" s="2" t="s">
        <v>1372</v>
      </c>
      <c r="E635" s="1" t="s">
        <v>2271</v>
      </c>
      <c r="F635" s="2" t="s">
        <v>1309</v>
      </c>
      <c r="G635" s="1" t="s">
        <v>2264</v>
      </c>
      <c r="H635" s="1" t="s">
        <v>1046</v>
      </c>
      <c r="I635" s="13" t="str">
        <f t="shared" si="77"/>
        <v>1F</v>
      </c>
      <c r="J635" t="str">
        <f t="shared" si="78"/>
        <v>1624½</v>
      </c>
      <c r="K635" t="str">
        <f t="shared" si="79"/>
        <v>1625½</v>
      </c>
      <c r="L635" t="str">
        <f t="shared" si="80"/>
        <v>Plat10</v>
      </c>
      <c r="M635" s="8" t="str">
        <f t="shared" si="81"/>
        <v>10</v>
      </c>
      <c r="N635" t="s">
        <v>1044</v>
      </c>
      <c r="O635" t="s">
        <v>2999</v>
      </c>
      <c r="P635" t="s">
        <v>1473</v>
      </c>
      <c r="Q635" t="s">
        <v>3001</v>
      </c>
    </row>
    <row r="636" spans="2:24" ht="15" customHeight="1" x14ac:dyDescent="0.25">
      <c r="B636" s="3" t="s">
        <v>1111</v>
      </c>
      <c r="C636" s="1" t="s">
        <v>2265</v>
      </c>
      <c r="D636" s="2" t="s">
        <v>1372</v>
      </c>
      <c r="E636" s="1" t="s">
        <v>1043</v>
      </c>
      <c r="F636" s="2" t="s">
        <v>1044</v>
      </c>
      <c r="G636" s="1" t="s">
        <v>2266</v>
      </c>
      <c r="H636" s="1" t="s">
        <v>1046</v>
      </c>
      <c r="I636" s="13" t="str">
        <f t="shared" si="77"/>
        <v>2W</v>
      </c>
      <c r="J636" t="str">
        <f t="shared" si="78"/>
        <v>1626½</v>
      </c>
      <c r="K636" t="str">
        <f t="shared" si="79"/>
        <v>1628½</v>
      </c>
      <c r="L636" t="str">
        <f t="shared" si="80"/>
        <v>Plat 8</v>
      </c>
      <c r="M636" s="8" t="str">
        <f t="shared" si="81"/>
        <v xml:space="preserve"> 8</v>
      </c>
      <c r="N636" s="4" t="s">
        <v>3012</v>
      </c>
      <c r="O636" s="4" t="s">
        <v>3013</v>
      </c>
      <c r="P636" s="4" t="s">
        <v>1181</v>
      </c>
      <c r="Q636" s="4" t="s">
        <v>3014</v>
      </c>
      <c r="R636" s="4" t="s">
        <v>3015</v>
      </c>
      <c r="S636" s="4" t="s">
        <v>3016</v>
      </c>
      <c r="T636" s="4" t="s">
        <v>3004</v>
      </c>
      <c r="U636" s="4" t="s">
        <v>1161</v>
      </c>
      <c r="V636" s="4" t="s">
        <v>3017</v>
      </c>
      <c r="W636" s="4" t="s">
        <v>3018</v>
      </c>
      <c r="X636" s="4" t="s">
        <v>1044</v>
      </c>
    </row>
    <row r="637" spans="2:24" ht="15" customHeight="1" x14ac:dyDescent="0.25">
      <c r="B637" s="3" t="s">
        <v>1442</v>
      </c>
      <c r="C637" s="1" t="s">
        <v>2267</v>
      </c>
      <c r="D637" s="2" t="s">
        <v>1044</v>
      </c>
      <c r="E637" s="1" t="s">
        <v>1054</v>
      </c>
      <c r="F637" s="2" t="s">
        <v>1372</v>
      </c>
      <c r="G637" s="1" t="s">
        <v>2268</v>
      </c>
      <c r="H637" s="1" t="s">
        <v>1046</v>
      </c>
      <c r="I637" s="13" t="str">
        <f t="shared" si="77"/>
        <v>2W</v>
      </c>
      <c r="J637" t="str">
        <f t="shared" si="78"/>
        <v xml:space="preserve">1627 </v>
      </c>
      <c r="K637" t="str">
        <f t="shared" si="79"/>
        <v xml:space="preserve">1629 </v>
      </c>
      <c r="L637" t="str">
        <f t="shared" si="80"/>
        <v>Plat 5</v>
      </c>
      <c r="M637" s="8" t="str">
        <f t="shared" si="81"/>
        <v xml:space="preserve"> 5</v>
      </c>
      <c r="N637" s="4" t="s">
        <v>1372</v>
      </c>
      <c r="O637"/>
    </row>
    <row r="638" spans="2:24" ht="15" customHeight="1" x14ac:dyDescent="0.25">
      <c r="B638" s="3" t="s">
        <v>2269</v>
      </c>
      <c r="C638" s="1"/>
      <c r="D638" s="1" t="s">
        <v>1037</v>
      </c>
      <c r="E638" s="1" t="s">
        <v>2148</v>
      </c>
      <c r="F638" s="2" t="s">
        <v>1254</v>
      </c>
      <c r="G638" s="1" t="s">
        <v>634</v>
      </c>
      <c r="H638" s="1" t="s">
        <v>1046</v>
      </c>
      <c r="I638" s="13" t="str">
        <f t="shared" si="77"/>
        <v>2S</v>
      </c>
      <c r="J638" t="str">
        <f t="shared" si="78"/>
        <v/>
      </c>
      <c r="K638" t="str">
        <f t="shared" si="79"/>
        <v xml:space="preserve">1630 </v>
      </c>
      <c r="L638" t="str">
        <f t="shared" si="80"/>
        <v>Plat11</v>
      </c>
      <c r="M638" s="8" t="str">
        <f t="shared" si="81"/>
        <v>11</v>
      </c>
      <c r="N638" t="s">
        <v>2975</v>
      </c>
      <c r="O638" t="s">
        <v>2976</v>
      </c>
      <c r="P638" t="s">
        <v>2977</v>
      </c>
      <c r="Q638" t="s">
        <v>3040</v>
      </c>
      <c r="R638" t="s">
        <v>3042</v>
      </c>
      <c r="S638" t="s">
        <v>2978</v>
      </c>
      <c r="T638" t="s">
        <v>1298</v>
      </c>
      <c r="U638" t="s">
        <v>2980</v>
      </c>
      <c r="V638" t="s">
        <v>1254</v>
      </c>
    </row>
    <row r="639" spans="2:24" ht="15" customHeight="1" x14ac:dyDescent="0.25">
      <c r="B639" s="3" t="s">
        <v>1291</v>
      </c>
      <c r="C639" s="1" t="s">
        <v>2270</v>
      </c>
      <c r="D639" s="2" t="s">
        <v>1074</v>
      </c>
      <c r="E639" s="1" t="s">
        <v>1075</v>
      </c>
      <c r="F639" s="1" t="s">
        <v>1051</v>
      </c>
      <c r="G639" s="1"/>
      <c r="H639" s="1" t="s">
        <v>1040</v>
      </c>
      <c r="I639" s="13" t="str">
        <f t="shared" si="77"/>
        <v>2N</v>
      </c>
      <c r="J639" t="str">
        <f t="shared" si="78"/>
        <v xml:space="preserve">1630 </v>
      </c>
      <c r="K639" t="str">
        <f t="shared" si="79"/>
        <v/>
      </c>
      <c r="L639" t="str">
        <f t="shared" si="80"/>
        <v>Plat 2</v>
      </c>
      <c r="M639" s="8" t="str">
        <f t="shared" si="81"/>
        <v xml:space="preserve"> 2</v>
      </c>
      <c r="O639"/>
    </row>
    <row r="640" spans="2:24" ht="15" customHeight="1" x14ac:dyDescent="0.25">
      <c r="B640" s="3" t="s">
        <v>2276</v>
      </c>
      <c r="C640" s="1"/>
      <c r="D640" s="1" t="s">
        <v>1037</v>
      </c>
      <c r="E640" s="1" t="s">
        <v>1038</v>
      </c>
      <c r="F640" s="2" t="s">
        <v>1039</v>
      </c>
      <c r="G640" s="1" t="s">
        <v>2277</v>
      </c>
      <c r="H640" s="1" t="s">
        <v>1040</v>
      </c>
      <c r="I640" s="13" t="str">
        <f t="shared" ref="I640:I686" si="82">LEFT(B640,2)</f>
        <v>2Y</v>
      </c>
      <c r="J640" t="str">
        <f t="shared" ref="J640:J686" si="83">LEFT(C640,5)</f>
        <v/>
      </c>
      <c r="K640" t="str">
        <f t="shared" ref="K640:K686" si="84">LEFT(G640,5)</f>
        <v xml:space="preserve">1632 </v>
      </c>
      <c r="L640" t="str">
        <f t="shared" ref="L640:L686" si="85">LEFT(E640,6)</f>
        <v>Plat 1</v>
      </c>
      <c r="M640" s="8" t="str">
        <f t="shared" ref="M640:M686" si="86">RIGHT(L640,2)</f>
        <v xml:space="preserve"> 1</v>
      </c>
      <c r="N640" s="4" t="s">
        <v>3010</v>
      </c>
      <c r="O640" s="15" t="s">
        <v>3011</v>
      </c>
    </row>
    <row r="641" spans="2:24" ht="15" customHeight="1" x14ac:dyDescent="0.25">
      <c r="B641" s="3" t="s">
        <v>2278</v>
      </c>
      <c r="C641" s="1" t="s">
        <v>2279</v>
      </c>
      <c r="D641" s="2" t="s">
        <v>1372</v>
      </c>
      <c r="E641" s="1" t="s">
        <v>1156</v>
      </c>
      <c r="F641" s="2" t="s">
        <v>1058</v>
      </c>
      <c r="G641" s="1" t="s">
        <v>2280</v>
      </c>
      <c r="H641" s="1" t="s">
        <v>1046</v>
      </c>
      <c r="I641" s="13" t="str">
        <f t="shared" si="82"/>
        <v>1K</v>
      </c>
      <c r="J641" t="str">
        <f t="shared" si="83"/>
        <v>1631½</v>
      </c>
      <c r="K641" t="str">
        <f t="shared" si="84"/>
        <v>1632½</v>
      </c>
      <c r="L641" t="str">
        <f t="shared" si="85"/>
        <v>Plat10</v>
      </c>
      <c r="M641" s="8" t="str">
        <f t="shared" si="86"/>
        <v>10</v>
      </c>
      <c r="N641" s="4" t="s">
        <v>1044</v>
      </c>
      <c r="O641" s="4" t="s">
        <v>3019</v>
      </c>
      <c r="P641" s="4" t="s">
        <v>3020</v>
      </c>
      <c r="Q641" s="4" t="s">
        <v>3021</v>
      </c>
      <c r="R641" s="4" t="s">
        <v>3022</v>
      </c>
      <c r="S641" s="4" t="s">
        <v>3023</v>
      </c>
      <c r="T641" s="4" t="s">
        <v>3024</v>
      </c>
      <c r="U641" s="4" t="s">
        <v>3025</v>
      </c>
      <c r="V641" s="4" t="s">
        <v>1058</v>
      </c>
    </row>
    <row r="642" spans="2:24" ht="15" customHeight="1" x14ac:dyDescent="0.25">
      <c r="B642" s="3" t="s">
        <v>2281</v>
      </c>
      <c r="C642" s="1"/>
      <c r="D642" s="1" t="s">
        <v>1037</v>
      </c>
      <c r="E642" s="1" t="s">
        <v>1054</v>
      </c>
      <c r="F642" s="2" t="s">
        <v>1372</v>
      </c>
      <c r="G642" s="1" t="s">
        <v>2282</v>
      </c>
      <c r="H642" s="1" t="s">
        <v>1046</v>
      </c>
      <c r="I642" s="13" t="str">
        <f t="shared" si="82"/>
        <v>2C</v>
      </c>
      <c r="J642" t="str">
        <f t="shared" si="83"/>
        <v/>
      </c>
      <c r="K642" t="str">
        <f t="shared" si="84"/>
        <v xml:space="preserve">1634 </v>
      </c>
      <c r="L642" t="str">
        <f t="shared" si="85"/>
        <v>Plat 5</v>
      </c>
      <c r="M642" s="8" t="str">
        <f t="shared" si="86"/>
        <v xml:space="preserve"> 5</v>
      </c>
      <c r="N642" s="4" t="s">
        <v>1372</v>
      </c>
      <c r="O642"/>
    </row>
    <row r="643" spans="2:24" ht="15" customHeight="1" x14ac:dyDescent="0.25">
      <c r="B643" s="3" t="s">
        <v>666</v>
      </c>
      <c r="C643" s="1" t="s">
        <v>2282</v>
      </c>
      <c r="D643" s="2" t="s">
        <v>1304</v>
      </c>
      <c r="E643" s="1" t="s">
        <v>1047</v>
      </c>
      <c r="F643" s="2" t="s">
        <v>1372</v>
      </c>
      <c r="G643" s="1" t="s">
        <v>2283</v>
      </c>
      <c r="H643" s="1" t="s">
        <v>1046</v>
      </c>
      <c r="I643" s="13" t="str">
        <f t="shared" si="82"/>
        <v>1F</v>
      </c>
      <c r="J643" t="str">
        <f t="shared" si="83"/>
        <v xml:space="preserve">1634 </v>
      </c>
      <c r="K643" t="str">
        <f t="shared" si="84"/>
        <v>1634½</v>
      </c>
      <c r="L643" t="str">
        <f t="shared" si="85"/>
        <v>Plat 9</v>
      </c>
      <c r="M643" s="8" t="str">
        <f t="shared" si="86"/>
        <v xml:space="preserve"> 9</v>
      </c>
      <c r="N643" s="4" t="s">
        <v>1372</v>
      </c>
      <c r="O643"/>
    </row>
    <row r="644" spans="2:24" ht="15" customHeight="1" x14ac:dyDescent="0.25">
      <c r="B644" s="3" t="s">
        <v>2284</v>
      </c>
      <c r="C644" s="1" t="s">
        <v>2285</v>
      </c>
      <c r="D644" s="2" t="s">
        <v>1039</v>
      </c>
      <c r="E644" s="1" t="s">
        <v>1050</v>
      </c>
      <c r="F644" s="1" t="s">
        <v>1051</v>
      </c>
      <c r="G644" s="1"/>
      <c r="H644" s="1" t="s">
        <v>1040</v>
      </c>
      <c r="I644" s="13" t="str">
        <f t="shared" si="82"/>
        <v>2L</v>
      </c>
      <c r="J644" t="str">
        <f t="shared" si="83"/>
        <v xml:space="preserve">1635 </v>
      </c>
      <c r="K644" t="str">
        <f t="shared" si="84"/>
        <v/>
      </c>
      <c r="L644" t="str">
        <f t="shared" si="85"/>
        <v>Plat 1</v>
      </c>
      <c r="M644" s="8" t="str">
        <f t="shared" si="86"/>
        <v xml:space="preserve"> 1</v>
      </c>
      <c r="O644"/>
    </row>
    <row r="645" spans="2:24" ht="15" customHeight="1" x14ac:dyDescent="0.25">
      <c r="B645" s="3" t="s">
        <v>2286</v>
      </c>
      <c r="C645" s="1" t="s">
        <v>2287</v>
      </c>
      <c r="D645" s="2" t="s">
        <v>1372</v>
      </c>
      <c r="E645" s="1" t="s">
        <v>1043</v>
      </c>
      <c r="F645" s="2" t="s">
        <v>1161</v>
      </c>
      <c r="G645" s="1" t="s">
        <v>2288</v>
      </c>
      <c r="H645" s="1" t="s">
        <v>1046</v>
      </c>
      <c r="I645" s="13" t="str">
        <f t="shared" si="82"/>
        <v>2C</v>
      </c>
      <c r="J645" t="str">
        <f t="shared" si="83"/>
        <v>1634½</v>
      </c>
      <c r="K645" t="str">
        <f t="shared" si="84"/>
        <v>1636½</v>
      </c>
      <c r="L645" t="str">
        <f t="shared" si="85"/>
        <v>Plat 8</v>
      </c>
      <c r="M645" s="8" t="str">
        <f t="shared" si="86"/>
        <v xml:space="preserve"> 8</v>
      </c>
      <c r="N645" t="s">
        <v>3012</v>
      </c>
      <c r="O645" t="s">
        <v>3013</v>
      </c>
      <c r="P645" t="s">
        <v>1181</v>
      </c>
      <c r="Q645" t="s">
        <v>3014</v>
      </c>
      <c r="R645" t="s">
        <v>3015</v>
      </c>
      <c r="S645" t="s">
        <v>3016</v>
      </c>
      <c r="T645" t="s">
        <v>3004</v>
      </c>
      <c r="U645" t="s">
        <v>1161</v>
      </c>
    </row>
    <row r="646" spans="2:24" ht="15" customHeight="1" x14ac:dyDescent="0.25">
      <c r="B646" s="3" t="s">
        <v>2289</v>
      </c>
      <c r="C646" s="1" t="s">
        <v>650</v>
      </c>
      <c r="D646" s="2" t="s">
        <v>1254</v>
      </c>
      <c r="E646" s="1" t="s">
        <v>2148</v>
      </c>
      <c r="F646" s="1" t="s">
        <v>1051</v>
      </c>
      <c r="G646" s="1"/>
      <c r="H646" s="1" t="s">
        <v>1046</v>
      </c>
      <c r="I646" s="13" t="str">
        <f t="shared" si="82"/>
        <v>2S</v>
      </c>
      <c r="J646" t="str">
        <f t="shared" si="83"/>
        <v xml:space="preserve">1637 </v>
      </c>
      <c r="K646" t="str">
        <f t="shared" si="84"/>
        <v/>
      </c>
      <c r="L646" t="str">
        <f t="shared" si="85"/>
        <v>Plat11</v>
      </c>
      <c r="M646" s="8" t="str">
        <f t="shared" si="86"/>
        <v>11</v>
      </c>
      <c r="O646"/>
    </row>
    <row r="647" spans="2:24" ht="15" customHeight="1" x14ac:dyDescent="0.25">
      <c r="B647" s="3" t="s">
        <v>2290</v>
      </c>
      <c r="C647" s="1"/>
      <c r="D647" s="1" t="s">
        <v>1037</v>
      </c>
      <c r="E647" s="1" t="s">
        <v>1061</v>
      </c>
      <c r="F647" s="2" t="s">
        <v>1074</v>
      </c>
      <c r="G647" s="1" t="s">
        <v>650</v>
      </c>
      <c r="H647" s="1" t="s">
        <v>1040</v>
      </c>
      <c r="I647" s="13" t="str">
        <f t="shared" si="82"/>
        <v>2N</v>
      </c>
      <c r="J647" t="str">
        <f t="shared" si="83"/>
        <v/>
      </c>
      <c r="K647" t="str">
        <f t="shared" si="84"/>
        <v xml:space="preserve">1637 </v>
      </c>
      <c r="L647" t="str">
        <f t="shared" si="85"/>
        <v>Plat 2</v>
      </c>
      <c r="M647" s="8" t="str">
        <f t="shared" si="86"/>
        <v xml:space="preserve"> 2</v>
      </c>
      <c r="N647" s="4" t="s">
        <v>3010</v>
      </c>
      <c r="O647" s="15" t="s">
        <v>3011</v>
      </c>
    </row>
    <row r="648" spans="2:24" ht="15" customHeight="1" x14ac:dyDescent="0.25">
      <c r="B648" s="3" t="s">
        <v>1464</v>
      </c>
      <c r="C648" s="1" t="s">
        <v>650</v>
      </c>
      <c r="D648" s="2" t="s">
        <v>1044</v>
      </c>
      <c r="E648" s="1" t="s">
        <v>1054</v>
      </c>
      <c r="F648" s="2" t="s">
        <v>1372</v>
      </c>
      <c r="G648" s="1" t="s">
        <v>2291</v>
      </c>
      <c r="H648" s="1" t="s">
        <v>1046</v>
      </c>
      <c r="I648" s="13" t="str">
        <f t="shared" si="82"/>
        <v>2W</v>
      </c>
      <c r="J648" t="str">
        <f t="shared" si="83"/>
        <v xml:space="preserve">1637 </v>
      </c>
      <c r="K648" t="str">
        <f t="shared" si="84"/>
        <v xml:space="preserve">1639 </v>
      </c>
      <c r="L648" t="str">
        <f t="shared" si="85"/>
        <v>Plat 5</v>
      </c>
      <c r="M648" s="8" t="str">
        <f t="shared" si="86"/>
        <v xml:space="preserve"> 5</v>
      </c>
      <c r="N648" s="4" t="s">
        <v>1372</v>
      </c>
      <c r="O648"/>
    </row>
    <row r="649" spans="2:24" ht="15" customHeight="1" x14ac:dyDescent="0.25">
      <c r="B649" s="3" t="s">
        <v>2292</v>
      </c>
      <c r="C649" s="1" t="s">
        <v>2291</v>
      </c>
      <c r="D649" s="2" t="s">
        <v>1058</v>
      </c>
      <c r="E649" s="1" t="s">
        <v>1047</v>
      </c>
      <c r="F649" s="2" t="s">
        <v>1372</v>
      </c>
      <c r="G649" s="1" t="s">
        <v>2293</v>
      </c>
      <c r="H649" s="1" t="s">
        <v>1046</v>
      </c>
      <c r="I649" s="13" t="str">
        <f t="shared" si="82"/>
        <v>1K</v>
      </c>
      <c r="J649" t="str">
        <f t="shared" si="83"/>
        <v xml:space="preserve">1639 </v>
      </c>
      <c r="K649" t="str">
        <f t="shared" si="84"/>
        <v>1639½</v>
      </c>
      <c r="L649" t="str">
        <f t="shared" si="85"/>
        <v>Plat 9</v>
      </c>
      <c r="M649" s="8" t="str">
        <f t="shared" si="86"/>
        <v xml:space="preserve"> 9</v>
      </c>
      <c r="N649" s="4" t="s">
        <v>1372</v>
      </c>
      <c r="O649"/>
    </row>
    <row r="650" spans="2:24" ht="15" customHeight="1" x14ac:dyDescent="0.25">
      <c r="B650" s="3" t="s">
        <v>2294</v>
      </c>
      <c r="C650" s="1" t="s">
        <v>2295</v>
      </c>
      <c r="D650" s="2" t="s">
        <v>1062</v>
      </c>
      <c r="E650" s="1" t="s">
        <v>1075</v>
      </c>
      <c r="F650" s="1" t="s">
        <v>1051</v>
      </c>
      <c r="G650" s="1"/>
      <c r="H650" s="1" t="s">
        <v>1040</v>
      </c>
      <c r="I650" s="13" t="str">
        <f t="shared" si="82"/>
        <v>2G</v>
      </c>
      <c r="J650" t="str">
        <f t="shared" si="83"/>
        <v xml:space="preserve">1640 </v>
      </c>
      <c r="K650" t="str">
        <f t="shared" si="84"/>
        <v/>
      </c>
      <c r="L650" t="str">
        <f t="shared" si="85"/>
        <v>Plat 2</v>
      </c>
      <c r="M650" s="8" t="str">
        <f t="shared" si="86"/>
        <v xml:space="preserve"> 2</v>
      </c>
      <c r="O650"/>
    </row>
    <row r="651" spans="2:24" ht="15" customHeight="1" x14ac:dyDescent="0.25">
      <c r="B651" s="3" t="s">
        <v>2296</v>
      </c>
      <c r="C651" s="1"/>
      <c r="D651" s="1" t="s">
        <v>1037</v>
      </c>
      <c r="E651" s="1" t="s">
        <v>1038</v>
      </c>
      <c r="F651" s="2" t="s">
        <v>1062</v>
      </c>
      <c r="G651" s="1" t="s">
        <v>2297</v>
      </c>
      <c r="H651" s="1" t="s">
        <v>1040</v>
      </c>
      <c r="I651" s="13" t="str">
        <f t="shared" si="82"/>
        <v>2G</v>
      </c>
      <c r="J651" t="str">
        <f t="shared" si="83"/>
        <v/>
      </c>
      <c r="K651" t="str">
        <f t="shared" si="84"/>
        <v xml:space="preserve">1641 </v>
      </c>
      <c r="L651" t="str">
        <f t="shared" si="85"/>
        <v>Plat 1</v>
      </c>
      <c r="M651" s="8" t="str">
        <f t="shared" si="86"/>
        <v xml:space="preserve"> 1</v>
      </c>
      <c r="N651" s="4" t="s">
        <v>3010</v>
      </c>
      <c r="O651" s="15" t="s">
        <v>3011</v>
      </c>
    </row>
    <row r="652" spans="2:24" ht="15" customHeight="1" x14ac:dyDescent="0.25">
      <c r="B652" s="3" t="s">
        <v>481</v>
      </c>
      <c r="C652" s="1" t="s">
        <v>2298</v>
      </c>
      <c r="D652" s="2" t="s">
        <v>1372</v>
      </c>
      <c r="E652" s="1" t="s">
        <v>1156</v>
      </c>
      <c r="F652" s="2" t="s">
        <v>1237</v>
      </c>
      <c r="G652" s="1" t="s">
        <v>2299</v>
      </c>
      <c r="H652" s="1" t="s">
        <v>1046</v>
      </c>
      <c r="I652" s="13" t="str">
        <f t="shared" si="82"/>
        <v>1F</v>
      </c>
      <c r="J652" t="str">
        <f t="shared" si="83"/>
        <v>1641½</v>
      </c>
      <c r="K652" t="str">
        <f t="shared" si="84"/>
        <v>1642½</v>
      </c>
      <c r="L652" t="str">
        <f t="shared" si="85"/>
        <v>Plat10</v>
      </c>
      <c r="M652" s="8" t="str">
        <f t="shared" si="86"/>
        <v>10</v>
      </c>
      <c r="N652" t="s">
        <v>1044</v>
      </c>
      <c r="O652" t="s">
        <v>1473</v>
      </c>
      <c r="P652" t="s">
        <v>3000</v>
      </c>
      <c r="Q652" t="s">
        <v>3001</v>
      </c>
      <c r="R652" t="s">
        <v>3043</v>
      </c>
      <c r="S652" t="s">
        <v>3044</v>
      </c>
      <c r="T652" t="s">
        <v>3045</v>
      </c>
      <c r="U652" t="s">
        <v>1237</v>
      </c>
    </row>
    <row r="653" spans="2:24" ht="15" customHeight="1" x14ac:dyDescent="0.25">
      <c r="B653" s="3" t="s">
        <v>1125</v>
      </c>
      <c r="C653" s="1" t="s">
        <v>2300</v>
      </c>
      <c r="D653" s="2" t="s">
        <v>1372</v>
      </c>
      <c r="E653" s="1" t="s">
        <v>1043</v>
      </c>
      <c r="F653" s="2" t="s">
        <v>1044</v>
      </c>
      <c r="G653" s="1" t="s">
        <v>2301</v>
      </c>
      <c r="H653" s="1" t="s">
        <v>1046</v>
      </c>
      <c r="I653" s="13" t="str">
        <f t="shared" si="82"/>
        <v>2W</v>
      </c>
      <c r="J653" t="str">
        <f t="shared" si="83"/>
        <v>1642½</v>
      </c>
      <c r="K653" t="str">
        <f t="shared" si="84"/>
        <v>1643½</v>
      </c>
      <c r="L653" t="str">
        <f t="shared" si="85"/>
        <v>Plat 8</v>
      </c>
      <c r="M653" s="8" t="str">
        <f t="shared" si="86"/>
        <v xml:space="preserve"> 8</v>
      </c>
      <c r="N653" s="4" t="s">
        <v>3012</v>
      </c>
      <c r="O653" s="4" t="s">
        <v>3013</v>
      </c>
      <c r="P653" s="4" t="s">
        <v>1181</v>
      </c>
      <c r="Q653" s="4" t="s">
        <v>3014</v>
      </c>
      <c r="R653" s="4" t="s">
        <v>3015</v>
      </c>
      <c r="S653" s="4" t="s">
        <v>3016</v>
      </c>
      <c r="T653" s="4" t="s">
        <v>3004</v>
      </c>
      <c r="U653" s="4" t="s">
        <v>1161</v>
      </c>
      <c r="V653" s="4" t="s">
        <v>3017</v>
      </c>
      <c r="W653" s="4" t="s">
        <v>3018</v>
      </c>
      <c r="X653" s="4" t="s">
        <v>1044</v>
      </c>
    </row>
    <row r="654" spans="2:24" ht="15" customHeight="1" x14ac:dyDescent="0.25">
      <c r="B654" s="3" t="s">
        <v>2302</v>
      </c>
      <c r="C654" s="1" t="s">
        <v>2303</v>
      </c>
      <c r="D654" s="2" t="s">
        <v>1074</v>
      </c>
      <c r="E654" s="1" t="s">
        <v>1050</v>
      </c>
      <c r="F654" s="1" t="s">
        <v>1051</v>
      </c>
      <c r="G654" s="1"/>
      <c r="H654" s="1" t="s">
        <v>1040</v>
      </c>
      <c r="I654" s="13" t="str">
        <f t="shared" si="82"/>
        <v>2N</v>
      </c>
      <c r="J654" t="str">
        <f t="shared" si="83"/>
        <v xml:space="preserve">1644 </v>
      </c>
      <c r="K654" t="str">
        <f t="shared" si="84"/>
        <v/>
      </c>
      <c r="L654" t="str">
        <f t="shared" si="85"/>
        <v>Plat 1</v>
      </c>
      <c r="M654" s="8" t="str">
        <f t="shared" si="86"/>
        <v xml:space="preserve"> 1</v>
      </c>
      <c r="O654"/>
    </row>
    <row r="655" spans="2:24" ht="15" customHeight="1" x14ac:dyDescent="0.25">
      <c r="B655" s="3" t="s">
        <v>2304</v>
      </c>
      <c r="C655" s="1"/>
      <c r="D655" s="1" t="s">
        <v>1037</v>
      </c>
      <c r="E655" s="1" t="s">
        <v>1061</v>
      </c>
      <c r="F655" s="2" t="s">
        <v>1039</v>
      </c>
      <c r="G655" s="1" t="s">
        <v>658</v>
      </c>
      <c r="H655" s="1" t="s">
        <v>1040</v>
      </c>
      <c r="I655" s="13" t="str">
        <f t="shared" si="82"/>
        <v>2Y</v>
      </c>
      <c r="J655" t="str">
        <f t="shared" si="83"/>
        <v/>
      </c>
      <c r="K655" t="str">
        <f t="shared" si="84"/>
        <v xml:space="preserve">1645 </v>
      </c>
      <c r="L655" t="str">
        <f t="shared" si="85"/>
        <v>Plat 2</v>
      </c>
      <c r="M655" s="8" t="str">
        <f t="shared" si="86"/>
        <v xml:space="preserve"> 2</v>
      </c>
      <c r="N655" s="4" t="s">
        <v>3010</v>
      </c>
      <c r="O655" s="15" t="s">
        <v>3011</v>
      </c>
    </row>
    <row r="656" spans="2:24" ht="15" customHeight="1" x14ac:dyDescent="0.25">
      <c r="B656" s="3" t="s">
        <v>2305</v>
      </c>
      <c r="C656" s="1" t="s">
        <v>658</v>
      </c>
      <c r="D656" s="2" t="s">
        <v>1066</v>
      </c>
      <c r="E656" s="1" t="s">
        <v>1047</v>
      </c>
      <c r="F656" s="2" t="s">
        <v>1372</v>
      </c>
      <c r="G656" s="1" t="s">
        <v>2474</v>
      </c>
      <c r="H656" s="1" t="s">
        <v>1046</v>
      </c>
      <c r="I656" s="13" t="str">
        <f t="shared" si="82"/>
        <v>1P</v>
      </c>
      <c r="J656" t="str">
        <f t="shared" si="83"/>
        <v xml:space="preserve">1645 </v>
      </c>
      <c r="K656" t="str">
        <f t="shared" si="84"/>
        <v xml:space="preserve">1646 </v>
      </c>
      <c r="L656" t="str">
        <f t="shared" si="85"/>
        <v>Plat 9</v>
      </c>
      <c r="M656" s="8" t="str">
        <f t="shared" si="86"/>
        <v xml:space="preserve"> 9</v>
      </c>
      <c r="N656" s="4" t="s">
        <v>1372</v>
      </c>
      <c r="O656"/>
    </row>
    <row r="657" spans="2:25" ht="15" customHeight="1" x14ac:dyDescent="0.25">
      <c r="B657" s="3" t="s">
        <v>2306</v>
      </c>
      <c r="C657" s="1"/>
      <c r="D657" s="1" t="s">
        <v>1037</v>
      </c>
      <c r="E657" s="1" t="s">
        <v>2148</v>
      </c>
      <c r="F657" s="2" t="s">
        <v>1254</v>
      </c>
      <c r="G657" s="1" t="s">
        <v>2307</v>
      </c>
      <c r="H657" s="1" t="s">
        <v>1046</v>
      </c>
      <c r="I657" s="13" t="str">
        <f t="shared" si="82"/>
        <v>2S</v>
      </c>
      <c r="J657" t="str">
        <f t="shared" si="83"/>
        <v/>
      </c>
      <c r="K657" t="str">
        <f t="shared" si="84"/>
        <v xml:space="preserve">1647 </v>
      </c>
      <c r="L657" t="str">
        <f t="shared" si="85"/>
        <v>Plat11</v>
      </c>
      <c r="M657" s="8" t="str">
        <f t="shared" si="86"/>
        <v>11</v>
      </c>
      <c r="N657" t="s">
        <v>2975</v>
      </c>
      <c r="O657" t="s">
        <v>3039</v>
      </c>
      <c r="P657" t="s">
        <v>3041</v>
      </c>
      <c r="Q657" t="s">
        <v>3040</v>
      </c>
      <c r="R657" t="s">
        <v>3042</v>
      </c>
      <c r="S657" t="s">
        <v>2978</v>
      </c>
      <c r="T657" t="s">
        <v>1298</v>
      </c>
      <c r="U657" t="s">
        <v>2979</v>
      </c>
      <c r="V657" t="s">
        <v>2980</v>
      </c>
      <c r="W657" t="s">
        <v>2981</v>
      </c>
      <c r="X657" t="s">
        <v>2982</v>
      </c>
      <c r="Y657" t="s">
        <v>1254</v>
      </c>
    </row>
    <row r="658" spans="2:25" ht="15" customHeight="1" x14ac:dyDescent="0.25">
      <c r="B658" s="3" t="s">
        <v>1480</v>
      </c>
      <c r="C658" s="1" t="s">
        <v>2307</v>
      </c>
      <c r="D658" s="2" t="s">
        <v>1044</v>
      </c>
      <c r="E658" s="1" t="s">
        <v>1054</v>
      </c>
      <c r="F658" s="2" t="s">
        <v>1372</v>
      </c>
      <c r="G658" s="1" t="s">
        <v>2308</v>
      </c>
      <c r="H658" s="1" t="s">
        <v>1046</v>
      </c>
      <c r="I658" s="13" t="str">
        <f t="shared" si="82"/>
        <v>2W</v>
      </c>
      <c r="J658" t="str">
        <f t="shared" si="83"/>
        <v xml:space="preserve">1647 </v>
      </c>
      <c r="K658" t="str">
        <f t="shared" si="84"/>
        <v xml:space="preserve">1648 </v>
      </c>
      <c r="L658" t="str">
        <f t="shared" si="85"/>
        <v>Plat 5</v>
      </c>
      <c r="M658" s="8" t="str">
        <f t="shared" si="86"/>
        <v xml:space="preserve"> 5</v>
      </c>
      <c r="N658" s="4" t="s">
        <v>1372</v>
      </c>
      <c r="O658"/>
    </row>
    <row r="659" spans="2:25" ht="15" customHeight="1" x14ac:dyDescent="0.25">
      <c r="B659" s="3" t="s">
        <v>2309</v>
      </c>
      <c r="C659" s="1" t="s">
        <v>2310</v>
      </c>
      <c r="D659" s="2" t="s">
        <v>1372</v>
      </c>
      <c r="E659" s="1" t="s">
        <v>1156</v>
      </c>
      <c r="F659" s="2" t="s">
        <v>1058</v>
      </c>
      <c r="G659" s="1" t="s">
        <v>656</v>
      </c>
      <c r="H659" s="1" t="s">
        <v>1046</v>
      </c>
      <c r="I659" s="13" t="str">
        <f t="shared" si="82"/>
        <v>1K</v>
      </c>
      <c r="J659" t="str">
        <f t="shared" si="83"/>
        <v>1647½</v>
      </c>
      <c r="K659" t="str">
        <f t="shared" si="84"/>
        <v>1648½</v>
      </c>
      <c r="L659" t="str">
        <f t="shared" si="85"/>
        <v>Plat10</v>
      </c>
      <c r="M659" s="8" t="str">
        <f t="shared" si="86"/>
        <v>10</v>
      </c>
      <c r="N659" s="4" t="s">
        <v>1044</v>
      </c>
      <c r="O659" s="4" t="s">
        <v>3019</v>
      </c>
      <c r="P659" s="4" t="s">
        <v>3020</v>
      </c>
      <c r="Q659" s="4" t="s">
        <v>3021</v>
      </c>
      <c r="R659" s="4" t="s">
        <v>3022</v>
      </c>
      <c r="S659" s="4" t="s">
        <v>3023</v>
      </c>
      <c r="T659" s="4" t="s">
        <v>3024</v>
      </c>
      <c r="U659" s="4" t="s">
        <v>3025</v>
      </c>
      <c r="V659" s="4" t="s">
        <v>1058</v>
      </c>
    </row>
    <row r="660" spans="2:25" ht="15" customHeight="1" x14ac:dyDescent="0.25">
      <c r="B660" s="3" t="s">
        <v>2311</v>
      </c>
      <c r="C660" s="1" t="s">
        <v>2312</v>
      </c>
      <c r="D660" s="2" t="s">
        <v>1372</v>
      </c>
      <c r="E660" s="1" t="s">
        <v>1043</v>
      </c>
      <c r="F660" s="2" t="s">
        <v>1161</v>
      </c>
      <c r="G660" s="1" t="s">
        <v>656</v>
      </c>
      <c r="H660" s="1" t="s">
        <v>1046</v>
      </c>
      <c r="I660" s="13" t="str">
        <f t="shared" si="82"/>
        <v>2C</v>
      </c>
      <c r="J660" t="str">
        <f t="shared" si="83"/>
        <v>1646½</v>
      </c>
      <c r="K660" t="str">
        <f t="shared" si="84"/>
        <v>1648½</v>
      </c>
      <c r="L660" t="str">
        <f t="shared" si="85"/>
        <v>Plat 8</v>
      </c>
      <c r="M660" s="8" t="str">
        <f t="shared" si="86"/>
        <v xml:space="preserve"> 8</v>
      </c>
      <c r="N660" t="s">
        <v>3012</v>
      </c>
      <c r="O660" t="s">
        <v>3013</v>
      </c>
      <c r="P660" t="s">
        <v>1181</v>
      </c>
      <c r="Q660" t="s">
        <v>3016</v>
      </c>
      <c r="R660" t="s">
        <v>3004</v>
      </c>
      <c r="S660" t="s">
        <v>1161</v>
      </c>
    </row>
    <row r="661" spans="2:25" ht="15" customHeight="1" x14ac:dyDescent="0.25">
      <c r="B661" s="3" t="s">
        <v>2313</v>
      </c>
      <c r="C661" s="1" t="s">
        <v>2314</v>
      </c>
      <c r="D661" s="2" t="s">
        <v>1039</v>
      </c>
      <c r="E661" s="1" t="s">
        <v>1075</v>
      </c>
      <c r="F661" s="1" t="s">
        <v>1051</v>
      </c>
      <c r="G661" s="1"/>
      <c r="H661" s="1" t="s">
        <v>1040</v>
      </c>
      <c r="I661" s="13" t="str">
        <f t="shared" si="82"/>
        <v>2L</v>
      </c>
      <c r="J661" t="str">
        <f t="shared" si="83"/>
        <v xml:space="preserve">1649 </v>
      </c>
      <c r="K661" t="str">
        <f t="shared" si="84"/>
        <v/>
      </c>
      <c r="L661" t="str">
        <f t="shared" si="85"/>
        <v>Plat 2</v>
      </c>
      <c r="M661" s="8" t="str">
        <f t="shared" si="86"/>
        <v xml:space="preserve"> 2</v>
      </c>
      <c r="O661"/>
    </row>
    <row r="662" spans="2:25" ht="15" customHeight="1" x14ac:dyDescent="0.25">
      <c r="B662" s="3" t="s">
        <v>2315</v>
      </c>
      <c r="C662" s="1"/>
      <c r="D662" s="1" t="s">
        <v>1037</v>
      </c>
      <c r="E662" s="1" t="s">
        <v>1054</v>
      </c>
      <c r="F662" s="2" t="s">
        <v>1372</v>
      </c>
      <c r="G662" s="1" t="s">
        <v>661</v>
      </c>
      <c r="H662" s="1" t="s">
        <v>1046</v>
      </c>
      <c r="I662" s="13" t="str">
        <f t="shared" si="82"/>
        <v>2C</v>
      </c>
      <c r="J662" t="str">
        <f t="shared" si="83"/>
        <v/>
      </c>
      <c r="K662" t="str">
        <f t="shared" si="84"/>
        <v xml:space="preserve">1651 </v>
      </c>
      <c r="L662" t="str">
        <f t="shared" si="85"/>
        <v>Plat 5</v>
      </c>
      <c r="M662" s="8" t="str">
        <f t="shared" si="86"/>
        <v xml:space="preserve"> 5</v>
      </c>
      <c r="N662" s="4" t="s">
        <v>1372</v>
      </c>
      <c r="O662"/>
    </row>
    <row r="663" spans="2:25" ht="15" customHeight="1" x14ac:dyDescent="0.25">
      <c r="B663" s="3" t="s">
        <v>2316</v>
      </c>
      <c r="C663" s="1"/>
      <c r="D663" s="1" t="s">
        <v>1037</v>
      </c>
      <c r="E663" s="1" t="s">
        <v>1038</v>
      </c>
      <c r="F663" s="2" t="s">
        <v>1074</v>
      </c>
      <c r="G663" s="1" t="s">
        <v>664</v>
      </c>
      <c r="H663" s="1" t="s">
        <v>1040</v>
      </c>
      <c r="I663" s="13" t="str">
        <f t="shared" si="82"/>
        <v>2N</v>
      </c>
      <c r="J663" t="str">
        <f t="shared" si="83"/>
        <v/>
      </c>
      <c r="K663" t="str">
        <f t="shared" si="84"/>
        <v xml:space="preserve">1652 </v>
      </c>
      <c r="L663" t="str">
        <f t="shared" si="85"/>
        <v>Plat 1</v>
      </c>
      <c r="M663" s="8" t="str">
        <f t="shared" si="86"/>
        <v xml:space="preserve"> 1</v>
      </c>
      <c r="N663" s="4" t="s">
        <v>3010</v>
      </c>
      <c r="O663" s="15" t="s">
        <v>3011</v>
      </c>
    </row>
    <row r="664" spans="2:25" ht="15" customHeight="1" x14ac:dyDescent="0.25">
      <c r="B664" s="3" t="s">
        <v>696</v>
      </c>
      <c r="C664" s="1" t="s">
        <v>664</v>
      </c>
      <c r="D664" s="2" t="s">
        <v>1237</v>
      </c>
      <c r="E664" s="1" t="s">
        <v>1047</v>
      </c>
      <c r="F664" s="2" t="s">
        <v>1372</v>
      </c>
      <c r="G664" s="1" t="s">
        <v>2317</v>
      </c>
      <c r="H664" s="1" t="s">
        <v>1046</v>
      </c>
      <c r="I664" s="13" t="str">
        <f t="shared" si="82"/>
        <v>1F</v>
      </c>
      <c r="J664" t="str">
        <f t="shared" si="83"/>
        <v xml:space="preserve">1652 </v>
      </c>
      <c r="K664" t="str">
        <f t="shared" si="84"/>
        <v>1652½</v>
      </c>
      <c r="L664" t="str">
        <f t="shared" si="85"/>
        <v>Plat 9</v>
      </c>
      <c r="M664" s="8" t="str">
        <f t="shared" si="86"/>
        <v xml:space="preserve"> 9</v>
      </c>
      <c r="N664" s="4" t="s">
        <v>1372</v>
      </c>
      <c r="O664"/>
    </row>
    <row r="665" spans="2:25" ht="15" customHeight="1" x14ac:dyDescent="0.25">
      <c r="B665" s="3" t="s">
        <v>2318</v>
      </c>
      <c r="C665" s="1" t="s">
        <v>2319</v>
      </c>
      <c r="D665" s="2" t="s">
        <v>1372</v>
      </c>
      <c r="E665" s="1" t="s">
        <v>1156</v>
      </c>
      <c r="F665" s="2" t="s">
        <v>1185</v>
      </c>
      <c r="G665" s="1" t="s">
        <v>2317</v>
      </c>
      <c r="H665" s="1" t="s">
        <v>1046</v>
      </c>
      <c r="I665" s="13" t="str">
        <f t="shared" si="82"/>
        <v>1N</v>
      </c>
      <c r="J665" t="str">
        <f t="shared" si="83"/>
        <v>1651½</v>
      </c>
      <c r="K665" t="str">
        <f t="shared" si="84"/>
        <v>1652½</v>
      </c>
      <c r="L665" t="str">
        <f t="shared" si="85"/>
        <v>Plat10</v>
      </c>
      <c r="M665" s="8" t="str">
        <f t="shared" si="86"/>
        <v>10</v>
      </c>
      <c r="N665" t="s">
        <v>1473</v>
      </c>
      <c r="O665" t="s">
        <v>3002</v>
      </c>
      <c r="P665" t="s">
        <v>3003</v>
      </c>
      <c r="Q665" t="s">
        <v>1091</v>
      </c>
      <c r="R665" t="s">
        <v>3031</v>
      </c>
      <c r="S665" t="s">
        <v>3032</v>
      </c>
      <c r="T665" t="s">
        <v>3033</v>
      </c>
      <c r="U665" t="s">
        <v>3046</v>
      </c>
      <c r="V665" t="s">
        <v>3047</v>
      </c>
    </row>
    <row r="666" spans="2:25" ht="15" customHeight="1" x14ac:dyDescent="0.25">
      <c r="B666" s="3" t="s">
        <v>1134</v>
      </c>
      <c r="C666" s="1" t="s">
        <v>2320</v>
      </c>
      <c r="D666" s="2" t="s">
        <v>1372</v>
      </c>
      <c r="E666" s="1" t="s">
        <v>1043</v>
      </c>
      <c r="F666" s="2" t="s">
        <v>1044</v>
      </c>
      <c r="G666" s="1" t="s">
        <v>2321</v>
      </c>
      <c r="H666" s="1" t="s">
        <v>1046</v>
      </c>
      <c r="I666" s="13" t="str">
        <f t="shared" si="82"/>
        <v>2W</v>
      </c>
      <c r="J666" t="str">
        <f t="shared" si="83"/>
        <v>1653½</v>
      </c>
      <c r="K666" t="str">
        <f t="shared" si="84"/>
        <v>1654½</v>
      </c>
      <c r="L666" t="str">
        <f t="shared" si="85"/>
        <v>Plat 8</v>
      </c>
      <c r="M666" s="8" t="str">
        <f t="shared" si="86"/>
        <v xml:space="preserve"> 8</v>
      </c>
      <c r="N666" s="4" t="s">
        <v>3012</v>
      </c>
      <c r="O666" s="4" t="s">
        <v>3013</v>
      </c>
      <c r="P666" s="4" t="s">
        <v>1181</v>
      </c>
      <c r="Q666" s="4" t="s">
        <v>3014</v>
      </c>
      <c r="R666" s="4" t="s">
        <v>3015</v>
      </c>
      <c r="S666" s="4" t="s">
        <v>3016</v>
      </c>
      <c r="T666" s="4" t="s">
        <v>3004</v>
      </c>
      <c r="U666" s="4" t="s">
        <v>1161</v>
      </c>
      <c r="V666" s="4" t="s">
        <v>3017</v>
      </c>
      <c r="W666" s="4" t="s">
        <v>3018</v>
      </c>
      <c r="X666" s="4" t="s">
        <v>1044</v>
      </c>
    </row>
    <row r="667" spans="2:25" ht="15" customHeight="1" x14ac:dyDescent="0.25">
      <c r="B667" s="3" t="s">
        <v>499</v>
      </c>
      <c r="C667" s="1" t="s">
        <v>2322</v>
      </c>
      <c r="D667" s="2" t="s">
        <v>1372</v>
      </c>
      <c r="E667" s="1" t="s">
        <v>1156</v>
      </c>
      <c r="F667" s="2" t="s">
        <v>1309</v>
      </c>
      <c r="G667" s="1" t="s">
        <v>2323</v>
      </c>
      <c r="H667" s="1" t="s">
        <v>1046</v>
      </c>
      <c r="I667" s="13" t="str">
        <f t="shared" si="82"/>
        <v>1F</v>
      </c>
      <c r="J667" t="str">
        <f t="shared" si="83"/>
        <v>1654½</v>
      </c>
      <c r="K667" t="str">
        <f t="shared" si="84"/>
        <v>1655½</v>
      </c>
      <c r="L667" t="str">
        <f t="shared" si="85"/>
        <v>Plat10</v>
      </c>
      <c r="M667" s="8" t="str">
        <f t="shared" si="86"/>
        <v>10</v>
      </c>
      <c r="N667" t="s">
        <v>1044</v>
      </c>
      <c r="O667" t="s">
        <v>2999</v>
      </c>
      <c r="P667" t="s">
        <v>1473</v>
      </c>
      <c r="Q667" t="s">
        <v>3001</v>
      </c>
    </row>
    <row r="668" spans="2:25" ht="15" customHeight="1" x14ac:dyDescent="0.25">
      <c r="B668" s="3" t="s">
        <v>1509</v>
      </c>
      <c r="C668" s="1" t="s">
        <v>2324</v>
      </c>
      <c r="D668" s="2" t="s">
        <v>1044</v>
      </c>
      <c r="E668" s="1" t="s">
        <v>1054</v>
      </c>
      <c r="F668" s="2" t="s">
        <v>1372</v>
      </c>
      <c r="G668" s="1" t="s">
        <v>667</v>
      </c>
      <c r="H668" s="1" t="s">
        <v>1046</v>
      </c>
      <c r="I668" s="13" t="str">
        <f t="shared" si="82"/>
        <v>2W</v>
      </c>
      <c r="J668" t="str">
        <f t="shared" si="83"/>
        <v xml:space="preserve">1657 </v>
      </c>
      <c r="K668" t="str">
        <f t="shared" si="84"/>
        <v xml:space="preserve">1658 </v>
      </c>
      <c r="L668" t="str">
        <f t="shared" si="85"/>
        <v>Plat 5</v>
      </c>
      <c r="M668" s="8" t="str">
        <f t="shared" si="86"/>
        <v xml:space="preserve"> 5</v>
      </c>
      <c r="N668" s="4" t="s">
        <v>1372</v>
      </c>
      <c r="O668"/>
    </row>
    <row r="669" spans="2:25" ht="15" customHeight="1" x14ac:dyDescent="0.25">
      <c r="B669" s="3" t="s">
        <v>2325</v>
      </c>
      <c r="C669" s="1" t="s">
        <v>2326</v>
      </c>
      <c r="D669" s="2" t="s">
        <v>1372</v>
      </c>
      <c r="E669" s="1" t="s">
        <v>1043</v>
      </c>
      <c r="F669" s="2" t="s">
        <v>1161</v>
      </c>
      <c r="G669" s="1" t="s">
        <v>2327</v>
      </c>
      <c r="H669" s="1" t="s">
        <v>1046</v>
      </c>
      <c r="I669" s="13" t="str">
        <f t="shared" si="82"/>
        <v>2C</v>
      </c>
      <c r="J669" t="str">
        <f t="shared" si="83"/>
        <v>1656½</v>
      </c>
      <c r="K669" t="str">
        <f t="shared" si="84"/>
        <v>1658½</v>
      </c>
      <c r="L669" t="str">
        <f t="shared" si="85"/>
        <v>Plat 8</v>
      </c>
      <c r="M669" s="8" t="str">
        <f t="shared" si="86"/>
        <v xml:space="preserve"> 8</v>
      </c>
      <c r="N669" t="s">
        <v>3012</v>
      </c>
      <c r="O669" t="s">
        <v>3013</v>
      </c>
      <c r="P669" t="s">
        <v>1181</v>
      </c>
      <c r="Q669" t="s">
        <v>3016</v>
      </c>
      <c r="R669" t="s">
        <v>3004</v>
      </c>
      <c r="S669" t="s">
        <v>1161</v>
      </c>
    </row>
    <row r="670" spans="2:25" ht="15" customHeight="1" x14ac:dyDescent="0.25">
      <c r="B670" s="3" t="s">
        <v>2328</v>
      </c>
      <c r="C670" s="1" t="s">
        <v>670</v>
      </c>
      <c r="D670" s="2" t="s">
        <v>1058</v>
      </c>
      <c r="E670" s="1" t="s">
        <v>1047</v>
      </c>
      <c r="F670" s="2" t="s">
        <v>1372</v>
      </c>
      <c r="G670" s="1" t="s">
        <v>2329</v>
      </c>
      <c r="H670" s="1" t="s">
        <v>1046</v>
      </c>
      <c r="I670" s="13" t="str">
        <f t="shared" si="82"/>
        <v>1K</v>
      </c>
      <c r="J670" t="str">
        <f t="shared" si="83"/>
        <v xml:space="preserve">1659 </v>
      </c>
      <c r="K670" t="str">
        <f t="shared" si="84"/>
        <v>1659½</v>
      </c>
      <c r="L670" t="str">
        <f t="shared" si="85"/>
        <v>Plat 9</v>
      </c>
      <c r="M670" s="8" t="str">
        <f t="shared" si="86"/>
        <v xml:space="preserve"> 9</v>
      </c>
      <c r="N670" s="4" t="s">
        <v>1372</v>
      </c>
      <c r="O670"/>
    </row>
    <row r="671" spans="2:25" ht="15" customHeight="1" x14ac:dyDescent="0.25">
      <c r="B671" s="3" t="s">
        <v>2330</v>
      </c>
      <c r="C671" s="1" t="s">
        <v>2331</v>
      </c>
      <c r="D671" s="2" t="s">
        <v>1074</v>
      </c>
      <c r="E671" s="1" t="s">
        <v>1050</v>
      </c>
      <c r="F671" s="1" t="s">
        <v>1051</v>
      </c>
      <c r="G671" s="1"/>
      <c r="H671" s="1" t="s">
        <v>1040</v>
      </c>
      <c r="I671" s="13" t="str">
        <f t="shared" si="82"/>
        <v>2N</v>
      </c>
      <c r="J671" t="str">
        <f t="shared" si="83"/>
        <v>1659½</v>
      </c>
      <c r="K671" t="str">
        <f t="shared" si="84"/>
        <v/>
      </c>
      <c r="L671" t="str">
        <f t="shared" si="85"/>
        <v>Plat 1</v>
      </c>
      <c r="M671" s="8" t="str">
        <f t="shared" si="86"/>
        <v xml:space="preserve"> 1</v>
      </c>
      <c r="O671"/>
    </row>
    <row r="672" spans="2:25" ht="15" customHeight="1" x14ac:dyDescent="0.25">
      <c r="B672" s="3" t="s">
        <v>2332</v>
      </c>
      <c r="C672" s="1"/>
      <c r="D672" s="1" t="s">
        <v>1037</v>
      </c>
      <c r="E672" s="1" t="s">
        <v>1061</v>
      </c>
      <c r="F672" s="2" t="s">
        <v>1039</v>
      </c>
      <c r="G672" s="1" t="s">
        <v>2333</v>
      </c>
      <c r="H672" s="1" t="s">
        <v>1040</v>
      </c>
      <c r="I672" s="13" t="str">
        <f t="shared" si="82"/>
        <v>2Y</v>
      </c>
      <c r="J672" t="str">
        <f t="shared" si="83"/>
        <v/>
      </c>
      <c r="K672" t="str">
        <f t="shared" si="84"/>
        <v xml:space="preserve">1700 </v>
      </c>
      <c r="L672" t="str">
        <f t="shared" si="85"/>
        <v>Plat 2</v>
      </c>
      <c r="M672" s="8" t="str">
        <f t="shared" si="86"/>
        <v xml:space="preserve"> 2</v>
      </c>
      <c r="N672" s="4" t="s">
        <v>3010</v>
      </c>
      <c r="O672" s="15" t="s">
        <v>3011</v>
      </c>
    </row>
    <row r="673" spans="2:24" ht="15" customHeight="1" x14ac:dyDescent="0.25">
      <c r="B673" s="3" t="s">
        <v>2334</v>
      </c>
      <c r="C673" s="1"/>
      <c r="D673" s="1" t="s">
        <v>1037</v>
      </c>
      <c r="E673" s="1" t="s">
        <v>1054</v>
      </c>
      <c r="F673" s="2" t="s">
        <v>1372</v>
      </c>
      <c r="G673" s="1" t="s">
        <v>2335</v>
      </c>
      <c r="H673" s="1" t="s">
        <v>1046</v>
      </c>
      <c r="I673" s="13" t="str">
        <f t="shared" si="82"/>
        <v>2C</v>
      </c>
      <c r="J673" t="str">
        <f t="shared" si="83"/>
        <v/>
      </c>
      <c r="K673" t="str">
        <f t="shared" si="84"/>
        <v xml:space="preserve">1701 </v>
      </c>
      <c r="L673" t="str">
        <f t="shared" si="85"/>
        <v>Plat 5</v>
      </c>
      <c r="M673" s="8" t="str">
        <f t="shared" si="86"/>
        <v xml:space="preserve"> 5</v>
      </c>
      <c r="N673" s="4" t="s">
        <v>1372</v>
      </c>
      <c r="O673"/>
    </row>
    <row r="674" spans="2:24" ht="15" customHeight="1" x14ac:dyDescent="0.25">
      <c r="B674" s="3" t="s">
        <v>2336</v>
      </c>
      <c r="C674" s="1" t="s">
        <v>2337</v>
      </c>
      <c r="D674" s="2" t="s">
        <v>1372</v>
      </c>
      <c r="E674" s="1" t="s">
        <v>1156</v>
      </c>
      <c r="F674" s="2" t="s">
        <v>1058</v>
      </c>
      <c r="G674" s="1" t="s">
        <v>2338</v>
      </c>
      <c r="H674" s="1" t="s">
        <v>1046</v>
      </c>
      <c r="I674" s="13" t="str">
        <f t="shared" si="82"/>
        <v>1K</v>
      </c>
      <c r="J674" t="str">
        <f t="shared" si="83"/>
        <v>1701½</v>
      </c>
      <c r="K674" t="str">
        <f t="shared" si="84"/>
        <v>1702½</v>
      </c>
      <c r="L674" t="str">
        <f t="shared" si="85"/>
        <v>Plat10</v>
      </c>
      <c r="M674" s="8" t="str">
        <f t="shared" si="86"/>
        <v>10</v>
      </c>
      <c r="N674" s="4" t="s">
        <v>1044</v>
      </c>
      <c r="O674" s="4" t="s">
        <v>3019</v>
      </c>
      <c r="P674" s="4" t="s">
        <v>3020</v>
      </c>
      <c r="Q674" s="4" t="s">
        <v>3021</v>
      </c>
      <c r="R674" s="4" t="s">
        <v>3022</v>
      </c>
      <c r="S674" s="4" t="s">
        <v>3023</v>
      </c>
      <c r="T674" s="4" t="s">
        <v>3024</v>
      </c>
      <c r="U674" s="4" t="s">
        <v>3025</v>
      </c>
      <c r="V674" s="4" t="s">
        <v>1058</v>
      </c>
    </row>
    <row r="675" spans="2:24" ht="15" customHeight="1" x14ac:dyDescent="0.25">
      <c r="B675" s="3" t="s">
        <v>2339</v>
      </c>
      <c r="C675" s="1" t="s">
        <v>2340</v>
      </c>
      <c r="D675" s="2" t="s">
        <v>1039</v>
      </c>
      <c r="E675" s="1" t="s">
        <v>1075</v>
      </c>
      <c r="F675" s="1" t="s">
        <v>1051</v>
      </c>
      <c r="G675" s="1"/>
      <c r="H675" s="1" t="s">
        <v>1040</v>
      </c>
      <c r="I675" s="13" t="str">
        <f t="shared" si="82"/>
        <v>2L</v>
      </c>
      <c r="J675" t="str">
        <f t="shared" si="83"/>
        <v xml:space="preserve">1704 </v>
      </c>
      <c r="K675" t="str">
        <f t="shared" si="84"/>
        <v/>
      </c>
      <c r="L675" t="str">
        <f t="shared" si="85"/>
        <v>Plat 2</v>
      </c>
      <c r="M675" s="8" t="str">
        <f t="shared" si="86"/>
        <v xml:space="preserve"> 2</v>
      </c>
      <c r="O675"/>
    </row>
    <row r="676" spans="2:24" ht="15" customHeight="1" x14ac:dyDescent="0.25">
      <c r="B676" s="3" t="s">
        <v>1141</v>
      </c>
      <c r="C676" s="1" t="s">
        <v>2341</v>
      </c>
      <c r="D676" s="2" t="s">
        <v>1372</v>
      </c>
      <c r="E676" s="1" t="s">
        <v>1043</v>
      </c>
      <c r="F676" s="2" t="s">
        <v>1044</v>
      </c>
      <c r="G676" s="1" t="s">
        <v>2342</v>
      </c>
      <c r="H676" s="1" t="s">
        <v>1046</v>
      </c>
      <c r="I676" s="13" t="str">
        <f t="shared" si="82"/>
        <v>2W</v>
      </c>
      <c r="J676" t="str">
        <f t="shared" si="83"/>
        <v>1703½</v>
      </c>
      <c r="K676" t="str">
        <f t="shared" si="84"/>
        <v>1704½</v>
      </c>
      <c r="L676" t="str">
        <f t="shared" si="85"/>
        <v>Plat 8</v>
      </c>
      <c r="M676" s="8" t="str">
        <f t="shared" si="86"/>
        <v xml:space="preserve"> 8</v>
      </c>
      <c r="N676" s="4" t="s">
        <v>3012</v>
      </c>
      <c r="O676" s="4" t="s">
        <v>3013</v>
      </c>
      <c r="P676" s="4" t="s">
        <v>1181</v>
      </c>
      <c r="Q676" s="4" t="s">
        <v>3014</v>
      </c>
      <c r="R676" s="4" t="s">
        <v>3015</v>
      </c>
      <c r="S676" s="4" t="s">
        <v>3016</v>
      </c>
      <c r="T676" s="4" t="s">
        <v>3004</v>
      </c>
      <c r="U676" s="4" t="s">
        <v>1161</v>
      </c>
      <c r="V676" s="4" t="s">
        <v>3017</v>
      </c>
      <c r="W676" s="4" t="s">
        <v>3018</v>
      </c>
      <c r="X676" s="4" t="s">
        <v>1044</v>
      </c>
    </row>
    <row r="677" spans="2:24" ht="15" customHeight="1" x14ac:dyDescent="0.25">
      <c r="B677" s="3" t="s">
        <v>2343</v>
      </c>
      <c r="C677" s="1" t="s">
        <v>673</v>
      </c>
      <c r="D677" s="2" t="s">
        <v>1242</v>
      </c>
      <c r="E677" s="1" t="s">
        <v>1047</v>
      </c>
      <c r="F677" s="2" t="s">
        <v>1372</v>
      </c>
      <c r="G677" s="1" t="s">
        <v>2344</v>
      </c>
      <c r="H677" s="1" t="s">
        <v>1046</v>
      </c>
      <c r="I677" s="13" t="str">
        <f t="shared" si="82"/>
        <v>1Y</v>
      </c>
      <c r="J677" t="str">
        <f t="shared" si="83"/>
        <v xml:space="preserve">1705 </v>
      </c>
      <c r="K677" t="str">
        <f t="shared" si="84"/>
        <v>1705½</v>
      </c>
      <c r="L677" t="str">
        <f t="shared" si="85"/>
        <v>Plat 9</v>
      </c>
      <c r="M677" s="8" t="str">
        <f t="shared" si="86"/>
        <v xml:space="preserve"> 9</v>
      </c>
      <c r="N677" s="4" t="s">
        <v>1372</v>
      </c>
      <c r="O677"/>
    </row>
    <row r="678" spans="2:24" ht="15" customHeight="1" x14ac:dyDescent="0.25">
      <c r="B678" s="3" t="s">
        <v>2345</v>
      </c>
      <c r="C678" s="1"/>
      <c r="D678" s="1" t="s">
        <v>1037</v>
      </c>
      <c r="E678" s="1" t="s">
        <v>1038</v>
      </c>
      <c r="F678" s="2" t="s">
        <v>1074</v>
      </c>
      <c r="G678" s="1" t="s">
        <v>2346</v>
      </c>
      <c r="H678" s="1" t="s">
        <v>1040</v>
      </c>
      <c r="I678" s="13" t="str">
        <f t="shared" si="82"/>
        <v>2N</v>
      </c>
      <c r="J678" t="str">
        <f t="shared" si="83"/>
        <v/>
      </c>
      <c r="K678" t="str">
        <f t="shared" si="84"/>
        <v xml:space="preserve">1707 </v>
      </c>
      <c r="L678" t="str">
        <f t="shared" si="85"/>
        <v>Plat 1</v>
      </c>
      <c r="M678" s="8" t="str">
        <f t="shared" si="86"/>
        <v xml:space="preserve"> 1</v>
      </c>
      <c r="N678" s="4" t="s">
        <v>3010</v>
      </c>
      <c r="O678" s="15" t="s">
        <v>3011</v>
      </c>
    </row>
    <row r="679" spans="2:24" ht="15" customHeight="1" x14ac:dyDescent="0.25">
      <c r="B679" s="3" t="s">
        <v>1533</v>
      </c>
      <c r="C679" s="1" t="s">
        <v>2346</v>
      </c>
      <c r="D679" s="2" t="s">
        <v>1044</v>
      </c>
      <c r="E679" s="1" t="s">
        <v>1054</v>
      </c>
      <c r="F679" s="2" t="s">
        <v>1372</v>
      </c>
      <c r="G679" s="1" t="s">
        <v>2347</v>
      </c>
      <c r="H679" s="1" t="s">
        <v>1046</v>
      </c>
      <c r="I679" s="13" t="str">
        <f t="shared" si="82"/>
        <v>2W</v>
      </c>
      <c r="J679" t="str">
        <f t="shared" si="83"/>
        <v xml:space="preserve">1707 </v>
      </c>
      <c r="K679" t="str">
        <f t="shared" si="84"/>
        <v xml:space="preserve">1708 </v>
      </c>
      <c r="L679" t="str">
        <f t="shared" si="85"/>
        <v>Plat 5</v>
      </c>
      <c r="M679" s="8" t="str">
        <f t="shared" si="86"/>
        <v xml:space="preserve"> 5</v>
      </c>
      <c r="N679" s="4" t="s">
        <v>1372</v>
      </c>
      <c r="O679"/>
    </row>
    <row r="680" spans="2:24" ht="15" customHeight="1" x14ac:dyDescent="0.25">
      <c r="B680" s="3" t="s">
        <v>2348</v>
      </c>
      <c r="C680" s="1" t="s">
        <v>2347</v>
      </c>
      <c r="D680" s="2" t="s">
        <v>1254</v>
      </c>
      <c r="E680" s="1" t="s">
        <v>2148</v>
      </c>
      <c r="F680" s="1" t="s">
        <v>1051</v>
      </c>
      <c r="G680" s="1"/>
      <c r="H680" s="1" t="s">
        <v>1046</v>
      </c>
      <c r="I680" s="13" t="str">
        <f t="shared" si="82"/>
        <v>2S</v>
      </c>
      <c r="J680" t="str">
        <f t="shared" si="83"/>
        <v xml:space="preserve">1708 </v>
      </c>
      <c r="K680" t="str">
        <f t="shared" si="84"/>
        <v/>
      </c>
      <c r="L680" t="str">
        <f t="shared" si="85"/>
        <v>Plat11</v>
      </c>
      <c r="M680" s="8" t="str">
        <f t="shared" si="86"/>
        <v>11</v>
      </c>
      <c r="O680"/>
    </row>
    <row r="681" spans="2:24" ht="15" customHeight="1" x14ac:dyDescent="0.25">
      <c r="B681" s="3" t="s">
        <v>2349</v>
      </c>
      <c r="C681" s="1" t="s">
        <v>2350</v>
      </c>
      <c r="D681" s="2" t="s">
        <v>1372</v>
      </c>
      <c r="E681" s="1" t="s">
        <v>1043</v>
      </c>
      <c r="F681" s="2" t="s">
        <v>1161</v>
      </c>
      <c r="G681" s="1" t="s">
        <v>2351</v>
      </c>
      <c r="H681" s="1" t="s">
        <v>1046</v>
      </c>
      <c r="I681" s="13" t="str">
        <f t="shared" si="82"/>
        <v>2C</v>
      </c>
      <c r="J681" t="str">
        <f t="shared" si="83"/>
        <v>1706½</v>
      </c>
      <c r="K681" t="str">
        <f t="shared" si="84"/>
        <v>1708½</v>
      </c>
      <c r="L681" t="str">
        <f t="shared" si="85"/>
        <v>Plat 8</v>
      </c>
      <c r="M681" s="8" t="str">
        <f t="shared" si="86"/>
        <v xml:space="preserve"> 8</v>
      </c>
      <c r="N681" t="s">
        <v>3012</v>
      </c>
      <c r="O681" t="s">
        <v>3013</v>
      </c>
      <c r="P681" t="s">
        <v>1181</v>
      </c>
      <c r="Q681" t="s">
        <v>3016</v>
      </c>
      <c r="R681" t="s">
        <v>3004</v>
      </c>
      <c r="S681" t="s">
        <v>1161</v>
      </c>
    </row>
    <row r="682" spans="2:24" ht="15" customHeight="1" x14ac:dyDescent="0.25">
      <c r="B682" s="3" t="s">
        <v>2352</v>
      </c>
      <c r="C682" s="1" t="s">
        <v>2353</v>
      </c>
      <c r="D682" s="2" t="s">
        <v>1062</v>
      </c>
      <c r="E682" s="1" t="s">
        <v>1050</v>
      </c>
      <c r="F682" s="1" t="s">
        <v>1051</v>
      </c>
      <c r="G682" s="1"/>
      <c r="H682" s="1" t="s">
        <v>1040</v>
      </c>
      <c r="I682" s="13" t="str">
        <f t="shared" si="82"/>
        <v>2G</v>
      </c>
      <c r="J682" t="str">
        <f t="shared" si="83"/>
        <v xml:space="preserve">1710 </v>
      </c>
      <c r="K682" t="str">
        <f t="shared" si="84"/>
        <v/>
      </c>
      <c r="L682" t="str">
        <f t="shared" si="85"/>
        <v>Plat 1</v>
      </c>
      <c r="M682" s="8" t="str">
        <f t="shared" si="86"/>
        <v xml:space="preserve"> 1</v>
      </c>
      <c r="O682"/>
    </row>
    <row r="683" spans="2:24" ht="15" customHeight="1" x14ac:dyDescent="0.25">
      <c r="B683" s="3" t="s">
        <v>2354</v>
      </c>
      <c r="C683" s="1" t="s">
        <v>2355</v>
      </c>
      <c r="D683" s="2" t="s">
        <v>1372</v>
      </c>
      <c r="E683" s="1" t="s">
        <v>1156</v>
      </c>
      <c r="F683" s="2" t="s">
        <v>1066</v>
      </c>
      <c r="G683" s="1" t="s">
        <v>2356</v>
      </c>
      <c r="H683" s="1" t="s">
        <v>1046</v>
      </c>
      <c r="I683" s="13" t="str">
        <f t="shared" si="82"/>
        <v>1P</v>
      </c>
      <c r="J683" t="str">
        <f t="shared" si="83"/>
        <v>1709½</v>
      </c>
      <c r="K683" t="str">
        <f t="shared" si="84"/>
        <v>1710½</v>
      </c>
      <c r="L683" t="str">
        <f t="shared" si="85"/>
        <v>Plat10</v>
      </c>
      <c r="M683" s="8" t="str">
        <f t="shared" si="86"/>
        <v>10</v>
      </c>
      <c r="N683" t="s">
        <v>1044</v>
      </c>
      <c r="O683" t="s">
        <v>1473</v>
      </c>
      <c r="P683" t="s">
        <v>3001</v>
      </c>
      <c r="Q683" t="s">
        <v>1091</v>
      </c>
      <c r="R683" t="s">
        <v>3006</v>
      </c>
      <c r="S683" t="s">
        <v>1242</v>
      </c>
      <c r="T683" t="s">
        <v>1501</v>
      </c>
      <c r="U683" t="s">
        <v>3052</v>
      </c>
      <c r="V683" t="s">
        <v>1066</v>
      </c>
    </row>
    <row r="684" spans="2:24" ht="15" customHeight="1" x14ac:dyDescent="0.25">
      <c r="B684" s="3" t="s">
        <v>2357</v>
      </c>
      <c r="C684" s="1"/>
      <c r="D684" s="1" t="s">
        <v>1037</v>
      </c>
      <c r="E684" s="1" t="s">
        <v>1061</v>
      </c>
      <c r="F684" s="2" t="s">
        <v>1062</v>
      </c>
      <c r="G684" s="1" t="s">
        <v>2358</v>
      </c>
      <c r="H684" s="1" t="s">
        <v>1040</v>
      </c>
      <c r="I684" s="13" t="str">
        <f t="shared" si="82"/>
        <v>2G</v>
      </c>
      <c r="J684" t="str">
        <f t="shared" si="83"/>
        <v/>
      </c>
      <c r="K684" t="str">
        <f t="shared" si="84"/>
        <v xml:space="preserve">1711 </v>
      </c>
      <c r="L684" t="str">
        <f t="shared" si="85"/>
        <v>Plat 2</v>
      </c>
      <c r="M684" s="8" t="str">
        <f t="shared" si="86"/>
        <v xml:space="preserve"> 2</v>
      </c>
      <c r="N684" s="4" t="s">
        <v>3010</v>
      </c>
      <c r="O684" s="15" t="s">
        <v>3011</v>
      </c>
    </row>
    <row r="685" spans="2:24" ht="15" customHeight="1" x14ac:dyDescent="0.25">
      <c r="B685" s="3" t="s">
        <v>2359</v>
      </c>
      <c r="C685" s="1"/>
      <c r="D685" s="1" t="s">
        <v>1037</v>
      </c>
      <c r="E685" s="1" t="s">
        <v>1054</v>
      </c>
      <c r="F685" s="2" t="s">
        <v>1372</v>
      </c>
      <c r="G685" s="1" t="s">
        <v>2358</v>
      </c>
      <c r="H685" s="1" t="s">
        <v>1046</v>
      </c>
      <c r="I685" s="13" t="str">
        <f t="shared" si="82"/>
        <v>2C</v>
      </c>
      <c r="J685" t="str">
        <f t="shared" si="83"/>
        <v/>
      </c>
      <c r="K685" t="str">
        <f t="shared" si="84"/>
        <v xml:space="preserve">1711 </v>
      </c>
      <c r="L685" t="str">
        <f t="shared" si="85"/>
        <v>Plat 5</v>
      </c>
      <c r="M685" s="8" t="str">
        <f t="shared" si="86"/>
        <v xml:space="preserve"> 5</v>
      </c>
      <c r="N685" s="4" t="s">
        <v>1372</v>
      </c>
      <c r="O685"/>
    </row>
    <row r="686" spans="2:24" ht="15" customHeight="1" x14ac:dyDescent="0.25">
      <c r="B686" s="3" t="s">
        <v>2360</v>
      </c>
      <c r="C686" s="1" t="s">
        <v>2361</v>
      </c>
      <c r="D686" s="2" t="s">
        <v>1372</v>
      </c>
      <c r="E686" s="1" t="s">
        <v>1156</v>
      </c>
      <c r="F686" s="2" t="s">
        <v>1058</v>
      </c>
      <c r="G686" s="1" t="s">
        <v>2362</v>
      </c>
      <c r="H686" s="1" t="s">
        <v>1046</v>
      </c>
      <c r="I686" s="13" t="str">
        <f t="shared" si="82"/>
        <v>1K</v>
      </c>
      <c r="J686" t="str">
        <f t="shared" si="83"/>
        <v>1712½</v>
      </c>
      <c r="K686" t="str">
        <f t="shared" si="84"/>
        <v>1713½</v>
      </c>
      <c r="L686" t="str">
        <f t="shared" si="85"/>
        <v>Plat10</v>
      </c>
      <c r="M686" s="8" t="str">
        <f t="shared" si="86"/>
        <v>10</v>
      </c>
      <c r="N686" s="4" t="s">
        <v>1044</v>
      </c>
      <c r="O686" s="4" t="s">
        <v>3019</v>
      </c>
      <c r="P686" s="4" t="s">
        <v>3020</v>
      </c>
      <c r="Q686" s="4" t="s">
        <v>3021</v>
      </c>
      <c r="R686" s="4" t="s">
        <v>3022</v>
      </c>
      <c r="S686" s="4" t="s">
        <v>3023</v>
      </c>
      <c r="T686" s="4" t="s">
        <v>3024</v>
      </c>
      <c r="U686" s="4" t="s">
        <v>3025</v>
      </c>
      <c r="V686" s="4" t="s">
        <v>1058</v>
      </c>
    </row>
    <row r="687" spans="2:24" ht="15" customHeight="1" x14ac:dyDescent="0.25">
      <c r="B687" s="3" t="s">
        <v>2363</v>
      </c>
      <c r="C687" s="1" t="s">
        <v>2364</v>
      </c>
      <c r="D687" s="2" t="s">
        <v>1074</v>
      </c>
      <c r="E687" s="1" t="s">
        <v>1075</v>
      </c>
      <c r="F687" s="1" t="s">
        <v>1051</v>
      </c>
      <c r="G687" s="1"/>
      <c r="H687" s="1" t="s">
        <v>1040</v>
      </c>
      <c r="I687" s="13" t="str">
        <f t="shared" ref="I687:I740" si="87">LEFT(B687,2)</f>
        <v>2N</v>
      </c>
      <c r="J687" t="str">
        <f t="shared" ref="J687:J740" si="88">LEFT(C687,5)</f>
        <v xml:space="preserve">1714 </v>
      </c>
      <c r="K687" t="str">
        <f t="shared" ref="K687:K740" si="89">LEFT(G687,5)</f>
        <v/>
      </c>
      <c r="L687" t="str">
        <f t="shared" ref="L687:L740" si="90">LEFT(E687,6)</f>
        <v>Plat 2</v>
      </c>
      <c r="M687" s="8" t="str">
        <f t="shared" ref="M687:M740" si="91">RIGHT(L687,2)</f>
        <v xml:space="preserve"> 2</v>
      </c>
      <c r="O687"/>
    </row>
    <row r="688" spans="2:24" ht="15" customHeight="1" x14ac:dyDescent="0.25">
      <c r="B688" s="3" t="s">
        <v>1565</v>
      </c>
      <c r="C688" s="1" t="s">
        <v>2365</v>
      </c>
      <c r="D688" s="2" t="s">
        <v>1372</v>
      </c>
      <c r="E688" s="1" t="s">
        <v>1043</v>
      </c>
      <c r="F688" s="2" t="s">
        <v>1044</v>
      </c>
      <c r="G688" s="1" t="s">
        <v>2366</v>
      </c>
      <c r="H688" s="1" t="s">
        <v>1046</v>
      </c>
      <c r="I688" s="13" t="str">
        <f t="shared" si="87"/>
        <v>2W</v>
      </c>
      <c r="J688" t="str">
        <f t="shared" si="88"/>
        <v>1713½</v>
      </c>
      <c r="K688" t="str">
        <f t="shared" si="89"/>
        <v>1714½</v>
      </c>
      <c r="L688" t="str">
        <f t="shared" si="90"/>
        <v>Plat 8</v>
      </c>
      <c r="M688" s="8" t="str">
        <f t="shared" si="91"/>
        <v xml:space="preserve"> 8</v>
      </c>
      <c r="N688" s="4" t="s">
        <v>3012</v>
      </c>
      <c r="O688" s="4" t="s">
        <v>3013</v>
      </c>
      <c r="P688" s="4" t="s">
        <v>1181</v>
      </c>
      <c r="Q688" s="4" t="s">
        <v>3014</v>
      </c>
      <c r="R688" s="4" t="s">
        <v>3015</v>
      </c>
      <c r="S688" s="4" t="s">
        <v>3016</v>
      </c>
      <c r="T688" s="4" t="s">
        <v>3004</v>
      </c>
      <c r="U688" s="4" t="s">
        <v>1161</v>
      </c>
      <c r="V688" s="4" t="s">
        <v>3017</v>
      </c>
      <c r="W688" s="4" t="s">
        <v>3018</v>
      </c>
      <c r="X688" s="4" t="s">
        <v>1044</v>
      </c>
    </row>
    <row r="689" spans="2:24" ht="15" customHeight="1" x14ac:dyDescent="0.25">
      <c r="B689" s="3" t="s">
        <v>2367</v>
      </c>
      <c r="C689" s="1"/>
      <c r="D689" s="1" t="s">
        <v>1037</v>
      </c>
      <c r="E689" s="1" t="s">
        <v>1038</v>
      </c>
      <c r="F689" s="2" t="s">
        <v>1039</v>
      </c>
      <c r="G689" s="1" t="s">
        <v>2368</v>
      </c>
      <c r="H689" s="1" t="s">
        <v>1040</v>
      </c>
      <c r="I689" s="13" t="str">
        <f t="shared" si="87"/>
        <v>2Y</v>
      </c>
      <c r="J689" t="str">
        <f t="shared" si="88"/>
        <v/>
      </c>
      <c r="K689" t="str">
        <f t="shared" si="89"/>
        <v xml:space="preserve">1715 </v>
      </c>
      <c r="L689" t="str">
        <f t="shared" si="90"/>
        <v>Plat 1</v>
      </c>
      <c r="M689" s="8" t="str">
        <f t="shared" si="91"/>
        <v xml:space="preserve"> 1</v>
      </c>
      <c r="N689" s="4" t="s">
        <v>3010</v>
      </c>
      <c r="O689" s="15" t="s">
        <v>3011</v>
      </c>
    </row>
    <row r="690" spans="2:24" ht="15" customHeight="1" x14ac:dyDescent="0.25">
      <c r="B690" s="3" t="s">
        <v>2369</v>
      </c>
      <c r="C690" s="1" t="s">
        <v>2370</v>
      </c>
      <c r="D690" s="2" t="s">
        <v>1372</v>
      </c>
      <c r="E690" s="1" t="s">
        <v>1156</v>
      </c>
      <c r="F690" s="2" t="s">
        <v>1185</v>
      </c>
      <c r="G690" s="1" t="s">
        <v>2371</v>
      </c>
      <c r="H690" s="1" t="s">
        <v>1046</v>
      </c>
      <c r="I690" s="13" t="str">
        <f t="shared" si="87"/>
        <v>1N</v>
      </c>
      <c r="J690" t="str">
        <f t="shared" si="88"/>
        <v>1715½</v>
      </c>
      <c r="K690" t="str">
        <f t="shared" si="89"/>
        <v>1716½</v>
      </c>
      <c r="L690" t="str">
        <f t="shared" si="90"/>
        <v>Plat10</v>
      </c>
      <c r="M690" s="8" t="str">
        <f t="shared" si="91"/>
        <v>10</v>
      </c>
      <c r="N690" t="s">
        <v>1473</v>
      </c>
      <c r="O690" t="s">
        <v>3001</v>
      </c>
      <c r="P690" t="s">
        <v>3002</v>
      </c>
      <c r="Q690" t="s">
        <v>3003</v>
      </c>
      <c r="R690" t="s">
        <v>1091</v>
      </c>
      <c r="S690" t="s">
        <v>3048</v>
      </c>
      <c r="T690" t="s">
        <v>3031</v>
      </c>
      <c r="U690" t="s">
        <v>3032</v>
      </c>
      <c r="V690" t="s">
        <v>3033</v>
      </c>
      <c r="W690" t="s">
        <v>3046</v>
      </c>
      <c r="X690" t="s">
        <v>3047</v>
      </c>
    </row>
    <row r="691" spans="2:24" ht="15" customHeight="1" x14ac:dyDescent="0.25">
      <c r="B691" s="3" t="s">
        <v>2372</v>
      </c>
      <c r="C691" s="1"/>
      <c r="D691" s="1" t="s">
        <v>1037</v>
      </c>
      <c r="E691" s="1" t="s">
        <v>2148</v>
      </c>
      <c r="F691" s="2" t="s">
        <v>1079</v>
      </c>
      <c r="G691" s="1" t="s">
        <v>682</v>
      </c>
      <c r="H691" s="1" t="s">
        <v>1046</v>
      </c>
      <c r="I691" s="13" t="str">
        <f t="shared" si="87"/>
        <v>2O</v>
      </c>
      <c r="J691" t="str">
        <f t="shared" si="88"/>
        <v/>
      </c>
      <c r="K691" t="str">
        <f t="shared" si="89"/>
        <v xml:space="preserve">1717 </v>
      </c>
      <c r="L691" t="str">
        <f t="shared" si="90"/>
        <v>Plat11</v>
      </c>
      <c r="M691" s="8" t="str">
        <f t="shared" si="91"/>
        <v>11</v>
      </c>
      <c r="N691" t="s">
        <v>2975</v>
      </c>
      <c r="O691" t="s">
        <v>3039</v>
      </c>
      <c r="P691" t="s">
        <v>3041</v>
      </c>
      <c r="Q691" t="s">
        <v>3040</v>
      </c>
      <c r="R691" t="s">
        <v>3042</v>
      </c>
      <c r="S691" t="s">
        <v>2978</v>
      </c>
      <c r="T691" t="s">
        <v>1298</v>
      </c>
      <c r="U691" t="s">
        <v>3049</v>
      </c>
      <c r="V691" t="s">
        <v>3050</v>
      </c>
      <c r="W691" t="s">
        <v>3051</v>
      </c>
      <c r="X691" t="s">
        <v>1079</v>
      </c>
    </row>
    <row r="692" spans="2:24" ht="15" customHeight="1" x14ac:dyDescent="0.25">
      <c r="B692" s="3" t="s">
        <v>2373</v>
      </c>
      <c r="C692" s="1" t="s">
        <v>2374</v>
      </c>
      <c r="D692" s="2" t="s">
        <v>1372</v>
      </c>
      <c r="E692" s="1" t="s">
        <v>1043</v>
      </c>
      <c r="F692" s="2" t="s">
        <v>1161</v>
      </c>
      <c r="G692" s="1" t="s">
        <v>2375</v>
      </c>
      <c r="H692" s="1" t="s">
        <v>1046</v>
      </c>
      <c r="I692" s="13" t="str">
        <f t="shared" si="87"/>
        <v>2C</v>
      </c>
      <c r="J692" t="str">
        <f t="shared" si="88"/>
        <v>1716½</v>
      </c>
      <c r="K692" t="str">
        <f t="shared" si="89"/>
        <v>1718½</v>
      </c>
      <c r="L692" t="str">
        <f t="shared" si="90"/>
        <v>Plat 8</v>
      </c>
      <c r="M692" s="8" t="str">
        <f t="shared" si="91"/>
        <v xml:space="preserve"> 8</v>
      </c>
      <c r="N692" t="s">
        <v>3012</v>
      </c>
      <c r="O692" t="s">
        <v>3013</v>
      </c>
      <c r="P692" t="s">
        <v>1181</v>
      </c>
      <c r="Q692" t="s">
        <v>3016</v>
      </c>
      <c r="R692" t="s">
        <v>3004</v>
      </c>
      <c r="S692" t="s">
        <v>1161</v>
      </c>
    </row>
    <row r="693" spans="2:24" ht="15" customHeight="1" x14ac:dyDescent="0.25">
      <c r="B693" s="3" t="s">
        <v>2376</v>
      </c>
      <c r="C693" s="1" t="s">
        <v>2377</v>
      </c>
      <c r="D693" s="2" t="s">
        <v>1039</v>
      </c>
      <c r="E693" s="1" t="s">
        <v>1050</v>
      </c>
      <c r="F693" s="1" t="s">
        <v>1051</v>
      </c>
      <c r="G693" s="1"/>
      <c r="H693" s="1" t="s">
        <v>1040</v>
      </c>
      <c r="I693" s="13" t="str">
        <f t="shared" si="87"/>
        <v>2L</v>
      </c>
      <c r="J693" t="str">
        <f t="shared" si="88"/>
        <v xml:space="preserve">1719 </v>
      </c>
      <c r="K693" t="str">
        <f t="shared" si="89"/>
        <v/>
      </c>
      <c r="L693" t="str">
        <f t="shared" si="90"/>
        <v>Plat 1</v>
      </c>
      <c r="M693" s="8" t="str">
        <f t="shared" si="91"/>
        <v xml:space="preserve"> 1</v>
      </c>
      <c r="O693"/>
    </row>
    <row r="694" spans="2:24" ht="15" customHeight="1" x14ac:dyDescent="0.25">
      <c r="B694" s="3" t="s">
        <v>1555</v>
      </c>
      <c r="C694" s="1" t="s">
        <v>682</v>
      </c>
      <c r="D694" s="2" t="s">
        <v>1044</v>
      </c>
      <c r="E694" s="1" t="s">
        <v>1054</v>
      </c>
      <c r="F694" s="2" t="s">
        <v>1372</v>
      </c>
      <c r="G694" s="1" t="s">
        <v>685</v>
      </c>
      <c r="H694" s="1" t="s">
        <v>1046</v>
      </c>
      <c r="I694" s="13" t="str">
        <f t="shared" si="87"/>
        <v>2W</v>
      </c>
      <c r="J694" t="str">
        <f t="shared" si="88"/>
        <v xml:space="preserve">1717 </v>
      </c>
      <c r="K694" t="str">
        <f t="shared" si="89"/>
        <v xml:space="preserve">1719 </v>
      </c>
      <c r="L694" t="str">
        <f t="shared" si="90"/>
        <v>Plat 5</v>
      </c>
      <c r="M694" s="8" t="str">
        <f t="shared" si="91"/>
        <v xml:space="preserve"> 5</v>
      </c>
      <c r="N694" s="4" t="s">
        <v>1372</v>
      </c>
      <c r="O694"/>
    </row>
    <row r="695" spans="2:24" ht="15" customHeight="1" x14ac:dyDescent="0.25">
      <c r="B695" s="3" t="s">
        <v>2378</v>
      </c>
      <c r="C695" s="1" t="s">
        <v>685</v>
      </c>
      <c r="D695" s="2" t="s">
        <v>1058</v>
      </c>
      <c r="E695" s="1" t="s">
        <v>1047</v>
      </c>
      <c r="F695" s="2" t="s">
        <v>1372</v>
      </c>
      <c r="G695" s="1" t="s">
        <v>2379</v>
      </c>
      <c r="H695" s="1" t="s">
        <v>1046</v>
      </c>
      <c r="I695" s="13" t="str">
        <f t="shared" si="87"/>
        <v>1K</v>
      </c>
      <c r="J695" t="str">
        <f t="shared" si="88"/>
        <v xml:space="preserve">1719 </v>
      </c>
      <c r="K695" t="str">
        <f t="shared" si="89"/>
        <v>1719½</v>
      </c>
      <c r="L695" t="str">
        <f t="shared" si="90"/>
        <v>Plat 9</v>
      </c>
      <c r="M695" s="8" t="str">
        <f t="shared" si="91"/>
        <v xml:space="preserve"> 9</v>
      </c>
      <c r="N695" s="4" t="s">
        <v>1372</v>
      </c>
      <c r="O695"/>
    </row>
    <row r="696" spans="2:24" ht="15" customHeight="1" x14ac:dyDescent="0.25">
      <c r="B696" s="3" t="s">
        <v>546</v>
      </c>
      <c r="C696" s="1" t="s">
        <v>2380</v>
      </c>
      <c r="D696" s="2" t="s">
        <v>1372</v>
      </c>
      <c r="E696" s="1" t="s">
        <v>1156</v>
      </c>
      <c r="F696" s="2" t="s">
        <v>1309</v>
      </c>
      <c r="G696" s="1" t="s">
        <v>2381</v>
      </c>
      <c r="H696" s="1" t="s">
        <v>1046</v>
      </c>
      <c r="I696" s="13" t="str">
        <f t="shared" si="87"/>
        <v>1F</v>
      </c>
      <c r="J696" t="str">
        <f t="shared" si="88"/>
        <v>1719½</v>
      </c>
      <c r="K696" t="str">
        <f t="shared" si="89"/>
        <v>1720½</v>
      </c>
      <c r="L696" t="str">
        <f t="shared" si="90"/>
        <v>Plat10</v>
      </c>
      <c r="M696" s="8" t="str">
        <f t="shared" si="91"/>
        <v>10</v>
      </c>
      <c r="N696" t="s">
        <v>1473</v>
      </c>
      <c r="O696" t="s">
        <v>3000</v>
      </c>
      <c r="P696" t="s">
        <v>3001</v>
      </c>
    </row>
    <row r="697" spans="2:24" ht="15" customHeight="1" x14ac:dyDescent="0.25">
      <c r="B697" s="3" t="s">
        <v>2382</v>
      </c>
      <c r="C697" s="1"/>
      <c r="D697" s="1" t="s">
        <v>1037</v>
      </c>
      <c r="E697" s="1" t="s">
        <v>1061</v>
      </c>
      <c r="F697" s="2" t="s">
        <v>1074</v>
      </c>
      <c r="G697" s="1" t="s">
        <v>2383</v>
      </c>
      <c r="H697" s="1" t="s">
        <v>1040</v>
      </c>
      <c r="I697" s="13" t="str">
        <f t="shared" si="87"/>
        <v>2N</v>
      </c>
      <c r="J697" t="str">
        <f t="shared" si="88"/>
        <v/>
      </c>
      <c r="K697" t="str">
        <f t="shared" si="89"/>
        <v xml:space="preserve">1722 </v>
      </c>
      <c r="L697" t="str">
        <f t="shared" si="90"/>
        <v>Plat 2</v>
      </c>
      <c r="M697" s="8" t="str">
        <f t="shared" si="91"/>
        <v xml:space="preserve"> 2</v>
      </c>
      <c r="N697" s="4" t="s">
        <v>3010</v>
      </c>
      <c r="O697" s="15" t="s">
        <v>3011</v>
      </c>
    </row>
    <row r="698" spans="2:24" ht="15" customHeight="1" x14ac:dyDescent="0.25">
      <c r="B698" s="3" t="s">
        <v>2384</v>
      </c>
      <c r="C698" s="1" t="s">
        <v>2383</v>
      </c>
      <c r="D698" s="2" t="s">
        <v>1185</v>
      </c>
      <c r="E698" s="1" t="s">
        <v>1047</v>
      </c>
      <c r="F698" s="2" t="s">
        <v>1372</v>
      </c>
      <c r="G698" s="1" t="s">
        <v>2385</v>
      </c>
      <c r="H698" s="1" t="s">
        <v>1046</v>
      </c>
      <c r="I698" s="13" t="str">
        <f t="shared" si="87"/>
        <v>1N</v>
      </c>
      <c r="J698" t="str">
        <f t="shared" si="88"/>
        <v xml:space="preserve">1722 </v>
      </c>
      <c r="K698" t="str">
        <f t="shared" si="89"/>
        <v>1722½</v>
      </c>
      <c r="L698" t="str">
        <f t="shared" si="90"/>
        <v>Plat 9</v>
      </c>
      <c r="M698" s="8" t="str">
        <f t="shared" si="91"/>
        <v xml:space="preserve"> 9</v>
      </c>
      <c r="N698" s="4" t="s">
        <v>1372</v>
      </c>
      <c r="O698"/>
    </row>
    <row r="699" spans="2:24" ht="15" customHeight="1" x14ac:dyDescent="0.25">
      <c r="B699" s="3" t="s">
        <v>2386</v>
      </c>
      <c r="C699" s="1" t="s">
        <v>2387</v>
      </c>
      <c r="D699" s="2" t="s">
        <v>1372</v>
      </c>
      <c r="E699" s="1" t="s">
        <v>1156</v>
      </c>
      <c r="F699" s="2" t="s">
        <v>1058</v>
      </c>
      <c r="G699" s="1" t="s">
        <v>2388</v>
      </c>
      <c r="H699" s="1" t="s">
        <v>1046</v>
      </c>
      <c r="I699" s="13" t="str">
        <f t="shared" si="87"/>
        <v>1K</v>
      </c>
      <c r="J699" t="str">
        <f t="shared" si="88"/>
        <v>1722½</v>
      </c>
      <c r="K699" t="str">
        <f t="shared" si="89"/>
        <v>1723½</v>
      </c>
      <c r="L699" t="str">
        <f t="shared" si="90"/>
        <v>Plat10</v>
      </c>
      <c r="M699" s="8" t="str">
        <f t="shared" si="91"/>
        <v>10</v>
      </c>
      <c r="N699" s="4" t="s">
        <v>1044</v>
      </c>
      <c r="O699" s="4" t="s">
        <v>3019</v>
      </c>
      <c r="P699" s="4" t="s">
        <v>3020</v>
      </c>
      <c r="Q699" s="4" t="s">
        <v>3021</v>
      </c>
      <c r="R699" s="4" t="s">
        <v>3022</v>
      </c>
      <c r="S699" s="4" t="s">
        <v>3023</v>
      </c>
      <c r="T699" s="4" t="s">
        <v>3024</v>
      </c>
      <c r="U699" s="4" t="s">
        <v>3025</v>
      </c>
      <c r="V699" s="4" t="s">
        <v>1058</v>
      </c>
    </row>
    <row r="700" spans="2:24" ht="15" customHeight="1" x14ac:dyDescent="0.25">
      <c r="B700" s="3" t="s">
        <v>2389</v>
      </c>
      <c r="C700" s="1"/>
      <c r="D700" s="1" t="s">
        <v>1037</v>
      </c>
      <c r="E700" s="1" t="s">
        <v>1054</v>
      </c>
      <c r="F700" s="2" t="s">
        <v>1372</v>
      </c>
      <c r="G700" s="1" t="s">
        <v>688</v>
      </c>
      <c r="H700" s="1" t="s">
        <v>1046</v>
      </c>
      <c r="I700" s="13" t="str">
        <f t="shared" si="87"/>
        <v>2C</v>
      </c>
      <c r="J700" t="str">
        <f t="shared" si="88"/>
        <v/>
      </c>
      <c r="K700" t="str">
        <f t="shared" si="89"/>
        <v xml:space="preserve">1724 </v>
      </c>
      <c r="L700" t="str">
        <f t="shared" si="90"/>
        <v>Plat 5</v>
      </c>
      <c r="M700" s="8" t="str">
        <f t="shared" si="91"/>
        <v xml:space="preserve"> 5</v>
      </c>
      <c r="N700" s="4" t="s">
        <v>1372</v>
      </c>
      <c r="O700"/>
    </row>
    <row r="701" spans="2:24" ht="15" customHeight="1" x14ac:dyDescent="0.25">
      <c r="B701" s="3" t="s">
        <v>1153</v>
      </c>
      <c r="C701" s="1" t="s">
        <v>2390</v>
      </c>
      <c r="D701" s="2" t="s">
        <v>1372</v>
      </c>
      <c r="E701" s="1" t="s">
        <v>1043</v>
      </c>
      <c r="F701" s="2" t="s">
        <v>1044</v>
      </c>
      <c r="G701" s="1" t="s">
        <v>2391</v>
      </c>
      <c r="H701" s="1" t="s">
        <v>1046</v>
      </c>
      <c r="I701" s="13" t="str">
        <f t="shared" si="87"/>
        <v>2W</v>
      </c>
      <c r="J701" t="str">
        <f t="shared" si="88"/>
        <v>1723½</v>
      </c>
      <c r="K701" t="str">
        <f t="shared" si="89"/>
        <v>1724½</v>
      </c>
      <c r="L701" t="str">
        <f t="shared" si="90"/>
        <v>Plat 8</v>
      </c>
      <c r="M701" s="8" t="str">
        <f t="shared" si="91"/>
        <v xml:space="preserve"> 8</v>
      </c>
      <c r="N701" s="4" t="s">
        <v>3012</v>
      </c>
      <c r="O701" s="4" t="s">
        <v>3013</v>
      </c>
      <c r="P701" s="4" t="s">
        <v>1181</v>
      </c>
      <c r="Q701" s="4" t="s">
        <v>3014</v>
      </c>
      <c r="R701" s="4" t="s">
        <v>3015</v>
      </c>
      <c r="S701" s="4" t="s">
        <v>3016</v>
      </c>
      <c r="T701" s="4" t="s">
        <v>3004</v>
      </c>
      <c r="U701" s="4" t="s">
        <v>1161</v>
      </c>
      <c r="V701" s="4" t="s">
        <v>3017</v>
      </c>
      <c r="W701" s="4" t="s">
        <v>3018</v>
      </c>
      <c r="X701" s="4" t="s">
        <v>1044</v>
      </c>
    </row>
    <row r="702" spans="2:24" ht="15" customHeight="1" x14ac:dyDescent="0.25">
      <c r="B702" s="3" t="s">
        <v>2392</v>
      </c>
      <c r="C702" s="1" t="s">
        <v>2393</v>
      </c>
      <c r="D702" s="2" t="s">
        <v>1372</v>
      </c>
      <c r="E702" s="1" t="s">
        <v>1156</v>
      </c>
      <c r="F702" s="2" t="s">
        <v>1242</v>
      </c>
      <c r="G702" s="1" t="s">
        <v>2394</v>
      </c>
      <c r="H702" s="1" t="s">
        <v>1046</v>
      </c>
      <c r="I702" s="13" t="str">
        <f t="shared" si="87"/>
        <v>1Y</v>
      </c>
      <c r="J702" t="str">
        <f t="shared" si="88"/>
        <v>1725½</v>
      </c>
      <c r="K702" t="str">
        <f t="shared" si="89"/>
        <v>1726½</v>
      </c>
      <c r="L702" t="str">
        <f t="shared" si="90"/>
        <v>Plat10</v>
      </c>
      <c r="M702" s="8" t="str">
        <f t="shared" si="91"/>
        <v>10</v>
      </c>
      <c r="N702" t="s">
        <v>1473</v>
      </c>
      <c r="O702" t="s">
        <v>3002</v>
      </c>
      <c r="P702" t="s">
        <v>1091</v>
      </c>
      <c r="Q702" t="s">
        <v>3006</v>
      </c>
      <c r="R702" t="s">
        <v>1242</v>
      </c>
    </row>
    <row r="703" spans="2:24" ht="15" customHeight="1" x14ac:dyDescent="0.25">
      <c r="B703" s="3" t="s">
        <v>2395</v>
      </c>
      <c r="C703" s="1" t="s">
        <v>2396</v>
      </c>
      <c r="D703" s="2" t="s">
        <v>1372</v>
      </c>
      <c r="E703" s="1" t="s">
        <v>1043</v>
      </c>
      <c r="F703" s="2" t="s">
        <v>1161</v>
      </c>
      <c r="G703" s="1" t="s">
        <v>2397</v>
      </c>
      <c r="H703" s="1" t="s">
        <v>1046</v>
      </c>
      <c r="I703" s="13" t="str">
        <f t="shared" si="87"/>
        <v>2C</v>
      </c>
      <c r="J703" t="str">
        <f t="shared" si="88"/>
        <v>1726½</v>
      </c>
      <c r="K703" t="str">
        <f t="shared" si="89"/>
        <v>1728½</v>
      </c>
      <c r="L703" t="str">
        <f t="shared" si="90"/>
        <v>Plat 8</v>
      </c>
      <c r="M703" s="8" t="str">
        <f t="shared" si="91"/>
        <v xml:space="preserve"> 8</v>
      </c>
      <c r="N703" t="s">
        <v>3012</v>
      </c>
      <c r="O703" t="s">
        <v>3013</v>
      </c>
      <c r="P703" t="s">
        <v>1181</v>
      </c>
      <c r="Q703" t="s">
        <v>3016</v>
      </c>
      <c r="R703" t="s">
        <v>3004</v>
      </c>
      <c r="S703" t="s">
        <v>1161</v>
      </c>
    </row>
    <row r="704" spans="2:24" ht="15" customHeight="1" x14ac:dyDescent="0.25">
      <c r="B704" s="3" t="s">
        <v>2398</v>
      </c>
      <c r="C704" s="1" t="s">
        <v>2399</v>
      </c>
      <c r="D704" s="2" t="s">
        <v>1074</v>
      </c>
      <c r="E704" s="1" t="s">
        <v>1075</v>
      </c>
      <c r="F704" s="1" t="s">
        <v>1051</v>
      </c>
      <c r="G704" s="1"/>
      <c r="H704" s="1" t="s">
        <v>1040</v>
      </c>
      <c r="I704" s="13" t="str">
        <f t="shared" si="87"/>
        <v>2N</v>
      </c>
      <c r="J704" t="str">
        <f t="shared" si="88"/>
        <v xml:space="preserve">1729 </v>
      </c>
      <c r="K704" t="str">
        <f t="shared" si="89"/>
        <v/>
      </c>
      <c r="L704" t="str">
        <f t="shared" si="90"/>
        <v>Plat 2</v>
      </c>
      <c r="M704" s="8" t="str">
        <f t="shared" si="91"/>
        <v xml:space="preserve"> 2</v>
      </c>
      <c r="O704"/>
    </row>
    <row r="705" spans="2:24" ht="15" customHeight="1" x14ac:dyDescent="0.25">
      <c r="B705" s="3" t="s">
        <v>1591</v>
      </c>
      <c r="C705" s="1" t="s">
        <v>2400</v>
      </c>
      <c r="D705" s="2" t="s">
        <v>1044</v>
      </c>
      <c r="E705" s="1" t="s">
        <v>1054</v>
      </c>
      <c r="F705" s="2" t="s">
        <v>1372</v>
      </c>
      <c r="G705" s="1" t="s">
        <v>2401</v>
      </c>
      <c r="H705" s="1" t="s">
        <v>1046</v>
      </c>
      <c r="I705" s="13" t="str">
        <f t="shared" si="87"/>
        <v>2W</v>
      </c>
      <c r="J705" t="str">
        <f t="shared" si="88"/>
        <v xml:space="preserve">1727 </v>
      </c>
      <c r="K705" t="str">
        <f t="shared" si="89"/>
        <v xml:space="preserve">1729 </v>
      </c>
      <c r="L705" t="str">
        <f t="shared" si="90"/>
        <v>Plat 5</v>
      </c>
      <c r="M705" s="8" t="str">
        <f t="shared" si="91"/>
        <v xml:space="preserve"> 5</v>
      </c>
      <c r="N705" s="4" t="s">
        <v>1372</v>
      </c>
      <c r="O705"/>
    </row>
    <row r="706" spans="2:24" ht="15" customHeight="1" x14ac:dyDescent="0.25">
      <c r="B706" s="3" t="s">
        <v>582</v>
      </c>
      <c r="C706" s="1" t="s">
        <v>2402</v>
      </c>
      <c r="D706" s="2" t="s">
        <v>1372</v>
      </c>
      <c r="E706" s="1" t="s">
        <v>1156</v>
      </c>
      <c r="F706" s="2" t="s">
        <v>1237</v>
      </c>
      <c r="G706" s="1" t="s">
        <v>2403</v>
      </c>
      <c r="H706" s="1" t="s">
        <v>1046</v>
      </c>
      <c r="I706" s="13" t="str">
        <f t="shared" si="87"/>
        <v>1F</v>
      </c>
      <c r="J706" t="str">
        <f t="shared" si="88"/>
        <v>1728½</v>
      </c>
      <c r="K706" t="str">
        <f t="shared" si="89"/>
        <v>1729½</v>
      </c>
      <c r="L706" t="str">
        <f t="shared" si="90"/>
        <v>Plat10</v>
      </c>
      <c r="M706" s="8" t="str">
        <f t="shared" si="91"/>
        <v>10</v>
      </c>
      <c r="N706" t="s">
        <v>1044</v>
      </c>
      <c r="O706" t="s">
        <v>2999</v>
      </c>
      <c r="P706" t="s">
        <v>1473</v>
      </c>
      <c r="Q706" t="s">
        <v>3001</v>
      </c>
      <c r="R706" t="s">
        <v>3043</v>
      </c>
      <c r="S706" t="s">
        <v>3044</v>
      </c>
      <c r="T706" t="s">
        <v>3045</v>
      </c>
      <c r="U706" t="s">
        <v>1237</v>
      </c>
    </row>
    <row r="707" spans="2:24" ht="15" customHeight="1" x14ac:dyDescent="0.25">
      <c r="B707" s="3" t="s">
        <v>2404</v>
      </c>
      <c r="C707" s="1"/>
      <c r="D707" s="1" t="s">
        <v>1037</v>
      </c>
      <c r="E707" s="1" t="s">
        <v>1038</v>
      </c>
      <c r="F707" s="2" t="s">
        <v>1039</v>
      </c>
      <c r="G707" s="1" t="s">
        <v>692</v>
      </c>
      <c r="H707" s="1" t="s">
        <v>1040</v>
      </c>
      <c r="I707" s="13" t="str">
        <f t="shared" si="87"/>
        <v>2Y</v>
      </c>
      <c r="J707" t="str">
        <f t="shared" si="88"/>
        <v/>
      </c>
      <c r="K707" t="str">
        <f t="shared" si="89"/>
        <v xml:space="preserve">1730 </v>
      </c>
      <c r="L707" t="str">
        <f t="shared" si="90"/>
        <v>Plat 1</v>
      </c>
      <c r="M707" s="8" t="str">
        <f t="shared" si="91"/>
        <v xml:space="preserve"> 1</v>
      </c>
      <c r="N707" s="4" t="s">
        <v>3010</v>
      </c>
      <c r="O707" s="15" t="s">
        <v>3011</v>
      </c>
    </row>
    <row r="708" spans="2:24" ht="15" customHeight="1" x14ac:dyDescent="0.25">
      <c r="B708" s="3" t="s">
        <v>600</v>
      </c>
      <c r="C708" s="1" t="s">
        <v>2405</v>
      </c>
      <c r="D708" s="2" t="s">
        <v>1372</v>
      </c>
      <c r="E708" s="1" t="s">
        <v>1156</v>
      </c>
      <c r="F708" s="2" t="s">
        <v>1331</v>
      </c>
      <c r="G708" s="1" t="s">
        <v>2406</v>
      </c>
      <c r="H708" s="1" t="s">
        <v>1046</v>
      </c>
      <c r="I708" s="13" t="str">
        <f t="shared" si="87"/>
        <v>1J</v>
      </c>
      <c r="J708" t="str">
        <f t="shared" si="88"/>
        <v>1730½</v>
      </c>
      <c r="K708" t="str">
        <f t="shared" si="89"/>
        <v>1731½</v>
      </c>
      <c r="L708" t="str">
        <f t="shared" si="90"/>
        <v>Plat10</v>
      </c>
      <c r="M708" s="8" t="str">
        <f t="shared" si="91"/>
        <v>10</v>
      </c>
      <c r="N708" t="s">
        <v>3020</v>
      </c>
      <c r="O708" t="s">
        <v>3026</v>
      </c>
      <c r="P708" t="s">
        <v>3027</v>
      </c>
      <c r="Q708" t="s">
        <v>3028</v>
      </c>
      <c r="R708" t="s">
        <v>3029</v>
      </c>
      <c r="S708" t="s">
        <v>3030</v>
      </c>
      <c r="T708" t="s">
        <v>1331</v>
      </c>
    </row>
    <row r="709" spans="2:24" ht="15" customHeight="1" x14ac:dyDescent="0.25">
      <c r="B709" s="3" t="s">
        <v>2407</v>
      </c>
      <c r="C709" s="1" t="s">
        <v>2408</v>
      </c>
      <c r="D709" s="2" t="s">
        <v>1039</v>
      </c>
      <c r="E709" s="1" t="s">
        <v>1050</v>
      </c>
      <c r="F709" s="1" t="s">
        <v>1051</v>
      </c>
      <c r="G709" s="1"/>
      <c r="H709" s="1" t="s">
        <v>1040</v>
      </c>
      <c r="I709" s="13" t="str">
        <f t="shared" si="87"/>
        <v>2L</v>
      </c>
      <c r="J709" t="str">
        <f t="shared" si="88"/>
        <v xml:space="preserve">1734 </v>
      </c>
      <c r="K709" t="str">
        <f t="shared" si="89"/>
        <v/>
      </c>
      <c r="L709" t="str">
        <f t="shared" si="90"/>
        <v>Plat 1</v>
      </c>
      <c r="M709" s="8" t="str">
        <f t="shared" si="91"/>
        <v xml:space="preserve"> 1</v>
      </c>
      <c r="O709"/>
    </row>
    <row r="710" spans="2:24" ht="15" customHeight="1" x14ac:dyDescent="0.25">
      <c r="B710" s="3" t="s">
        <v>1068</v>
      </c>
      <c r="C710" s="1"/>
      <c r="D710" s="1" t="s">
        <v>1037</v>
      </c>
      <c r="E710" s="1" t="s">
        <v>1054</v>
      </c>
      <c r="F710" s="2" t="s">
        <v>1372</v>
      </c>
      <c r="G710" s="1" t="s">
        <v>2409</v>
      </c>
      <c r="H710" s="1" t="s">
        <v>1046</v>
      </c>
      <c r="I710" s="13" t="str">
        <f t="shared" si="87"/>
        <v>2C</v>
      </c>
      <c r="J710" t="str">
        <f t="shared" si="88"/>
        <v/>
      </c>
      <c r="K710" t="str">
        <f t="shared" si="89"/>
        <v xml:space="preserve">1734 </v>
      </c>
      <c r="L710" t="str">
        <f t="shared" si="90"/>
        <v>Plat 5</v>
      </c>
      <c r="M710" s="8" t="str">
        <f t="shared" si="91"/>
        <v xml:space="preserve"> 5</v>
      </c>
      <c r="N710" s="4" t="s">
        <v>1372</v>
      </c>
      <c r="O710"/>
    </row>
    <row r="711" spans="2:24" ht="15" customHeight="1" x14ac:dyDescent="0.25">
      <c r="B711" s="3" t="s">
        <v>2410</v>
      </c>
      <c r="C711" s="1" t="s">
        <v>2411</v>
      </c>
      <c r="D711" s="2" t="s">
        <v>1372</v>
      </c>
      <c r="E711" s="1" t="s">
        <v>1156</v>
      </c>
      <c r="F711" s="2" t="s">
        <v>1058</v>
      </c>
      <c r="G711" s="1" t="s">
        <v>2412</v>
      </c>
      <c r="H711" s="1" t="s">
        <v>1046</v>
      </c>
      <c r="I711" s="13" t="str">
        <f t="shared" si="87"/>
        <v>1K</v>
      </c>
      <c r="J711" t="str">
        <f t="shared" si="88"/>
        <v>1733½</v>
      </c>
      <c r="K711" t="str">
        <f t="shared" si="89"/>
        <v>1734½</v>
      </c>
      <c r="L711" t="str">
        <f t="shared" si="90"/>
        <v>Plat10</v>
      </c>
      <c r="M711" s="8" t="str">
        <f t="shared" si="91"/>
        <v>10</v>
      </c>
      <c r="N711" s="4" t="s">
        <v>1044</v>
      </c>
      <c r="O711" s="4" t="s">
        <v>3019</v>
      </c>
      <c r="P711" s="4" t="s">
        <v>3020</v>
      </c>
      <c r="Q711" s="4" t="s">
        <v>3021</v>
      </c>
      <c r="R711" s="4" t="s">
        <v>3022</v>
      </c>
      <c r="S711" s="4" t="s">
        <v>3023</v>
      </c>
      <c r="T711" s="4" t="s">
        <v>3024</v>
      </c>
      <c r="U711" s="4" t="s">
        <v>3025</v>
      </c>
      <c r="V711" s="4" t="s">
        <v>1058</v>
      </c>
    </row>
    <row r="712" spans="2:24" ht="15" customHeight="1" x14ac:dyDescent="0.25">
      <c r="B712" s="3" t="s">
        <v>1615</v>
      </c>
      <c r="C712" s="1" t="s">
        <v>2411</v>
      </c>
      <c r="D712" s="2" t="s">
        <v>1372</v>
      </c>
      <c r="E712" s="1" t="s">
        <v>1043</v>
      </c>
      <c r="F712" s="2" t="s">
        <v>1044</v>
      </c>
      <c r="G712" s="1" t="s">
        <v>2412</v>
      </c>
      <c r="H712" s="1" t="s">
        <v>1046</v>
      </c>
      <c r="I712" s="13" t="str">
        <f t="shared" si="87"/>
        <v>2W</v>
      </c>
      <c r="J712" t="str">
        <f t="shared" si="88"/>
        <v>1733½</v>
      </c>
      <c r="K712" t="str">
        <f t="shared" si="89"/>
        <v>1734½</v>
      </c>
      <c r="L712" t="str">
        <f t="shared" si="90"/>
        <v>Plat 8</v>
      </c>
      <c r="M712" s="8" t="str">
        <f t="shared" si="91"/>
        <v xml:space="preserve"> 8</v>
      </c>
      <c r="N712" s="4" t="s">
        <v>3012</v>
      </c>
      <c r="O712" s="4" t="s">
        <v>3013</v>
      </c>
      <c r="P712" s="4" t="s">
        <v>1181</v>
      </c>
      <c r="Q712" s="4" t="s">
        <v>3014</v>
      </c>
      <c r="R712" s="4" t="s">
        <v>3015</v>
      </c>
      <c r="S712" s="4" t="s">
        <v>3016</v>
      </c>
      <c r="T712" s="4" t="s">
        <v>3004</v>
      </c>
      <c r="U712" s="4" t="s">
        <v>1161</v>
      </c>
      <c r="V712" s="4" t="s">
        <v>3017</v>
      </c>
      <c r="W712" s="4" t="s">
        <v>3018</v>
      </c>
      <c r="X712" s="4" t="s">
        <v>1044</v>
      </c>
    </row>
    <row r="713" spans="2:24" ht="15" customHeight="1" x14ac:dyDescent="0.25">
      <c r="B713" s="3" t="s">
        <v>2413</v>
      </c>
      <c r="C713" s="1" t="s">
        <v>695</v>
      </c>
      <c r="D713" s="2" t="s">
        <v>1254</v>
      </c>
      <c r="E713" s="1" t="s">
        <v>2148</v>
      </c>
      <c r="F713" s="1" t="s">
        <v>1051</v>
      </c>
      <c r="G713" s="1"/>
      <c r="H713" s="1" t="s">
        <v>1046</v>
      </c>
      <c r="I713" s="13" t="str">
        <f t="shared" si="87"/>
        <v>2S</v>
      </c>
      <c r="J713" t="str">
        <f t="shared" si="88"/>
        <v xml:space="preserve">1735 </v>
      </c>
      <c r="K713" t="str">
        <f t="shared" si="89"/>
        <v/>
      </c>
      <c r="L713" t="str">
        <f t="shared" si="90"/>
        <v>Plat11</v>
      </c>
      <c r="M713" s="8" t="str">
        <f t="shared" si="91"/>
        <v>11</v>
      </c>
      <c r="O713"/>
    </row>
    <row r="714" spans="2:24" ht="15" customHeight="1" x14ac:dyDescent="0.25">
      <c r="B714" s="3" t="s">
        <v>714</v>
      </c>
      <c r="C714" s="1" t="s">
        <v>2414</v>
      </c>
      <c r="D714" s="2" t="s">
        <v>1304</v>
      </c>
      <c r="E714" s="1" t="s">
        <v>1047</v>
      </c>
      <c r="F714" s="2" t="s">
        <v>1372</v>
      </c>
      <c r="G714" s="1" t="s">
        <v>2415</v>
      </c>
      <c r="H714" s="1" t="s">
        <v>1046</v>
      </c>
      <c r="I714" s="13" t="str">
        <f t="shared" si="87"/>
        <v>1F</v>
      </c>
      <c r="J714" t="str">
        <f t="shared" si="88"/>
        <v xml:space="preserve">1736 </v>
      </c>
      <c r="K714" t="str">
        <f t="shared" si="89"/>
        <v>1736½</v>
      </c>
      <c r="L714" t="str">
        <f t="shared" si="90"/>
        <v>Plat 9</v>
      </c>
      <c r="M714" s="8" t="str">
        <f t="shared" si="91"/>
        <v xml:space="preserve"> 9</v>
      </c>
      <c r="N714" s="4" t="s">
        <v>1372</v>
      </c>
      <c r="O714"/>
    </row>
    <row r="715" spans="2:24" ht="15" customHeight="1" x14ac:dyDescent="0.25">
      <c r="B715" s="3" t="s">
        <v>2416</v>
      </c>
      <c r="C715" s="1"/>
      <c r="D715" s="1" t="s">
        <v>1037</v>
      </c>
      <c r="E715" s="1" t="s">
        <v>1061</v>
      </c>
      <c r="F715" s="2" t="s">
        <v>1074</v>
      </c>
      <c r="G715" s="1" t="s">
        <v>698</v>
      </c>
      <c r="H715" s="1" t="s">
        <v>1040</v>
      </c>
      <c r="I715" s="13" t="str">
        <f t="shared" si="87"/>
        <v>2N</v>
      </c>
      <c r="J715" t="str">
        <f t="shared" si="88"/>
        <v/>
      </c>
      <c r="K715" t="str">
        <f t="shared" si="89"/>
        <v xml:space="preserve">1737 </v>
      </c>
      <c r="L715" t="str">
        <f t="shared" si="90"/>
        <v>Plat 2</v>
      </c>
      <c r="M715" s="8" t="str">
        <f t="shared" si="91"/>
        <v xml:space="preserve"> 2</v>
      </c>
      <c r="N715" s="4" t="s">
        <v>3010</v>
      </c>
      <c r="O715" s="15" t="s">
        <v>3011</v>
      </c>
    </row>
    <row r="716" spans="2:24" ht="15" customHeight="1" x14ac:dyDescent="0.25">
      <c r="B716" s="3" t="s">
        <v>1618</v>
      </c>
      <c r="C716" s="1" t="s">
        <v>698</v>
      </c>
      <c r="D716" s="2" t="s">
        <v>1044</v>
      </c>
      <c r="E716" s="1" t="s">
        <v>1054</v>
      </c>
      <c r="F716" s="2" t="s">
        <v>1372</v>
      </c>
      <c r="G716" s="1" t="s">
        <v>700</v>
      </c>
      <c r="H716" s="1" t="s">
        <v>1046</v>
      </c>
      <c r="I716" s="13" t="str">
        <f t="shared" si="87"/>
        <v>2W</v>
      </c>
      <c r="J716" t="str">
        <f t="shared" si="88"/>
        <v xml:space="preserve">1737 </v>
      </c>
      <c r="K716" t="str">
        <f t="shared" si="89"/>
        <v xml:space="preserve">1738 </v>
      </c>
      <c r="L716" t="str">
        <f t="shared" si="90"/>
        <v>Plat 5</v>
      </c>
      <c r="M716" s="8" t="str">
        <f t="shared" si="91"/>
        <v xml:space="preserve"> 5</v>
      </c>
      <c r="N716" s="4" t="s">
        <v>1372</v>
      </c>
      <c r="O716"/>
    </row>
    <row r="717" spans="2:24" ht="15" customHeight="1" x14ac:dyDescent="0.25">
      <c r="B717" s="3" t="s">
        <v>2417</v>
      </c>
      <c r="C717" s="1" t="s">
        <v>2418</v>
      </c>
      <c r="D717" s="2" t="s">
        <v>1372</v>
      </c>
      <c r="E717" s="1" t="s">
        <v>1043</v>
      </c>
      <c r="F717" s="2" t="s">
        <v>1161</v>
      </c>
      <c r="G717" s="1" t="s">
        <v>2419</v>
      </c>
      <c r="H717" s="1" t="s">
        <v>1046</v>
      </c>
      <c r="I717" s="13" t="str">
        <f t="shared" si="87"/>
        <v>2C</v>
      </c>
      <c r="J717" t="str">
        <f t="shared" si="88"/>
        <v>1736½</v>
      </c>
      <c r="K717" t="str">
        <f t="shared" si="89"/>
        <v>1738½</v>
      </c>
      <c r="L717" t="str">
        <f t="shared" si="90"/>
        <v>Plat 8</v>
      </c>
      <c r="M717" s="8" t="str">
        <f t="shared" si="91"/>
        <v xml:space="preserve"> 8</v>
      </c>
      <c r="N717" t="s">
        <v>3012</v>
      </c>
      <c r="O717" t="s">
        <v>3013</v>
      </c>
      <c r="P717" t="s">
        <v>1181</v>
      </c>
      <c r="Q717" t="s">
        <v>3016</v>
      </c>
      <c r="R717" t="s">
        <v>3004</v>
      </c>
      <c r="S717" t="s">
        <v>1161</v>
      </c>
    </row>
    <row r="718" spans="2:24" ht="15" customHeight="1" x14ac:dyDescent="0.25">
      <c r="B718" s="3" t="s">
        <v>2420</v>
      </c>
      <c r="C718" s="1" t="s">
        <v>2421</v>
      </c>
      <c r="D718" s="2" t="s">
        <v>1058</v>
      </c>
      <c r="E718" s="1" t="s">
        <v>1047</v>
      </c>
      <c r="F718" s="2" t="s">
        <v>1372</v>
      </c>
      <c r="G718" s="1" t="s">
        <v>2422</v>
      </c>
      <c r="H718" s="1" t="s">
        <v>1046</v>
      </c>
      <c r="I718" s="13" t="str">
        <f t="shared" si="87"/>
        <v>1K</v>
      </c>
      <c r="J718" t="str">
        <f t="shared" si="88"/>
        <v xml:space="preserve">1739 </v>
      </c>
      <c r="K718" t="str">
        <f t="shared" si="89"/>
        <v>1739½</v>
      </c>
      <c r="L718" t="str">
        <f t="shared" si="90"/>
        <v>Plat 9</v>
      </c>
      <c r="M718" s="8" t="str">
        <f t="shared" si="91"/>
        <v xml:space="preserve"> 9</v>
      </c>
      <c r="N718" s="4" t="s">
        <v>1372</v>
      </c>
      <c r="O718"/>
    </row>
    <row r="719" spans="2:24" ht="15" customHeight="1" x14ac:dyDescent="0.25">
      <c r="B719" s="3" t="s">
        <v>2423</v>
      </c>
      <c r="C719" s="1" t="s">
        <v>2424</v>
      </c>
      <c r="D719" s="2" t="s">
        <v>1062</v>
      </c>
      <c r="E719" s="1" t="s">
        <v>1075</v>
      </c>
      <c r="F719" s="1" t="s">
        <v>1051</v>
      </c>
      <c r="G719" s="1"/>
      <c r="H719" s="1" t="s">
        <v>1040</v>
      </c>
      <c r="I719" s="13" t="str">
        <f t="shared" si="87"/>
        <v>2G</v>
      </c>
      <c r="J719" t="str">
        <f t="shared" si="88"/>
        <v xml:space="preserve">1740 </v>
      </c>
      <c r="K719" t="str">
        <f t="shared" si="89"/>
        <v/>
      </c>
      <c r="L719" t="str">
        <f t="shared" si="90"/>
        <v>Plat 2</v>
      </c>
      <c r="M719" s="8" t="str">
        <f t="shared" si="91"/>
        <v xml:space="preserve"> 2</v>
      </c>
      <c r="O719"/>
    </row>
    <row r="720" spans="2:24" ht="15" customHeight="1" x14ac:dyDescent="0.25">
      <c r="B720" s="3" t="s">
        <v>2425</v>
      </c>
      <c r="C720" s="1" t="s">
        <v>2426</v>
      </c>
      <c r="D720" s="2" t="s">
        <v>1372</v>
      </c>
      <c r="E720" s="1" t="s">
        <v>1156</v>
      </c>
      <c r="F720" s="2" t="s">
        <v>1185</v>
      </c>
      <c r="G720" s="1" t="s">
        <v>2427</v>
      </c>
      <c r="H720" s="1" t="s">
        <v>1046</v>
      </c>
      <c r="I720" s="13" t="str">
        <f t="shared" si="87"/>
        <v>1N</v>
      </c>
      <c r="J720" t="str">
        <f t="shared" si="88"/>
        <v>1739½</v>
      </c>
      <c r="K720" t="str">
        <f t="shared" si="89"/>
        <v>1740½</v>
      </c>
      <c r="L720" t="str">
        <f t="shared" si="90"/>
        <v>Plat10</v>
      </c>
      <c r="M720" s="8" t="str">
        <f t="shared" si="91"/>
        <v>10</v>
      </c>
      <c r="N720" t="s">
        <v>1473</v>
      </c>
      <c r="O720" t="s">
        <v>3000</v>
      </c>
      <c r="P720" t="s">
        <v>3001</v>
      </c>
      <c r="Q720" t="s">
        <v>3003</v>
      </c>
      <c r="R720" t="s">
        <v>1091</v>
      </c>
      <c r="S720" t="s">
        <v>3031</v>
      </c>
      <c r="T720" t="s">
        <v>3046</v>
      </c>
      <c r="U720" t="s">
        <v>3047</v>
      </c>
    </row>
    <row r="721" spans="2:25" ht="15" customHeight="1" x14ac:dyDescent="0.25">
      <c r="B721" s="3" t="s">
        <v>2428</v>
      </c>
      <c r="C721" s="1"/>
      <c r="D721" s="1" t="s">
        <v>1037</v>
      </c>
      <c r="E721" s="1" t="s">
        <v>1038</v>
      </c>
      <c r="F721" s="2" t="s">
        <v>1062</v>
      </c>
      <c r="G721" s="1" t="s">
        <v>2429</v>
      </c>
      <c r="H721" s="1" t="s">
        <v>1040</v>
      </c>
      <c r="I721" s="13" t="str">
        <f t="shared" si="87"/>
        <v>2G</v>
      </c>
      <c r="J721" t="str">
        <f t="shared" si="88"/>
        <v/>
      </c>
      <c r="K721" t="str">
        <f t="shared" si="89"/>
        <v xml:space="preserve">1741 </v>
      </c>
      <c r="L721" t="str">
        <f t="shared" si="90"/>
        <v>Plat 1</v>
      </c>
      <c r="M721" s="8" t="str">
        <f t="shared" si="91"/>
        <v xml:space="preserve"> 1</v>
      </c>
      <c r="N721" s="4" t="s">
        <v>3010</v>
      </c>
      <c r="O721" s="15" t="s">
        <v>3011</v>
      </c>
    </row>
    <row r="722" spans="2:25" ht="15" customHeight="1" x14ac:dyDescent="0.25">
      <c r="B722" s="3" t="s">
        <v>1098</v>
      </c>
      <c r="C722" s="1"/>
      <c r="D722" s="1" t="s">
        <v>1037</v>
      </c>
      <c r="E722" s="1" t="s">
        <v>1054</v>
      </c>
      <c r="F722" s="2" t="s">
        <v>1372</v>
      </c>
      <c r="G722" s="1" t="s">
        <v>2429</v>
      </c>
      <c r="H722" s="1" t="s">
        <v>1046</v>
      </c>
      <c r="I722" s="13" t="str">
        <f t="shared" si="87"/>
        <v>2C</v>
      </c>
      <c r="J722" t="str">
        <f t="shared" si="88"/>
        <v/>
      </c>
      <c r="K722" t="str">
        <f t="shared" si="89"/>
        <v xml:space="preserve">1741 </v>
      </c>
      <c r="L722" t="str">
        <f t="shared" si="90"/>
        <v>Plat 5</v>
      </c>
      <c r="M722" s="8" t="str">
        <f t="shared" si="91"/>
        <v xml:space="preserve"> 5</v>
      </c>
      <c r="N722" s="4" t="s">
        <v>1372</v>
      </c>
      <c r="O722"/>
    </row>
    <row r="723" spans="2:25" ht="15" customHeight="1" x14ac:dyDescent="0.25">
      <c r="B723" s="3" t="s">
        <v>744</v>
      </c>
      <c r="C723" s="1" t="s">
        <v>701</v>
      </c>
      <c r="D723" s="2" t="s">
        <v>1091</v>
      </c>
      <c r="E723" s="1" t="s">
        <v>1047</v>
      </c>
      <c r="F723" s="2" t="s">
        <v>1372</v>
      </c>
      <c r="G723" s="1" t="s">
        <v>2430</v>
      </c>
      <c r="H723" s="1" t="s">
        <v>1046</v>
      </c>
      <c r="I723" s="13" t="str">
        <f t="shared" si="87"/>
        <v>1F</v>
      </c>
      <c r="J723" t="str">
        <f t="shared" si="88"/>
        <v xml:space="preserve">1742 </v>
      </c>
      <c r="K723" t="str">
        <f t="shared" si="89"/>
        <v>1742½</v>
      </c>
      <c r="L723" t="str">
        <f t="shared" si="90"/>
        <v>Plat 9</v>
      </c>
      <c r="M723" s="8" t="str">
        <f t="shared" si="91"/>
        <v xml:space="preserve"> 9</v>
      </c>
      <c r="N723" s="4" t="s">
        <v>1372</v>
      </c>
      <c r="O723"/>
    </row>
    <row r="724" spans="2:25" ht="15" customHeight="1" x14ac:dyDescent="0.25">
      <c r="B724" s="3" t="s">
        <v>2431</v>
      </c>
      <c r="C724" s="1" t="s">
        <v>2432</v>
      </c>
      <c r="D724" s="2" t="s">
        <v>1372</v>
      </c>
      <c r="E724" s="1" t="s">
        <v>1156</v>
      </c>
      <c r="F724" s="2" t="s">
        <v>1058</v>
      </c>
      <c r="G724" s="1" t="s">
        <v>2433</v>
      </c>
      <c r="H724" s="1" t="s">
        <v>1046</v>
      </c>
      <c r="I724" s="13" t="str">
        <f t="shared" si="87"/>
        <v>1K</v>
      </c>
      <c r="J724" t="str">
        <f t="shared" si="88"/>
        <v>1742½</v>
      </c>
      <c r="K724" t="str">
        <f t="shared" si="89"/>
        <v>1743½</v>
      </c>
      <c r="L724" t="str">
        <f t="shared" si="90"/>
        <v>Plat10</v>
      </c>
      <c r="M724" s="8" t="str">
        <f t="shared" si="91"/>
        <v>10</v>
      </c>
      <c r="N724" s="4" t="s">
        <v>1044</v>
      </c>
      <c r="O724" s="4" t="s">
        <v>3019</v>
      </c>
      <c r="P724" s="4" t="s">
        <v>3020</v>
      </c>
      <c r="Q724" s="4" t="s">
        <v>3021</v>
      </c>
      <c r="R724" s="4" t="s">
        <v>3022</v>
      </c>
      <c r="S724" s="4" t="s">
        <v>3023</v>
      </c>
      <c r="T724" s="4" t="s">
        <v>3024</v>
      </c>
      <c r="U724" s="4" t="s">
        <v>3025</v>
      </c>
      <c r="V724" s="4" t="s">
        <v>1058</v>
      </c>
    </row>
    <row r="725" spans="2:25" ht="15" customHeight="1" x14ac:dyDescent="0.25">
      <c r="B725" s="3" t="s">
        <v>1640</v>
      </c>
      <c r="C725" s="1" t="s">
        <v>2432</v>
      </c>
      <c r="D725" s="2" t="s">
        <v>1372</v>
      </c>
      <c r="E725" s="1" t="s">
        <v>1043</v>
      </c>
      <c r="F725" s="2" t="s">
        <v>1044</v>
      </c>
      <c r="G725" s="1" t="s">
        <v>2433</v>
      </c>
      <c r="H725" s="1" t="s">
        <v>1046</v>
      </c>
      <c r="I725" s="13" t="str">
        <f t="shared" si="87"/>
        <v>2W</v>
      </c>
      <c r="J725" t="str">
        <f t="shared" si="88"/>
        <v>1742½</v>
      </c>
      <c r="K725" t="str">
        <f t="shared" si="89"/>
        <v>1743½</v>
      </c>
      <c r="L725" t="str">
        <f t="shared" si="90"/>
        <v>Plat 8</v>
      </c>
      <c r="M725" s="8" t="str">
        <f t="shared" si="91"/>
        <v xml:space="preserve"> 8</v>
      </c>
      <c r="N725" s="4" t="s">
        <v>3012</v>
      </c>
      <c r="O725" s="4" t="s">
        <v>3013</v>
      </c>
      <c r="P725" s="4" t="s">
        <v>1181</v>
      </c>
      <c r="Q725" s="4" t="s">
        <v>3014</v>
      </c>
      <c r="R725" s="4" t="s">
        <v>3015</v>
      </c>
      <c r="S725" s="4" t="s">
        <v>3016</v>
      </c>
      <c r="T725" s="4" t="s">
        <v>3004</v>
      </c>
      <c r="U725" s="4" t="s">
        <v>1161</v>
      </c>
      <c r="V725" s="4" t="s">
        <v>3017</v>
      </c>
      <c r="W725" s="4" t="s">
        <v>3018</v>
      </c>
      <c r="X725" s="4" t="s">
        <v>1044</v>
      </c>
    </row>
    <row r="726" spans="2:25" ht="15" customHeight="1" x14ac:dyDescent="0.25">
      <c r="B726" s="3" t="s">
        <v>2434</v>
      </c>
      <c r="C726" s="1" t="s">
        <v>2435</v>
      </c>
      <c r="D726" s="2" t="s">
        <v>1074</v>
      </c>
      <c r="E726" s="1" t="s">
        <v>1050</v>
      </c>
      <c r="F726" s="1" t="s">
        <v>1051</v>
      </c>
      <c r="G726" s="1"/>
      <c r="H726" s="1" t="s">
        <v>1040</v>
      </c>
      <c r="I726" s="13" t="str">
        <f t="shared" si="87"/>
        <v>2N</v>
      </c>
      <c r="J726" t="str">
        <f t="shared" si="88"/>
        <v xml:space="preserve">1744 </v>
      </c>
      <c r="K726" t="str">
        <f t="shared" si="89"/>
        <v/>
      </c>
      <c r="L726" t="str">
        <f t="shared" si="90"/>
        <v>Plat 1</v>
      </c>
      <c r="M726" s="8" t="str">
        <f t="shared" si="91"/>
        <v xml:space="preserve"> 1</v>
      </c>
      <c r="O726"/>
    </row>
    <row r="727" spans="2:25" ht="15" customHeight="1" x14ac:dyDescent="0.25">
      <c r="B727" s="3" t="s">
        <v>2436</v>
      </c>
      <c r="C727" s="1"/>
      <c r="D727" s="1" t="s">
        <v>1037</v>
      </c>
      <c r="E727" s="1" t="s">
        <v>1061</v>
      </c>
      <c r="F727" s="2" t="s">
        <v>1039</v>
      </c>
      <c r="G727" s="1" t="s">
        <v>706</v>
      </c>
      <c r="H727" s="1" t="s">
        <v>1040</v>
      </c>
      <c r="I727" s="13" t="str">
        <f t="shared" si="87"/>
        <v>2Y</v>
      </c>
      <c r="J727" t="str">
        <f t="shared" si="88"/>
        <v/>
      </c>
      <c r="K727" t="str">
        <f t="shared" si="89"/>
        <v xml:space="preserve">1745 </v>
      </c>
      <c r="L727" t="str">
        <f t="shared" si="90"/>
        <v>Plat 2</v>
      </c>
      <c r="M727" s="8" t="str">
        <f t="shared" si="91"/>
        <v xml:space="preserve"> 2</v>
      </c>
      <c r="N727" s="4" t="s">
        <v>3010</v>
      </c>
      <c r="O727" s="15" t="s">
        <v>3011</v>
      </c>
    </row>
    <row r="728" spans="2:25" ht="15" customHeight="1" x14ac:dyDescent="0.25">
      <c r="B728" s="3" t="s">
        <v>1645</v>
      </c>
      <c r="C728" s="1" t="s">
        <v>703</v>
      </c>
      <c r="D728" s="2" t="s">
        <v>1044</v>
      </c>
      <c r="E728" s="1" t="s">
        <v>1054</v>
      </c>
      <c r="F728" s="2" t="s">
        <v>1372</v>
      </c>
      <c r="G728" s="1" t="s">
        <v>2437</v>
      </c>
      <c r="H728" s="1" t="s">
        <v>1046</v>
      </c>
      <c r="I728" s="13" t="str">
        <f t="shared" si="87"/>
        <v>2W</v>
      </c>
      <c r="J728" t="str">
        <f t="shared" si="88"/>
        <v>1744½</v>
      </c>
      <c r="K728" t="str">
        <f t="shared" si="89"/>
        <v>1745½</v>
      </c>
      <c r="L728" t="str">
        <f t="shared" si="90"/>
        <v>Plat 5</v>
      </c>
      <c r="M728" s="8" t="str">
        <f t="shared" si="91"/>
        <v xml:space="preserve"> 5</v>
      </c>
      <c r="N728" s="4" t="s">
        <v>1372</v>
      </c>
      <c r="O728"/>
    </row>
    <row r="729" spans="2:25" ht="15" customHeight="1" x14ac:dyDescent="0.25">
      <c r="B729" s="3" t="s">
        <v>2438</v>
      </c>
      <c r="C729" s="1" t="s">
        <v>706</v>
      </c>
      <c r="D729" s="2" t="s">
        <v>1066</v>
      </c>
      <c r="E729" s="1" t="s">
        <v>1047</v>
      </c>
      <c r="F729" s="2" t="s">
        <v>1372</v>
      </c>
      <c r="G729" s="1" t="s">
        <v>2473</v>
      </c>
      <c r="H729" s="1" t="s">
        <v>1046</v>
      </c>
      <c r="I729" s="13" t="str">
        <f t="shared" si="87"/>
        <v>1P</v>
      </c>
      <c r="J729" t="str">
        <f t="shared" si="88"/>
        <v xml:space="preserve">1745 </v>
      </c>
      <c r="K729" t="str">
        <f t="shared" si="89"/>
        <v xml:space="preserve">1746 </v>
      </c>
      <c r="L729" t="str">
        <f t="shared" si="90"/>
        <v>Plat 9</v>
      </c>
      <c r="M729" s="8" t="str">
        <f t="shared" si="91"/>
        <v xml:space="preserve"> 9</v>
      </c>
      <c r="N729" s="4" t="s">
        <v>1372</v>
      </c>
      <c r="O729"/>
    </row>
    <row r="730" spans="2:25" ht="15" customHeight="1" x14ac:dyDescent="0.25">
      <c r="B730" s="3" t="s">
        <v>2439</v>
      </c>
      <c r="C730" s="1" t="s">
        <v>2440</v>
      </c>
      <c r="D730" s="2" t="s">
        <v>1372</v>
      </c>
      <c r="E730" s="1" t="s">
        <v>1043</v>
      </c>
      <c r="F730" s="2" t="s">
        <v>1161</v>
      </c>
      <c r="G730" s="1" t="s">
        <v>2441</v>
      </c>
      <c r="H730" s="1" t="s">
        <v>1046</v>
      </c>
      <c r="I730" s="13" t="str">
        <f t="shared" si="87"/>
        <v>2C</v>
      </c>
      <c r="J730" t="str">
        <f t="shared" si="88"/>
        <v>1745½</v>
      </c>
      <c r="K730" t="str">
        <f t="shared" si="89"/>
        <v>1746½</v>
      </c>
      <c r="L730" t="str">
        <f t="shared" si="90"/>
        <v>Plat 8</v>
      </c>
      <c r="M730" s="8" t="str">
        <f t="shared" si="91"/>
        <v xml:space="preserve"> 8</v>
      </c>
      <c r="N730" t="s">
        <v>3013</v>
      </c>
      <c r="O730" t="s">
        <v>1181</v>
      </c>
      <c r="P730" t="s">
        <v>3014</v>
      </c>
      <c r="Q730" t="s">
        <v>3015</v>
      </c>
      <c r="R730" t="s">
        <v>3016</v>
      </c>
      <c r="S730" t="s">
        <v>3004</v>
      </c>
      <c r="T730" t="s">
        <v>1161</v>
      </c>
    </row>
    <row r="731" spans="2:25" ht="15" customHeight="1" x14ac:dyDescent="0.25">
      <c r="B731" s="3" t="s">
        <v>2442</v>
      </c>
      <c r="C731" s="1"/>
      <c r="D731" s="1" t="s">
        <v>1037</v>
      </c>
      <c r="E731" s="1" t="s">
        <v>2148</v>
      </c>
      <c r="F731" s="2" t="s">
        <v>1254</v>
      </c>
      <c r="G731" s="1" t="s">
        <v>2443</v>
      </c>
      <c r="H731" s="1" t="s">
        <v>1046</v>
      </c>
      <c r="I731" s="13" t="str">
        <f t="shared" si="87"/>
        <v>2S</v>
      </c>
      <c r="J731" t="str">
        <f t="shared" si="88"/>
        <v/>
      </c>
      <c r="K731" t="str">
        <f t="shared" si="89"/>
        <v xml:space="preserve">1747 </v>
      </c>
      <c r="L731" t="str">
        <f t="shared" si="90"/>
        <v>Plat11</v>
      </c>
      <c r="M731" s="8" t="str">
        <f t="shared" si="91"/>
        <v>11</v>
      </c>
      <c r="N731" t="s">
        <v>2975</v>
      </c>
      <c r="O731" t="s">
        <v>3039</v>
      </c>
      <c r="P731" t="s">
        <v>3041</v>
      </c>
      <c r="Q731" t="s">
        <v>3040</v>
      </c>
      <c r="R731" t="s">
        <v>3042</v>
      </c>
      <c r="S731" t="s">
        <v>2978</v>
      </c>
      <c r="T731" t="s">
        <v>1298</v>
      </c>
      <c r="U731" t="s">
        <v>2979</v>
      </c>
      <c r="V731" t="s">
        <v>2980</v>
      </c>
      <c r="W731" t="s">
        <v>2981</v>
      </c>
      <c r="X731" t="s">
        <v>2982</v>
      </c>
      <c r="Y731" t="s">
        <v>1254</v>
      </c>
    </row>
    <row r="732" spans="2:25" ht="15" customHeight="1" x14ac:dyDescent="0.25">
      <c r="B732" s="3" t="s">
        <v>2444</v>
      </c>
      <c r="C732" s="1" t="s">
        <v>2445</v>
      </c>
      <c r="D732" s="2" t="s">
        <v>1372</v>
      </c>
      <c r="E732" s="1" t="s">
        <v>1156</v>
      </c>
      <c r="F732" s="2" t="s">
        <v>1242</v>
      </c>
      <c r="G732" s="1" t="s">
        <v>2446</v>
      </c>
      <c r="H732" s="1" t="s">
        <v>1046</v>
      </c>
      <c r="I732" s="13" t="str">
        <f t="shared" si="87"/>
        <v>1Y</v>
      </c>
      <c r="J732" t="str">
        <f t="shared" si="88"/>
        <v>1746½</v>
      </c>
      <c r="K732" t="str">
        <f t="shared" si="89"/>
        <v>1747½</v>
      </c>
      <c r="L732" t="str">
        <f t="shared" si="90"/>
        <v>Plat10</v>
      </c>
      <c r="M732" s="8" t="str">
        <f t="shared" si="91"/>
        <v>10</v>
      </c>
      <c r="N732" t="s">
        <v>1473</v>
      </c>
      <c r="O732" t="s">
        <v>3002</v>
      </c>
      <c r="P732" t="s">
        <v>1091</v>
      </c>
      <c r="Q732" t="s">
        <v>3006</v>
      </c>
      <c r="R732" t="s">
        <v>1242</v>
      </c>
    </row>
    <row r="733" spans="2:25" ht="15" customHeight="1" x14ac:dyDescent="0.25">
      <c r="B733" s="3" t="s">
        <v>2447</v>
      </c>
      <c r="C733" s="1" t="s">
        <v>2448</v>
      </c>
      <c r="D733" s="2" t="s">
        <v>1039</v>
      </c>
      <c r="E733" s="1" t="s">
        <v>1075</v>
      </c>
      <c r="F733" s="1" t="s">
        <v>1051</v>
      </c>
      <c r="G733" s="1"/>
      <c r="H733" s="1" t="s">
        <v>1040</v>
      </c>
      <c r="I733" s="13" t="str">
        <f t="shared" si="87"/>
        <v>2L</v>
      </c>
      <c r="J733" t="str">
        <f t="shared" si="88"/>
        <v xml:space="preserve">1749 </v>
      </c>
      <c r="K733" t="str">
        <f t="shared" si="89"/>
        <v/>
      </c>
      <c r="L733" t="str">
        <f t="shared" si="90"/>
        <v>Plat 2</v>
      </c>
      <c r="M733" s="8" t="str">
        <f t="shared" si="91"/>
        <v xml:space="preserve"> 2</v>
      </c>
      <c r="O733"/>
    </row>
    <row r="734" spans="2:25" ht="15" customHeight="1" x14ac:dyDescent="0.25">
      <c r="B734" s="3" t="s">
        <v>629</v>
      </c>
      <c r="C734" s="1" t="s">
        <v>2449</v>
      </c>
      <c r="D734" s="2" t="s">
        <v>1372</v>
      </c>
      <c r="E734" s="1" t="s">
        <v>1156</v>
      </c>
      <c r="F734" s="2" t="s">
        <v>1304</v>
      </c>
      <c r="G734" s="1" t="s">
        <v>2450</v>
      </c>
      <c r="H734" s="1" t="s">
        <v>1046</v>
      </c>
      <c r="I734" s="13" t="str">
        <f t="shared" si="87"/>
        <v>1F</v>
      </c>
      <c r="J734" t="str">
        <f t="shared" si="88"/>
        <v>1748½</v>
      </c>
      <c r="K734" t="str">
        <f t="shared" si="89"/>
        <v>1749½</v>
      </c>
      <c r="L734" t="str">
        <f t="shared" si="90"/>
        <v>Plat10</v>
      </c>
      <c r="M734" s="8" t="str">
        <f t="shared" si="91"/>
        <v>10</v>
      </c>
      <c r="N734" s="4" t="s">
        <v>1044</v>
      </c>
      <c r="O734" s="4" t="s">
        <v>2999</v>
      </c>
      <c r="P734" s="4" t="s">
        <v>1473</v>
      </c>
      <c r="Q734" s="4" t="s">
        <v>3000</v>
      </c>
      <c r="R734" s="4" t="s">
        <v>3001</v>
      </c>
      <c r="S734" s="4" t="s">
        <v>3002</v>
      </c>
      <c r="T734" s="4" t="s">
        <v>3003</v>
      </c>
      <c r="U734" s="4" t="s">
        <v>1091</v>
      </c>
      <c r="V734" s="4" t="s">
        <v>1304</v>
      </c>
    </row>
    <row r="735" spans="2:25" ht="15" customHeight="1" x14ac:dyDescent="0.25">
      <c r="B735" s="3" t="s">
        <v>2451</v>
      </c>
      <c r="C735" s="1" t="s">
        <v>2449</v>
      </c>
      <c r="D735" s="2" t="s">
        <v>1372</v>
      </c>
      <c r="E735" s="1" t="s">
        <v>1043</v>
      </c>
      <c r="F735" s="2" t="s">
        <v>1161</v>
      </c>
      <c r="G735" s="1" t="s">
        <v>2450</v>
      </c>
      <c r="H735" s="1" t="s">
        <v>1046</v>
      </c>
      <c r="I735" s="13" t="str">
        <f t="shared" si="87"/>
        <v>2C</v>
      </c>
      <c r="J735" t="str">
        <f t="shared" si="88"/>
        <v>1748½</v>
      </c>
      <c r="K735" t="str">
        <f t="shared" si="89"/>
        <v>1749½</v>
      </c>
      <c r="L735" t="str">
        <f t="shared" si="90"/>
        <v>Plat 8</v>
      </c>
      <c r="M735" s="8" t="str">
        <f t="shared" si="91"/>
        <v xml:space="preserve"> 8</v>
      </c>
      <c r="N735" t="s">
        <v>3012</v>
      </c>
      <c r="O735" t="s">
        <v>1181</v>
      </c>
      <c r="P735" t="s">
        <v>3014</v>
      </c>
      <c r="Q735" t="s">
        <v>3015</v>
      </c>
      <c r="R735" t="s">
        <v>3016</v>
      </c>
      <c r="S735" t="s">
        <v>3004</v>
      </c>
      <c r="T735" t="s">
        <v>1161</v>
      </c>
    </row>
    <row r="736" spans="2:25" ht="15" customHeight="1" x14ac:dyDescent="0.25">
      <c r="B736" s="3" t="s">
        <v>2452</v>
      </c>
      <c r="C736" s="1" t="s">
        <v>2453</v>
      </c>
      <c r="D736" s="2" t="s">
        <v>1161</v>
      </c>
      <c r="E736" s="1" t="s">
        <v>1054</v>
      </c>
      <c r="F736" s="2" t="s">
        <v>1372</v>
      </c>
      <c r="G736" s="1" t="s">
        <v>712</v>
      </c>
      <c r="H736" s="1" t="s">
        <v>1046</v>
      </c>
      <c r="I736" s="13" t="str">
        <f t="shared" si="87"/>
        <v>2C</v>
      </c>
      <c r="J736" t="str">
        <f t="shared" si="88"/>
        <v xml:space="preserve">1750 </v>
      </c>
      <c r="K736" t="str">
        <f t="shared" si="89"/>
        <v xml:space="preserve">1752 </v>
      </c>
      <c r="L736" t="str">
        <f t="shared" si="90"/>
        <v>Plat 5</v>
      </c>
      <c r="M736" s="8" t="str">
        <f t="shared" si="91"/>
        <v xml:space="preserve"> 5</v>
      </c>
      <c r="N736" s="4" t="s">
        <v>1372</v>
      </c>
      <c r="O736"/>
    </row>
    <row r="737" spans="2:24" ht="15" customHeight="1" x14ac:dyDescent="0.25">
      <c r="B737" s="3" t="s">
        <v>2454</v>
      </c>
      <c r="C737" s="1"/>
      <c r="D737" s="1" t="s">
        <v>1037</v>
      </c>
      <c r="E737" s="1" t="s">
        <v>1038</v>
      </c>
      <c r="F737" s="2" t="s">
        <v>1074</v>
      </c>
      <c r="G737" s="1" t="s">
        <v>712</v>
      </c>
      <c r="H737" s="1" t="s">
        <v>1040</v>
      </c>
      <c r="I737" s="13" t="str">
        <f t="shared" si="87"/>
        <v>2N</v>
      </c>
      <c r="J737" t="str">
        <f t="shared" si="88"/>
        <v/>
      </c>
      <c r="K737" t="str">
        <f t="shared" si="89"/>
        <v xml:space="preserve">1752 </v>
      </c>
      <c r="L737" t="str">
        <f t="shared" si="90"/>
        <v>Plat 1</v>
      </c>
      <c r="M737" s="8" t="str">
        <f t="shared" si="91"/>
        <v xml:space="preserve"> 1</v>
      </c>
      <c r="N737" s="4" t="s">
        <v>3010</v>
      </c>
      <c r="O737" s="15" t="s">
        <v>3011</v>
      </c>
    </row>
    <row r="738" spans="2:24" ht="15" customHeight="1" x14ac:dyDescent="0.25">
      <c r="B738" s="3" t="s">
        <v>762</v>
      </c>
      <c r="C738" s="1" t="s">
        <v>712</v>
      </c>
      <c r="D738" s="2" t="s">
        <v>1237</v>
      </c>
      <c r="E738" s="1" t="s">
        <v>1047</v>
      </c>
      <c r="F738" s="2" t="s">
        <v>1372</v>
      </c>
      <c r="G738" s="1" t="s">
        <v>2455</v>
      </c>
      <c r="H738" s="1" t="s">
        <v>1046</v>
      </c>
      <c r="I738" s="13" t="str">
        <f t="shared" si="87"/>
        <v>1F</v>
      </c>
      <c r="J738" t="str">
        <f t="shared" si="88"/>
        <v xml:space="preserve">1752 </v>
      </c>
      <c r="K738" t="str">
        <f t="shared" si="89"/>
        <v>1752½</v>
      </c>
      <c r="L738" t="str">
        <f t="shared" si="90"/>
        <v>Plat 9</v>
      </c>
      <c r="M738" s="8" t="str">
        <f t="shared" si="91"/>
        <v xml:space="preserve"> 9</v>
      </c>
      <c r="N738" s="4" t="s">
        <v>1372</v>
      </c>
      <c r="O738"/>
    </row>
    <row r="739" spans="2:24" ht="15" customHeight="1" x14ac:dyDescent="0.25">
      <c r="B739" s="3" t="s">
        <v>1656</v>
      </c>
      <c r="C739" s="1" t="s">
        <v>2456</v>
      </c>
      <c r="D739" s="2" t="s">
        <v>1372</v>
      </c>
      <c r="E739" s="1" t="s">
        <v>1043</v>
      </c>
      <c r="F739" s="2" t="s">
        <v>1044</v>
      </c>
      <c r="G739" s="1" t="s">
        <v>2457</v>
      </c>
      <c r="H739" s="1" t="s">
        <v>1046</v>
      </c>
      <c r="I739" s="13" t="str">
        <f t="shared" si="87"/>
        <v>2W</v>
      </c>
      <c r="J739" t="str">
        <f t="shared" si="88"/>
        <v>1752½</v>
      </c>
      <c r="K739" t="str">
        <f t="shared" si="89"/>
        <v>1753½</v>
      </c>
      <c r="L739" t="str">
        <f t="shared" si="90"/>
        <v>Plat 8</v>
      </c>
      <c r="M739" s="8" t="str">
        <f t="shared" si="91"/>
        <v xml:space="preserve"> 8</v>
      </c>
      <c r="N739" s="4" t="s">
        <v>3012</v>
      </c>
      <c r="O739" s="4" t="s">
        <v>3013</v>
      </c>
      <c r="P739" s="4" t="s">
        <v>1181</v>
      </c>
      <c r="Q739" s="4" t="s">
        <v>3014</v>
      </c>
      <c r="R739" s="4" t="s">
        <v>3015</v>
      </c>
      <c r="S739" s="4" t="s">
        <v>3016</v>
      </c>
      <c r="T739" s="4" t="s">
        <v>3004</v>
      </c>
      <c r="U739" s="4" t="s">
        <v>1161</v>
      </c>
      <c r="V739" s="4" t="s">
        <v>3017</v>
      </c>
      <c r="W739" s="4" t="s">
        <v>3018</v>
      </c>
      <c r="X739" s="4" t="s">
        <v>1044</v>
      </c>
    </row>
    <row r="740" spans="2:24" ht="15" customHeight="1" x14ac:dyDescent="0.25">
      <c r="B740" s="3" t="s">
        <v>2458</v>
      </c>
      <c r="C740" s="1" t="s">
        <v>2456</v>
      </c>
      <c r="D740" s="2" t="s">
        <v>1372</v>
      </c>
      <c r="E740" s="1" t="s">
        <v>1156</v>
      </c>
      <c r="F740" s="2" t="s">
        <v>1058</v>
      </c>
      <c r="G740" s="1" t="s">
        <v>2457</v>
      </c>
      <c r="H740" s="1" t="s">
        <v>1046</v>
      </c>
      <c r="I740" s="13" t="str">
        <f t="shared" si="87"/>
        <v>1K</v>
      </c>
      <c r="J740" t="str">
        <f t="shared" si="88"/>
        <v>1752½</v>
      </c>
      <c r="K740" t="str">
        <f t="shared" si="89"/>
        <v>1753½</v>
      </c>
      <c r="L740" t="str">
        <f t="shared" si="90"/>
        <v>Plat10</v>
      </c>
      <c r="M740" s="8" t="str">
        <f t="shared" si="91"/>
        <v>10</v>
      </c>
      <c r="N740" s="4" t="s">
        <v>1044</v>
      </c>
      <c r="O740" s="4" t="s">
        <v>3019</v>
      </c>
      <c r="P740" s="4" t="s">
        <v>3020</v>
      </c>
      <c r="Q740" s="4" t="s">
        <v>3021</v>
      </c>
      <c r="R740" s="4" t="s">
        <v>3022</v>
      </c>
      <c r="S740" s="4" t="s">
        <v>3023</v>
      </c>
      <c r="T740" s="4" t="s">
        <v>3024</v>
      </c>
      <c r="U740" s="4" t="s">
        <v>3025</v>
      </c>
      <c r="V740" s="4" t="s">
        <v>1058</v>
      </c>
    </row>
    <row r="741" spans="2:24" ht="15" customHeight="1" x14ac:dyDescent="0.25">
      <c r="B741" s="3" t="s">
        <v>1662</v>
      </c>
      <c r="C741" s="1" t="s">
        <v>2459</v>
      </c>
      <c r="D741" s="2" t="s">
        <v>1044</v>
      </c>
      <c r="E741" s="1" t="s">
        <v>1054</v>
      </c>
      <c r="F741" s="2" t="s">
        <v>1372</v>
      </c>
      <c r="G741" s="1" t="s">
        <v>2460</v>
      </c>
      <c r="H741" s="1" t="s">
        <v>1046</v>
      </c>
      <c r="I741" s="13" t="str">
        <f t="shared" ref="I741:I747" si="92">LEFT(B741,2)</f>
        <v>2W</v>
      </c>
      <c r="J741" t="str">
        <f t="shared" ref="J741:J747" si="93">LEFT(C741,5)</f>
        <v>1754½</v>
      </c>
      <c r="K741" t="str">
        <f t="shared" ref="K741:K747" si="94">LEFT(G741,5)</f>
        <v>1755½</v>
      </c>
      <c r="L741" t="str">
        <f t="shared" ref="L741:L747" si="95">LEFT(E741,6)</f>
        <v>Plat 5</v>
      </c>
      <c r="M741" s="8" t="str">
        <f t="shared" ref="M741:M747" si="96">RIGHT(L741,2)</f>
        <v xml:space="preserve"> 5</v>
      </c>
      <c r="N741" s="4" t="s">
        <v>1372</v>
      </c>
      <c r="O741"/>
    </row>
    <row r="742" spans="2:24" ht="15" customHeight="1" x14ac:dyDescent="0.25">
      <c r="B742" s="3" t="s">
        <v>2461</v>
      </c>
      <c r="C742" s="1" t="s">
        <v>2462</v>
      </c>
      <c r="D742" s="2" t="s">
        <v>1372</v>
      </c>
      <c r="E742" s="1" t="s">
        <v>1043</v>
      </c>
      <c r="F742" s="2" t="s">
        <v>1058</v>
      </c>
      <c r="G742" s="1" t="s">
        <v>2463</v>
      </c>
      <c r="H742" s="1" t="s">
        <v>1046</v>
      </c>
      <c r="I742" s="13" t="str">
        <f t="shared" si="92"/>
        <v>2K</v>
      </c>
      <c r="J742" t="str">
        <f t="shared" si="93"/>
        <v>1755½</v>
      </c>
      <c r="K742" t="str">
        <f t="shared" si="94"/>
        <v>1756½</v>
      </c>
      <c r="L742" t="str">
        <f t="shared" si="95"/>
        <v>Plat 8</v>
      </c>
      <c r="M742" s="8" t="str">
        <f t="shared" si="96"/>
        <v xml:space="preserve"> 8</v>
      </c>
      <c r="O742"/>
    </row>
    <row r="743" spans="2:24" ht="15" customHeight="1" x14ac:dyDescent="0.25">
      <c r="B743" s="3" t="s">
        <v>2464</v>
      </c>
      <c r="C743" s="1" t="s">
        <v>2465</v>
      </c>
      <c r="D743" s="2" t="s">
        <v>1074</v>
      </c>
      <c r="E743" s="1" t="s">
        <v>1050</v>
      </c>
      <c r="F743" s="1" t="s">
        <v>1051</v>
      </c>
      <c r="G743" s="1"/>
      <c r="H743" s="1" t="s">
        <v>1040</v>
      </c>
      <c r="I743" s="13" t="str">
        <f t="shared" si="92"/>
        <v>2N</v>
      </c>
      <c r="J743" t="str">
        <f t="shared" si="93"/>
        <v xml:space="preserve">1759 </v>
      </c>
      <c r="K743" t="str">
        <f t="shared" si="94"/>
        <v/>
      </c>
      <c r="L743" t="str">
        <f t="shared" si="95"/>
        <v>Plat 1</v>
      </c>
      <c r="M743" s="8" t="str">
        <f t="shared" si="96"/>
        <v xml:space="preserve"> 1</v>
      </c>
      <c r="O743"/>
    </row>
    <row r="744" spans="2:24" ht="15" customHeight="1" x14ac:dyDescent="0.25">
      <c r="B744" s="3" t="s">
        <v>2466</v>
      </c>
      <c r="C744" s="1" t="s">
        <v>2467</v>
      </c>
      <c r="D744" s="2" t="s">
        <v>1372</v>
      </c>
      <c r="E744" s="1" t="s">
        <v>1043</v>
      </c>
      <c r="F744" s="2" t="s">
        <v>1161</v>
      </c>
      <c r="G744" s="1" t="s">
        <v>2468</v>
      </c>
      <c r="H744" s="1" t="s">
        <v>1046</v>
      </c>
      <c r="I744" s="13" t="str">
        <f t="shared" si="92"/>
        <v>2C</v>
      </c>
      <c r="J744" t="str">
        <f t="shared" si="93"/>
        <v>1758½</v>
      </c>
      <c r="K744" t="str">
        <f t="shared" si="94"/>
        <v>1759½</v>
      </c>
      <c r="L744" t="str">
        <f t="shared" si="95"/>
        <v>Plat 8</v>
      </c>
      <c r="M744" s="8" t="str">
        <f t="shared" si="96"/>
        <v xml:space="preserve"> 8</v>
      </c>
      <c r="N744" t="s">
        <v>3012</v>
      </c>
      <c r="O744" t="s">
        <v>1181</v>
      </c>
      <c r="P744" t="s">
        <v>3014</v>
      </c>
      <c r="Q744" t="s">
        <v>3015</v>
      </c>
      <c r="R744" t="s">
        <v>3016</v>
      </c>
      <c r="S744" t="s">
        <v>3004</v>
      </c>
      <c r="T744" t="s">
        <v>1161</v>
      </c>
    </row>
    <row r="745" spans="2:24" ht="15" customHeight="1" x14ac:dyDescent="0.25">
      <c r="B745" s="3" t="s">
        <v>2469</v>
      </c>
      <c r="C745" s="1" t="s">
        <v>718</v>
      </c>
      <c r="D745" s="2" t="s">
        <v>1058</v>
      </c>
      <c r="E745" s="1" t="s">
        <v>1047</v>
      </c>
      <c r="F745" s="2" t="s">
        <v>1372</v>
      </c>
      <c r="G745" s="1" t="s">
        <v>2468</v>
      </c>
      <c r="H745" s="1" t="s">
        <v>1046</v>
      </c>
      <c r="I745" s="13" t="str">
        <f t="shared" si="92"/>
        <v>1K</v>
      </c>
      <c r="J745" t="str">
        <f t="shared" si="93"/>
        <v xml:space="preserve">1759 </v>
      </c>
      <c r="K745" t="str">
        <f t="shared" si="94"/>
        <v>1759½</v>
      </c>
      <c r="L745" t="str">
        <f t="shared" si="95"/>
        <v>Plat 9</v>
      </c>
      <c r="M745" s="8" t="str">
        <f t="shared" si="96"/>
        <v xml:space="preserve"> 9</v>
      </c>
      <c r="N745" s="4" t="s">
        <v>1372</v>
      </c>
      <c r="O745"/>
    </row>
    <row r="746" spans="2:24" ht="15" customHeight="1" x14ac:dyDescent="0.25">
      <c r="B746" s="3" t="s">
        <v>2470</v>
      </c>
      <c r="C746" s="1"/>
      <c r="D746" s="1" t="s">
        <v>1037</v>
      </c>
      <c r="E746" s="1" t="s">
        <v>1061</v>
      </c>
      <c r="F746" s="2" t="s">
        <v>1039</v>
      </c>
      <c r="G746" s="1" t="s">
        <v>2471</v>
      </c>
      <c r="H746" s="1" t="s">
        <v>1040</v>
      </c>
      <c r="I746" s="13" t="str">
        <f t="shared" si="92"/>
        <v>2Y</v>
      </c>
      <c r="J746" t="str">
        <f t="shared" si="93"/>
        <v/>
      </c>
      <c r="K746" t="str">
        <f t="shared" si="94"/>
        <v xml:space="preserve">1800 </v>
      </c>
      <c r="L746" t="str">
        <f t="shared" si="95"/>
        <v>Plat 2</v>
      </c>
      <c r="M746" s="8" t="str">
        <f t="shared" si="96"/>
        <v xml:space="preserve"> 2</v>
      </c>
      <c r="N746" s="4" t="s">
        <v>3010</v>
      </c>
      <c r="O746" s="15" t="s">
        <v>3011</v>
      </c>
    </row>
    <row r="747" spans="2:24" ht="15" customHeight="1" x14ac:dyDescent="0.25">
      <c r="B747" s="3" t="s">
        <v>2472</v>
      </c>
      <c r="C747" s="1" t="s">
        <v>2471</v>
      </c>
      <c r="D747" s="2" t="s">
        <v>1161</v>
      </c>
      <c r="E747" s="1" t="s">
        <v>1054</v>
      </c>
      <c r="F747" s="2" t="s">
        <v>1372</v>
      </c>
      <c r="G747" s="1" t="s">
        <v>716</v>
      </c>
      <c r="H747" s="1" t="s">
        <v>1046</v>
      </c>
      <c r="I747" s="13" t="str">
        <f t="shared" si="92"/>
        <v>2C</v>
      </c>
      <c r="J747" t="str">
        <f t="shared" si="93"/>
        <v xml:space="preserve">1800 </v>
      </c>
      <c r="K747" t="str">
        <f t="shared" si="94"/>
        <v xml:space="preserve">1802 </v>
      </c>
      <c r="L747" t="str">
        <f t="shared" si="95"/>
        <v>Plat 5</v>
      </c>
      <c r="M747" s="8" t="str">
        <f t="shared" si="96"/>
        <v xml:space="preserve"> 5</v>
      </c>
      <c r="N747" s="4" t="s">
        <v>1372</v>
      </c>
      <c r="O747"/>
    </row>
    <row r="748" spans="2:24" ht="15" customHeight="1" x14ac:dyDescent="0.25">
      <c r="B748" s="3" t="s">
        <v>1680</v>
      </c>
      <c r="C748" s="1" t="s">
        <v>2475</v>
      </c>
      <c r="D748" s="2" t="s">
        <v>1372</v>
      </c>
      <c r="E748" s="1" t="s">
        <v>1043</v>
      </c>
      <c r="F748" s="2" t="s">
        <v>1044</v>
      </c>
      <c r="G748" s="1" t="s">
        <v>2476</v>
      </c>
      <c r="H748" s="1" t="s">
        <v>1046</v>
      </c>
      <c r="I748" s="13" t="str">
        <f t="shared" ref="I748:I807" si="97">LEFT(B748,2)</f>
        <v>2W</v>
      </c>
      <c r="J748" t="str">
        <f t="shared" ref="J748:J807" si="98">LEFT(C748,5)</f>
        <v>1802½</v>
      </c>
      <c r="K748" t="str">
        <f t="shared" ref="K748:K807" si="99">LEFT(G748,5)</f>
        <v>1803½</v>
      </c>
      <c r="L748" t="str">
        <f t="shared" ref="L748:L807" si="100">LEFT(E748,6)</f>
        <v>Plat 8</v>
      </c>
      <c r="M748" s="8" t="str">
        <f t="shared" ref="M748:M807" si="101">RIGHT(L748,2)</f>
        <v xml:space="preserve"> 8</v>
      </c>
      <c r="N748" s="4" t="s">
        <v>3012</v>
      </c>
      <c r="O748" s="4" t="s">
        <v>3013</v>
      </c>
      <c r="P748" s="4" t="s">
        <v>1181</v>
      </c>
      <c r="Q748" s="4" t="s">
        <v>3014</v>
      </c>
      <c r="R748" s="4" t="s">
        <v>3015</v>
      </c>
      <c r="S748" s="4" t="s">
        <v>3016</v>
      </c>
      <c r="T748" s="4" t="s">
        <v>3004</v>
      </c>
      <c r="U748" s="4" t="s">
        <v>1161</v>
      </c>
      <c r="V748" s="4" t="s">
        <v>3017</v>
      </c>
      <c r="W748" s="4" t="s">
        <v>3018</v>
      </c>
      <c r="X748" s="4" t="s">
        <v>1044</v>
      </c>
    </row>
    <row r="749" spans="2:24" ht="15" customHeight="1" x14ac:dyDescent="0.25">
      <c r="B749" s="3" t="s">
        <v>2477</v>
      </c>
      <c r="C749" s="1" t="s">
        <v>2475</v>
      </c>
      <c r="D749" s="2" t="s">
        <v>1372</v>
      </c>
      <c r="E749" s="1" t="s">
        <v>1156</v>
      </c>
      <c r="F749" s="2" t="s">
        <v>1058</v>
      </c>
      <c r="G749" s="1" t="s">
        <v>2476</v>
      </c>
      <c r="H749" s="1" t="s">
        <v>1046</v>
      </c>
      <c r="I749" s="13" t="str">
        <f t="shared" si="97"/>
        <v>1K</v>
      </c>
      <c r="J749" t="str">
        <f t="shared" si="98"/>
        <v>1802½</v>
      </c>
      <c r="K749" t="str">
        <f t="shared" si="99"/>
        <v>1803½</v>
      </c>
      <c r="L749" t="str">
        <f t="shared" si="100"/>
        <v>Plat10</v>
      </c>
      <c r="M749" s="8" t="str">
        <f t="shared" si="101"/>
        <v>10</v>
      </c>
      <c r="N749" s="4" t="s">
        <v>1044</v>
      </c>
      <c r="O749" s="4" t="s">
        <v>3019</v>
      </c>
      <c r="P749" s="4" t="s">
        <v>3020</v>
      </c>
      <c r="Q749" s="4" t="s">
        <v>3021</v>
      </c>
      <c r="R749" s="4" t="s">
        <v>3022</v>
      </c>
      <c r="S749" s="4" t="s">
        <v>3023</v>
      </c>
      <c r="T749" s="4" t="s">
        <v>3024</v>
      </c>
      <c r="U749" s="4" t="s">
        <v>3025</v>
      </c>
      <c r="V749" s="4" t="s">
        <v>1058</v>
      </c>
    </row>
    <row r="750" spans="2:24" ht="15" customHeight="1" x14ac:dyDescent="0.25">
      <c r="B750" s="3" t="s">
        <v>2478</v>
      </c>
      <c r="C750" s="1" t="s">
        <v>2479</v>
      </c>
      <c r="D750" s="2" t="s">
        <v>1039</v>
      </c>
      <c r="E750" s="1" t="s">
        <v>1075</v>
      </c>
      <c r="F750" s="1" t="s">
        <v>1051</v>
      </c>
      <c r="G750" s="1"/>
      <c r="H750" s="1" t="s">
        <v>1040</v>
      </c>
      <c r="I750" s="13" t="str">
        <f t="shared" si="97"/>
        <v>2L</v>
      </c>
      <c r="J750" t="str">
        <f t="shared" si="98"/>
        <v xml:space="preserve">1804 </v>
      </c>
      <c r="K750" t="str">
        <f t="shared" si="99"/>
        <v/>
      </c>
      <c r="L750" t="str">
        <f t="shared" si="100"/>
        <v>Plat 2</v>
      </c>
      <c r="M750" s="8" t="str">
        <f t="shared" si="101"/>
        <v xml:space="preserve"> 2</v>
      </c>
      <c r="O750"/>
    </row>
    <row r="751" spans="2:24" ht="15" customHeight="1" x14ac:dyDescent="0.25">
      <c r="B751" s="3" t="s">
        <v>1684</v>
      </c>
      <c r="C751" s="1" t="s">
        <v>2480</v>
      </c>
      <c r="D751" s="2" t="s">
        <v>1044</v>
      </c>
      <c r="E751" s="1" t="s">
        <v>1054</v>
      </c>
      <c r="F751" s="2" t="s">
        <v>1372</v>
      </c>
      <c r="G751" s="1" t="s">
        <v>2481</v>
      </c>
      <c r="H751" s="1" t="s">
        <v>1046</v>
      </c>
      <c r="I751" s="13" t="str">
        <f t="shared" si="97"/>
        <v>2W</v>
      </c>
      <c r="J751" t="str">
        <f t="shared" si="98"/>
        <v>1804½</v>
      </c>
      <c r="K751" t="str">
        <f t="shared" si="99"/>
        <v>1805½</v>
      </c>
      <c r="L751" t="str">
        <f t="shared" si="100"/>
        <v>Plat 5</v>
      </c>
      <c r="M751" s="8" t="str">
        <f t="shared" si="101"/>
        <v xml:space="preserve"> 5</v>
      </c>
      <c r="N751" s="4" t="s">
        <v>1372</v>
      </c>
      <c r="O751"/>
    </row>
    <row r="752" spans="2:24" ht="15" customHeight="1" x14ac:dyDescent="0.25">
      <c r="B752" s="3" t="s">
        <v>2482</v>
      </c>
      <c r="C752" s="1" t="s">
        <v>2483</v>
      </c>
      <c r="D752" s="2" t="s">
        <v>1372</v>
      </c>
      <c r="E752" s="1" t="s">
        <v>1156</v>
      </c>
      <c r="F752" s="2" t="s">
        <v>1242</v>
      </c>
      <c r="G752" s="1" t="s">
        <v>2484</v>
      </c>
      <c r="H752" s="1" t="s">
        <v>1046</v>
      </c>
      <c r="I752" s="13" t="str">
        <f t="shared" si="97"/>
        <v>1Y</v>
      </c>
      <c r="J752" t="str">
        <f t="shared" si="98"/>
        <v>1805½</v>
      </c>
      <c r="K752" t="str">
        <f t="shared" si="99"/>
        <v>1806½</v>
      </c>
      <c r="L752" t="str">
        <f t="shared" si="100"/>
        <v>Plat10</v>
      </c>
      <c r="M752" s="8" t="str">
        <f t="shared" si="101"/>
        <v>10</v>
      </c>
      <c r="N752" t="s">
        <v>3001</v>
      </c>
      <c r="O752" t="s">
        <v>3002</v>
      </c>
      <c r="P752" t="s">
        <v>1091</v>
      </c>
      <c r="Q752" t="s">
        <v>3006</v>
      </c>
      <c r="R752" t="s">
        <v>1242</v>
      </c>
    </row>
    <row r="753" spans="2:24" ht="15" customHeight="1" x14ac:dyDescent="0.25">
      <c r="B753" s="3" t="s">
        <v>2485</v>
      </c>
      <c r="C753" s="1" t="s">
        <v>2486</v>
      </c>
      <c r="D753" s="2" t="s">
        <v>1242</v>
      </c>
      <c r="E753" s="1" t="s">
        <v>1047</v>
      </c>
      <c r="F753" s="2" t="s">
        <v>1372</v>
      </c>
      <c r="G753" s="1" t="s">
        <v>2484</v>
      </c>
      <c r="H753" s="1" t="s">
        <v>1046</v>
      </c>
      <c r="I753" s="13" t="str">
        <f t="shared" si="97"/>
        <v>1Y</v>
      </c>
      <c r="J753" t="str">
        <f t="shared" si="98"/>
        <v xml:space="preserve">1806 </v>
      </c>
      <c r="K753" t="str">
        <f t="shared" si="99"/>
        <v>1806½</v>
      </c>
      <c r="L753" t="str">
        <f t="shared" si="100"/>
        <v>Plat 9</v>
      </c>
      <c r="M753" s="8" t="str">
        <f t="shared" si="101"/>
        <v xml:space="preserve"> 9</v>
      </c>
      <c r="N753" s="4" t="s">
        <v>1372</v>
      </c>
      <c r="O753"/>
    </row>
    <row r="754" spans="2:24" ht="15" customHeight="1" x14ac:dyDescent="0.25">
      <c r="B754" s="3" t="s">
        <v>2487</v>
      </c>
      <c r="C754" s="1" t="s">
        <v>2483</v>
      </c>
      <c r="D754" s="2" t="s">
        <v>1372</v>
      </c>
      <c r="E754" s="1" t="s">
        <v>1043</v>
      </c>
      <c r="F754" s="2" t="s">
        <v>1161</v>
      </c>
      <c r="G754" s="1" t="s">
        <v>2484</v>
      </c>
      <c r="H754" s="1" t="s">
        <v>1046</v>
      </c>
      <c r="I754" s="13" t="str">
        <f t="shared" si="97"/>
        <v>2C</v>
      </c>
      <c r="J754" t="str">
        <f t="shared" si="98"/>
        <v>1805½</v>
      </c>
      <c r="K754" t="str">
        <f t="shared" si="99"/>
        <v>1806½</v>
      </c>
      <c r="L754" t="str">
        <f t="shared" si="100"/>
        <v>Plat 8</v>
      </c>
      <c r="M754" s="8" t="str">
        <f t="shared" si="101"/>
        <v xml:space="preserve"> 8</v>
      </c>
      <c r="N754" t="s">
        <v>3013</v>
      </c>
      <c r="O754" t="s">
        <v>1181</v>
      </c>
      <c r="P754" t="s">
        <v>3014</v>
      </c>
      <c r="Q754" t="s">
        <v>3015</v>
      </c>
      <c r="R754" t="s">
        <v>3016</v>
      </c>
      <c r="S754" t="s">
        <v>3004</v>
      </c>
      <c r="T754" t="s">
        <v>1161</v>
      </c>
    </row>
    <row r="755" spans="2:24" ht="15" customHeight="1" x14ac:dyDescent="0.25">
      <c r="B755" s="3" t="s">
        <v>1197</v>
      </c>
      <c r="C755" s="1"/>
      <c r="D755" s="1" t="s">
        <v>1037</v>
      </c>
      <c r="E755" s="1" t="s">
        <v>1038</v>
      </c>
      <c r="F755" s="2" t="s">
        <v>1074</v>
      </c>
      <c r="G755" s="1" t="s">
        <v>2488</v>
      </c>
      <c r="H755" s="1" t="s">
        <v>1040</v>
      </c>
      <c r="I755" s="13" t="str">
        <f t="shared" si="97"/>
        <v>2N</v>
      </c>
      <c r="J755" t="str">
        <f t="shared" si="98"/>
        <v/>
      </c>
      <c r="K755" t="str">
        <f t="shared" si="99"/>
        <v xml:space="preserve">1807 </v>
      </c>
      <c r="L755" t="str">
        <f t="shared" si="100"/>
        <v>Plat 1</v>
      </c>
      <c r="M755" s="8" t="str">
        <f t="shared" si="101"/>
        <v xml:space="preserve"> 1</v>
      </c>
      <c r="N755" s="4" t="s">
        <v>3010</v>
      </c>
      <c r="O755" s="15" t="s">
        <v>3011</v>
      </c>
    </row>
    <row r="756" spans="2:24" ht="15" customHeight="1" x14ac:dyDescent="0.25">
      <c r="B756" s="3" t="s">
        <v>502</v>
      </c>
      <c r="C756" s="1" t="s">
        <v>2489</v>
      </c>
      <c r="D756" s="2" t="s">
        <v>1331</v>
      </c>
      <c r="E756" s="1" t="s">
        <v>1054</v>
      </c>
      <c r="F756" s="2" t="s">
        <v>1372</v>
      </c>
      <c r="G756" s="1" t="s">
        <v>2490</v>
      </c>
      <c r="H756" s="1" t="s">
        <v>1046</v>
      </c>
      <c r="I756" s="13" t="str">
        <f t="shared" si="97"/>
        <v>1J</v>
      </c>
      <c r="J756" t="str">
        <f t="shared" si="98"/>
        <v>1807½</v>
      </c>
      <c r="K756" t="str">
        <f t="shared" si="99"/>
        <v xml:space="preserve">1808 </v>
      </c>
      <c r="L756" t="str">
        <f t="shared" si="100"/>
        <v>Plat 5</v>
      </c>
      <c r="M756" s="8" t="str">
        <f t="shared" si="101"/>
        <v xml:space="preserve"> 5</v>
      </c>
      <c r="N756" s="4" t="s">
        <v>1372</v>
      </c>
      <c r="O756"/>
    </row>
    <row r="757" spans="2:24" ht="15" customHeight="1" x14ac:dyDescent="0.25">
      <c r="B757" s="3" t="s">
        <v>2491</v>
      </c>
      <c r="C757" s="1" t="s">
        <v>2490</v>
      </c>
      <c r="D757" s="2" t="s">
        <v>1254</v>
      </c>
      <c r="E757" s="1" t="s">
        <v>2148</v>
      </c>
      <c r="F757" s="1" t="s">
        <v>1051</v>
      </c>
      <c r="G757" s="1"/>
      <c r="H757" s="1" t="s">
        <v>1046</v>
      </c>
      <c r="I757" s="13" t="str">
        <f t="shared" si="97"/>
        <v>2S</v>
      </c>
      <c r="J757" t="str">
        <f t="shared" si="98"/>
        <v xml:space="preserve">1808 </v>
      </c>
      <c r="K757" t="str">
        <f t="shared" si="99"/>
        <v/>
      </c>
      <c r="L757" t="str">
        <f t="shared" si="100"/>
        <v>Plat11</v>
      </c>
      <c r="M757" s="8" t="str">
        <f t="shared" si="101"/>
        <v>11</v>
      </c>
      <c r="O757"/>
    </row>
    <row r="758" spans="2:24" ht="15" customHeight="1" x14ac:dyDescent="0.25">
      <c r="B758" s="3" t="s">
        <v>651</v>
      </c>
      <c r="C758" s="1" t="s">
        <v>2492</v>
      </c>
      <c r="D758" s="2" t="s">
        <v>1372</v>
      </c>
      <c r="E758" s="1" t="s">
        <v>1156</v>
      </c>
      <c r="F758" s="2" t="s">
        <v>1237</v>
      </c>
      <c r="G758" s="1" t="s">
        <v>2493</v>
      </c>
      <c r="H758" s="1" t="s">
        <v>1046</v>
      </c>
      <c r="I758" s="13" t="str">
        <f t="shared" si="97"/>
        <v>1F</v>
      </c>
      <c r="J758" t="str">
        <f t="shared" si="98"/>
        <v>1808½</v>
      </c>
      <c r="K758" t="str">
        <f t="shared" si="99"/>
        <v>1809½</v>
      </c>
      <c r="L758" t="str">
        <f t="shared" si="100"/>
        <v>Plat10</v>
      </c>
      <c r="M758" s="8" t="str">
        <f t="shared" si="101"/>
        <v>10</v>
      </c>
      <c r="N758" t="s">
        <v>1044</v>
      </c>
      <c r="O758" t="s">
        <v>2999</v>
      </c>
      <c r="P758" t="s">
        <v>1473</v>
      </c>
      <c r="Q758" t="s">
        <v>3001</v>
      </c>
      <c r="R758" t="s">
        <v>3043</v>
      </c>
      <c r="S758" t="s">
        <v>3044</v>
      </c>
      <c r="T758" t="s">
        <v>3045</v>
      </c>
      <c r="U758" t="s">
        <v>1237</v>
      </c>
    </row>
    <row r="759" spans="2:24" ht="15" customHeight="1" x14ac:dyDescent="0.25">
      <c r="B759" s="3" t="s">
        <v>2494</v>
      </c>
      <c r="C759" s="1" t="s">
        <v>2492</v>
      </c>
      <c r="D759" s="2" t="s">
        <v>1372</v>
      </c>
      <c r="E759" s="1" t="s">
        <v>1043</v>
      </c>
      <c r="F759" s="2" t="s">
        <v>1161</v>
      </c>
      <c r="G759" s="1" t="s">
        <v>2493</v>
      </c>
      <c r="H759" s="1" t="s">
        <v>1046</v>
      </c>
      <c r="I759" s="13" t="str">
        <f t="shared" si="97"/>
        <v>2C</v>
      </c>
      <c r="J759" t="str">
        <f t="shared" si="98"/>
        <v>1808½</v>
      </c>
      <c r="K759" t="str">
        <f t="shared" si="99"/>
        <v>1809½</v>
      </c>
      <c r="L759" t="str">
        <f t="shared" si="100"/>
        <v>Plat 8</v>
      </c>
      <c r="M759" s="8" t="str">
        <f t="shared" si="101"/>
        <v xml:space="preserve"> 8</v>
      </c>
      <c r="N759" t="s">
        <v>3012</v>
      </c>
      <c r="O759" t="s">
        <v>1181</v>
      </c>
      <c r="P759" t="s">
        <v>3014</v>
      </c>
      <c r="Q759" t="s">
        <v>3015</v>
      </c>
      <c r="R759" t="s">
        <v>3016</v>
      </c>
      <c r="S759" t="s">
        <v>3004</v>
      </c>
      <c r="T759" t="s">
        <v>1161</v>
      </c>
    </row>
    <row r="760" spans="2:24" ht="15" customHeight="1" x14ac:dyDescent="0.25">
      <c r="B760" s="3" t="s">
        <v>2495</v>
      </c>
      <c r="C760" s="1" t="s">
        <v>2496</v>
      </c>
      <c r="D760" s="2" t="s">
        <v>1062</v>
      </c>
      <c r="E760" s="1" t="s">
        <v>1050</v>
      </c>
      <c r="F760" s="1" t="s">
        <v>1051</v>
      </c>
      <c r="G760" s="1"/>
      <c r="H760" s="1" t="s">
        <v>1040</v>
      </c>
      <c r="I760" s="13" t="str">
        <f t="shared" si="97"/>
        <v>2G</v>
      </c>
      <c r="J760" t="str">
        <f t="shared" si="98"/>
        <v xml:space="preserve">1810 </v>
      </c>
      <c r="K760" t="str">
        <f t="shared" si="99"/>
        <v/>
      </c>
      <c r="L760" t="str">
        <f t="shared" si="100"/>
        <v>Plat 1</v>
      </c>
      <c r="M760" s="8" t="str">
        <f t="shared" si="101"/>
        <v xml:space="preserve"> 1</v>
      </c>
      <c r="O760"/>
    </row>
    <row r="761" spans="2:24" ht="15" customHeight="1" x14ac:dyDescent="0.25">
      <c r="B761" s="3" t="s">
        <v>2497</v>
      </c>
      <c r="C761" s="1"/>
      <c r="D761" s="1" t="s">
        <v>1037</v>
      </c>
      <c r="E761" s="1" t="s">
        <v>1061</v>
      </c>
      <c r="F761" s="2" t="s">
        <v>1062</v>
      </c>
      <c r="G761" s="1" t="s">
        <v>2498</v>
      </c>
      <c r="H761" s="1" t="s">
        <v>1040</v>
      </c>
      <c r="I761" s="13" t="str">
        <f t="shared" si="97"/>
        <v>2G</v>
      </c>
      <c r="J761" t="str">
        <f t="shared" si="98"/>
        <v/>
      </c>
      <c r="K761" t="str">
        <f t="shared" si="99"/>
        <v xml:space="preserve">1811 </v>
      </c>
      <c r="L761" t="str">
        <f t="shared" si="100"/>
        <v>Plat 2</v>
      </c>
      <c r="M761" s="8" t="str">
        <f t="shared" si="101"/>
        <v xml:space="preserve"> 2</v>
      </c>
      <c r="N761" s="4" t="s">
        <v>3010</v>
      </c>
      <c r="O761" s="15" t="s">
        <v>3011</v>
      </c>
    </row>
    <row r="762" spans="2:24" ht="15" customHeight="1" x14ac:dyDescent="0.25">
      <c r="B762" s="3" t="s">
        <v>618</v>
      </c>
      <c r="C762" s="1" t="s">
        <v>2499</v>
      </c>
      <c r="D762" s="2" t="s">
        <v>1372</v>
      </c>
      <c r="E762" s="1" t="s">
        <v>1156</v>
      </c>
      <c r="F762" s="2" t="s">
        <v>1331</v>
      </c>
      <c r="G762" s="1" t="s">
        <v>2500</v>
      </c>
      <c r="H762" s="1" t="s">
        <v>1046</v>
      </c>
      <c r="I762" s="13" t="str">
        <f t="shared" si="97"/>
        <v>1J</v>
      </c>
      <c r="J762" t="str">
        <f t="shared" si="98"/>
        <v>1810½</v>
      </c>
      <c r="K762" t="str">
        <f t="shared" si="99"/>
        <v>1811½</v>
      </c>
      <c r="L762" t="str">
        <f t="shared" si="100"/>
        <v>Plat10</v>
      </c>
      <c r="M762" s="8" t="str">
        <f t="shared" si="101"/>
        <v>10</v>
      </c>
      <c r="N762" t="s">
        <v>3020</v>
      </c>
      <c r="O762" t="s">
        <v>3026</v>
      </c>
      <c r="P762" t="s">
        <v>3027</v>
      </c>
      <c r="Q762" t="s">
        <v>3028</v>
      </c>
      <c r="R762" t="s">
        <v>3029</v>
      </c>
      <c r="S762" t="s">
        <v>3030</v>
      </c>
      <c r="T762" t="s">
        <v>1331</v>
      </c>
    </row>
    <row r="763" spans="2:24" ht="15" customHeight="1" x14ac:dyDescent="0.25">
      <c r="B763" s="3" t="s">
        <v>2501</v>
      </c>
      <c r="C763" s="1" t="s">
        <v>2498</v>
      </c>
      <c r="D763" s="2" t="s">
        <v>1161</v>
      </c>
      <c r="E763" s="1" t="s">
        <v>1054</v>
      </c>
      <c r="F763" s="2" t="s">
        <v>1372</v>
      </c>
      <c r="G763" s="1" t="s">
        <v>2502</v>
      </c>
      <c r="H763" s="1" t="s">
        <v>1046</v>
      </c>
      <c r="I763" s="13" t="str">
        <f t="shared" si="97"/>
        <v>2C</v>
      </c>
      <c r="J763" t="str">
        <f t="shared" si="98"/>
        <v xml:space="preserve">1811 </v>
      </c>
      <c r="K763" t="str">
        <f t="shared" si="99"/>
        <v>1812½</v>
      </c>
      <c r="L763" t="str">
        <f t="shared" si="100"/>
        <v>Plat 5</v>
      </c>
      <c r="M763" s="8" t="str">
        <f t="shared" si="101"/>
        <v xml:space="preserve"> 5</v>
      </c>
      <c r="N763" s="4" t="s">
        <v>1372</v>
      </c>
      <c r="O763"/>
    </row>
    <row r="764" spans="2:24" ht="15" customHeight="1" x14ac:dyDescent="0.25">
      <c r="B764" s="3" t="s">
        <v>2503</v>
      </c>
      <c r="C764" s="1" t="s">
        <v>2504</v>
      </c>
      <c r="D764" s="2" t="s">
        <v>1074</v>
      </c>
      <c r="E764" s="1" t="s">
        <v>1075</v>
      </c>
      <c r="F764" s="1" t="s">
        <v>1051</v>
      </c>
      <c r="G764" s="1"/>
      <c r="H764" s="1" t="s">
        <v>1040</v>
      </c>
      <c r="I764" s="13" t="str">
        <f t="shared" si="97"/>
        <v>2N</v>
      </c>
      <c r="J764" t="str">
        <f t="shared" si="98"/>
        <v xml:space="preserve">1814 </v>
      </c>
      <c r="K764" t="str">
        <f t="shared" si="99"/>
        <v/>
      </c>
      <c r="L764" t="str">
        <f t="shared" si="100"/>
        <v>Plat 2</v>
      </c>
      <c r="M764" s="8" t="str">
        <f t="shared" si="101"/>
        <v xml:space="preserve"> 2</v>
      </c>
      <c r="O764"/>
    </row>
    <row r="765" spans="2:24" ht="15" customHeight="1" x14ac:dyDescent="0.25">
      <c r="B765" s="3" t="s">
        <v>2505</v>
      </c>
      <c r="C765" s="1" t="s">
        <v>725</v>
      </c>
      <c r="D765" s="2" t="s">
        <v>1058</v>
      </c>
      <c r="E765" s="1" t="s">
        <v>1047</v>
      </c>
      <c r="F765" s="2" t="s">
        <v>1372</v>
      </c>
      <c r="G765" s="1" t="s">
        <v>2506</v>
      </c>
      <c r="H765" s="1" t="s">
        <v>1046</v>
      </c>
      <c r="I765" s="13" t="str">
        <f t="shared" si="97"/>
        <v>1K</v>
      </c>
      <c r="J765" t="str">
        <f t="shared" si="98"/>
        <v xml:space="preserve">1814 </v>
      </c>
      <c r="K765" t="str">
        <f t="shared" si="99"/>
        <v>1814½</v>
      </c>
      <c r="L765" t="str">
        <f t="shared" si="100"/>
        <v>Plat 9</v>
      </c>
      <c r="M765" s="8" t="str">
        <f t="shared" si="101"/>
        <v xml:space="preserve"> 9</v>
      </c>
      <c r="N765" s="4" t="s">
        <v>1372</v>
      </c>
      <c r="O765"/>
    </row>
    <row r="766" spans="2:24" ht="15" customHeight="1" x14ac:dyDescent="0.25">
      <c r="B766" s="3" t="s">
        <v>1689</v>
      </c>
      <c r="C766" s="1" t="s">
        <v>2507</v>
      </c>
      <c r="D766" s="2" t="s">
        <v>1372</v>
      </c>
      <c r="E766" s="1" t="s">
        <v>1043</v>
      </c>
      <c r="F766" s="2" t="s">
        <v>1044</v>
      </c>
      <c r="G766" s="1" t="s">
        <v>2506</v>
      </c>
      <c r="H766" s="1" t="s">
        <v>1046</v>
      </c>
      <c r="I766" s="13" t="str">
        <f t="shared" si="97"/>
        <v>2W</v>
      </c>
      <c r="J766" t="str">
        <f t="shared" si="98"/>
        <v>1813½</v>
      </c>
      <c r="K766" t="str">
        <f t="shared" si="99"/>
        <v>1814½</v>
      </c>
      <c r="L766" t="str">
        <f t="shared" si="100"/>
        <v>Plat 8</v>
      </c>
      <c r="M766" s="8" t="str">
        <f t="shared" si="101"/>
        <v xml:space="preserve"> 8</v>
      </c>
      <c r="N766" s="4" t="s">
        <v>3012</v>
      </c>
      <c r="O766" s="4" t="s">
        <v>3013</v>
      </c>
      <c r="P766" s="4" t="s">
        <v>1181</v>
      </c>
      <c r="Q766" s="4" t="s">
        <v>3014</v>
      </c>
      <c r="R766" s="4" t="s">
        <v>3015</v>
      </c>
      <c r="S766" s="4" t="s">
        <v>3016</v>
      </c>
      <c r="T766" s="4" t="s">
        <v>3004</v>
      </c>
      <c r="U766" s="4" t="s">
        <v>1161</v>
      </c>
      <c r="V766" s="4" t="s">
        <v>3017</v>
      </c>
      <c r="W766" s="4" t="s">
        <v>3018</v>
      </c>
      <c r="X766" s="4" t="s">
        <v>1044</v>
      </c>
    </row>
    <row r="767" spans="2:24" ht="15" customHeight="1" x14ac:dyDescent="0.25">
      <c r="B767" s="3" t="s">
        <v>2508</v>
      </c>
      <c r="C767" s="1" t="s">
        <v>2507</v>
      </c>
      <c r="D767" s="2" t="s">
        <v>1372</v>
      </c>
      <c r="E767" s="1" t="s">
        <v>1156</v>
      </c>
      <c r="F767" s="2" t="s">
        <v>1058</v>
      </c>
      <c r="G767" s="1" t="s">
        <v>2506</v>
      </c>
      <c r="H767" s="1" t="s">
        <v>1046</v>
      </c>
      <c r="I767" s="13" t="str">
        <f t="shared" si="97"/>
        <v>1K</v>
      </c>
      <c r="J767" t="str">
        <f t="shared" si="98"/>
        <v>1813½</v>
      </c>
      <c r="K767" t="str">
        <f t="shared" si="99"/>
        <v>1814½</v>
      </c>
      <c r="L767" t="str">
        <f t="shared" si="100"/>
        <v>Plat10</v>
      </c>
      <c r="M767" s="8" t="str">
        <f t="shared" si="101"/>
        <v>10</v>
      </c>
      <c r="N767" s="4" t="s">
        <v>1044</v>
      </c>
      <c r="O767" s="4" t="s">
        <v>3019</v>
      </c>
      <c r="P767" s="4" t="s">
        <v>3020</v>
      </c>
      <c r="Q767" s="4" t="s">
        <v>3021</v>
      </c>
      <c r="R767" s="4" t="s">
        <v>3022</v>
      </c>
      <c r="S767" s="4" t="s">
        <v>3023</v>
      </c>
      <c r="T767" s="4" t="s">
        <v>3024</v>
      </c>
      <c r="U767" s="4" t="s">
        <v>3025</v>
      </c>
      <c r="V767" s="4" t="s">
        <v>1058</v>
      </c>
    </row>
    <row r="768" spans="2:24" ht="15" customHeight="1" x14ac:dyDescent="0.25">
      <c r="B768" s="3" t="s">
        <v>2509</v>
      </c>
      <c r="C768" s="1"/>
      <c r="D768" s="1" t="s">
        <v>1037</v>
      </c>
      <c r="E768" s="1" t="s">
        <v>1038</v>
      </c>
      <c r="F768" s="2" t="s">
        <v>1039</v>
      </c>
      <c r="G768" s="1" t="s">
        <v>2510</v>
      </c>
      <c r="H768" s="1" t="s">
        <v>1040</v>
      </c>
      <c r="I768" s="13" t="str">
        <f t="shared" si="97"/>
        <v>2Y</v>
      </c>
      <c r="J768" t="str">
        <f t="shared" si="98"/>
        <v/>
      </c>
      <c r="K768" t="str">
        <f t="shared" si="99"/>
        <v xml:space="preserve">1815 </v>
      </c>
      <c r="L768" t="str">
        <f t="shared" si="100"/>
        <v>Plat 1</v>
      </c>
      <c r="M768" s="8" t="str">
        <f t="shared" si="101"/>
        <v xml:space="preserve"> 1</v>
      </c>
      <c r="N768" s="4" t="s">
        <v>3010</v>
      </c>
      <c r="O768" s="15" t="s">
        <v>3011</v>
      </c>
    </row>
    <row r="769" spans="2:24" ht="15" customHeight="1" x14ac:dyDescent="0.25">
      <c r="B769" s="3" t="s">
        <v>1692</v>
      </c>
      <c r="C769" s="1" t="s">
        <v>2511</v>
      </c>
      <c r="D769" s="2" t="s">
        <v>1044</v>
      </c>
      <c r="E769" s="1" t="s">
        <v>1054</v>
      </c>
      <c r="F769" s="2" t="s">
        <v>1372</v>
      </c>
      <c r="G769" s="1" t="s">
        <v>2512</v>
      </c>
      <c r="H769" s="1" t="s">
        <v>1046</v>
      </c>
      <c r="I769" s="13" t="str">
        <f t="shared" si="97"/>
        <v>2W</v>
      </c>
      <c r="J769" t="str">
        <f t="shared" si="98"/>
        <v>1814½</v>
      </c>
      <c r="K769" t="str">
        <f t="shared" si="99"/>
        <v>1815½</v>
      </c>
      <c r="L769" t="str">
        <f t="shared" si="100"/>
        <v>Plat 5</v>
      </c>
      <c r="M769" s="8" t="str">
        <f t="shared" si="101"/>
        <v xml:space="preserve"> 5</v>
      </c>
      <c r="N769" s="4" t="s">
        <v>1372</v>
      </c>
      <c r="O769"/>
    </row>
    <row r="770" spans="2:24" ht="15" customHeight="1" x14ac:dyDescent="0.25">
      <c r="B770" s="3" t="s">
        <v>2513</v>
      </c>
      <c r="C770" s="1"/>
      <c r="D770" s="1" t="s">
        <v>1037</v>
      </c>
      <c r="E770" s="1" t="s">
        <v>2148</v>
      </c>
      <c r="F770" s="2" t="s">
        <v>1079</v>
      </c>
      <c r="G770" s="1" t="s">
        <v>730</v>
      </c>
      <c r="H770" s="1" t="s">
        <v>1046</v>
      </c>
      <c r="I770" s="13" t="str">
        <f t="shared" si="97"/>
        <v>2O</v>
      </c>
      <c r="J770" t="str">
        <f t="shared" si="98"/>
        <v/>
      </c>
      <c r="K770" t="str">
        <f t="shared" si="99"/>
        <v xml:space="preserve">1817 </v>
      </c>
      <c r="L770" t="str">
        <f t="shared" si="100"/>
        <v>Plat11</v>
      </c>
      <c r="M770" s="8" t="str">
        <f t="shared" si="101"/>
        <v>11</v>
      </c>
      <c r="N770" t="s">
        <v>2975</v>
      </c>
      <c r="O770" t="s">
        <v>3039</v>
      </c>
      <c r="P770" t="s">
        <v>3041</v>
      </c>
      <c r="Q770" t="s">
        <v>3040</v>
      </c>
      <c r="R770" t="s">
        <v>3042</v>
      </c>
      <c r="S770" t="s">
        <v>2978</v>
      </c>
      <c r="T770" t="s">
        <v>1298</v>
      </c>
      <c r="U770" t="s">
        <v>3049</v>
      </c>
      <c r="V770" t="s">
        <v>3050</v>
      </c>
      <c r="W770" t="s">
        <v>3051</v>
      </c>
      <c r="X770" t="s">
        <v>1079</v>
      </c>
    </row>
    <row r="771" spans="2:24" ht="15" customHeight="1" x14ac:dyDescent="0.25">
      <c r="B771" s="3" t="s">
        <v>2514</v>
      </c>
      <c r="C771" s="1" t="s">
        <v>2515</v>
      </c>
      <c r="D771" s="2" t="s">
        <v>1372</v>
      </c>
      <c r="E771" s="1" t="s">
        <v>1043</v>
      </c>
      <c r="F771" s="2" t="s">
        <v>1161</v>
      </c>
      <c r="G771" s="1" t="s">
        <v>2516</v>
      </c>
      <c r="H771" s="1" t="s">
        <v>1046</v>
      </c>
      <c r="I771" s="13" t="str">
        <f t="shared" si="97"/>
        <v>2C</v>
      </c>
      <c r="J771" t="str">
        <f t="shared" si="98"/>
        <v>1816½</v>
      </c>
      <c r="K771" t="str">
        <f t="shared" si="99"/>
        <v>1818½</v>
      </c>
      <c r="L771" t="str">
        <f t="shared" si="100"/>
        <v>Plat 8</v>
      </c>
      <c r="M771" s="8" t="str">
        <f t="shared" si="101"/>
        <v xml:space="preserve"> 8</v>
      </c>
      <c r="N771" t="s">
        <v>3012</v>
      </c>
      <c r="O771" t="s">
        <v>3013</v>
      </c>
      <c r="P771" t="s">
        <v>1181</v>
      </c>
      <c r="Q771" t="s">
        <v>3016</v>
      </c>
      <c r="R771" t="s">
        <v>3004</v>
      </c>
      <c r="S771" t="s">
        <v>1161</v>
      </c>
    </row>
    <row r="772" spans="2:24" ht="15" customHeight="1" x14ac:dyDescent="0.25">
      <c r="B772" s="3" t="s">
        <v>2517</v>
      </c>
      <c r="C772" s="1" t="s">
        <v>2518</v>
      </c>
      <c r="D772" s="2" t="s">
        <v>1039</v>
      </c>
      <c r="E772" s="1" t="s">
        <v>1050</v>
      </c>
      <c r="F772" s="1" t="s">
        <v>1051</v>
      </c>
      <c r="G772" s="1"/>
      <c r="H772" s="1" t="s">
        <v>1040</v>
      </c>
      <c r="I772" s="13" t="str">
        <f t="shared" si="97"/>
        <v>2L</v>
      </c>
      <c r="J772" t="str">
        <f t="shared" si="98"/>
        <v xml:space="preserve">1819 </v>
      </c>
      <c r="K772" t="str">
        <f t="shared" si="99"/>
        <v/>
      </c>
      <c r="L772" t="str">
        <f t="shared" si="100"/>
        <v>Plat 1</v>
      </c>
      <c r="M772" s="8" t="str">
        <f t="shared" si="101"/>
        <v xml:space="preserve"> 1</v>
      </c>
      <c r="O772"/>
    </row>
    <row r="773" spans="2:24" ht="15" customHeight="1" x14ac:dyDescent="0.25">
      <c r="B773" s="3" t="s">
        <v>2519</v>
      </c>
      <c r="C773" s="1" t="s">
        <v>2520</v>
      </c>
      <c r="D773" s="2" t="s">
        <v>1372</v>
      </c>
      <c r="E773" s="1" t="s">
        <v>1156</v>
      </c>
      <c r="F773" s="2" t="s">
        <v>1185</v>
      </c>
      <c r="G773" s="1" t="s">
        <v>2521</v>
      </c>
      <c r="H773" s="1" t="s">
        <v>1046</v>
      </c>
      <c r="I773" s="13" t="str">
        <f t="shared" si="97"/>
        <v>1N</v>
      </c>
      <c r="J773" t="str">
        <f t="shared" si="98"/>
        <v>1820½</v>
      </c>
      <c r="K773" t="str">
        <f t="shared" si="99"/>
        <v>1821½</v>
      </c>
      <c r="L773" t="str">
        <f t="shared" si="100"/>
        <v>Plat10</v>
      </c>
      <c r="M773" s="8" t="str">
        <f t="shared" si="101"/>
        <v>10</v>
      </c>
      <c r="N773" t="s">
        <v>1473</v>
      </c>
      <c r="O773" t="s">
        <v>3000</v>
      </c>
      <c r="P773" t="s">
        <v>3001</v>
      </c>
      <c r="Q773" t="s">
        <v>3003</v>
      </c>
      <c r="R773" t="s">
        <v>1091</v>
      </c>
      <c r="S773" t="s">
        <v>3048</v>
      </c>
      <c r="T773" t="s">
        <v>3031</v>
      </c>
      <c r="U773" t="s">
        <v>3046</v>
      </c>
      <c r="V773" t="s">
        <v>3047</v>
      </c>
    </row>
    <row r="774" spans="2:24" ht="15" customHeight="1" x14ac:dyDescent="0.25">
      <c r="B774" s="3" t="s">
        <v>2522</v>
      </c>
      <c r="C774" s="1" t="s">
        <v>2523</v>
      </c>
      <c r="D774" s="2" t="s">
        <v>1161</v>
      </c>
      <c r="E774" s="1" t="s">
        <v>1054</v>
      </c>
      <c r="F774" s="2" t="s">
        <v>1372</v>
      </c>
      <c r="G774" s="1" t="s">
        <v>2524</v>
      </c>
      <c r="H774" s="1" t="s">
        <v>1046</v>
      </c>
      <c r="I774" s="13" t="str">
        <f t="shared" si="97"/>
        <v>2C</v>
      </c>
      <c r="J774" t="str">
        <f t="shared" si="98"/>
        <v xml:space="preserve">1820 </v>
      </c>
      <c r="K774" t="str">
        <f t="shared" si="99"/>
        <v xml:space="preserve">1822 </v>
      </c>
      <c r="L774" t="str">
        <f t="shared" si="100"/>
        <v>Plat 5</v>
      </c>
      <c r="M774" s="8" t="str">
        <f t="shared" si="101"/>
        <v xml:space="preserve"> 5</v>
      </c>
      <c r="N774" s="4" t="s">
        <v>1372</v>
      </c>
      <c r="O774"/>
    </row>
    <row r="775" spans="2:24" ht="15" customHeight="1" x14ac:dyDescent="0.25">
      <c r="B775" s="3" t="s">
        <v>2525</v>
      </c>
      <c r="C775" s="1"/>
      <c r="D775" s="1" t="s">
        <v>1037</v>
      </c>
      <c r="E775" s="1" t="s">
        <v>1061</v>
      </c>
      <c r="F775" s="2" t="s">
        <v>1074</v>
      </c>
      <c r="G775" s="1" t="s">
        <v>2524</v>
      </c>
      <c r="H775" s="1" t="s">
        <v>1040</v>
      </c>
      <c r="I775" s="13" t="str">
        <f t="shared" si="97"/>
        <v>2N</v>
      </c>
      <c r="J775" t="str">
        <f t="shared" si="98"/>
        <v/>
      </c>
      <c r="K775" t="str">
        <f t="shared" si="99"/>
        <v xml:space="preserve">1822 </v>
      </c>
      <c r="L775" t="str">
        <f t="shared" si="100"/>
        <v>Plat 2</v>
      </c>
      <c r="M775" s="8" t="str">
        <f t="shared" si="101"/>
        <v xml:space="preserve"> 2</v>
      </c>
      <c r="N775" s="4" t="s">
        <v>3010</v>
      </c>
      <c r="O775" s="15" t="s">
        <v>3011</v>
      </c>
    </row>
    <row r="776" spans="2:24" ht="15" customHeight="1" x14ac:dyDescent="0.25">
      <c r="B776" s="3" t="s">
        <v>2526</v>
      </c>
      <c r="C776" s="1" t="s">
        <v>2524</v>
      </c>
      <c r="D776" s="2" t="s">
        <v>1185</v>
      </c>
      <c r="E776" s="1" t="s">
        <v>1047</v>
      </c>
      <c r="F776" s="2" t="s">
        <v>1372</v>
      </c>
      <c r="G776" s="1" t="s">
        <v>2527</v>
      </c>
      <c r="H776" s="1" t="s">
        <v>1046</v>
      </c>
      <c r="I776" s="13" t="str">
        <f t="shared" si="97"/>
        <v>1N</v>
      </c>
      <c r="J776" t="str">
        <f t="shared" si="98"/>
        <v xml:space="preserve">1822 </v>
      </c>
      <c r="K776" t="str">
        <f t="shared" si="99"/>
        <v>1822½</v>
      </c>
      <c r="L776" t="str">
        <f t="shared" si="100"/>
        <v>Plat 9</v>
      </c>
      <c r="M776" s="8" t="str">
        <f t="shared" si="101"/>
        <v xml:space="preserve"> 9</v>
      </c>
      <c r="N776" s="4" t="s">
        <v>1372</v>
      </c>
      <c r="O776"/>
    </row>
    <row r="777" spans="2:24" ht="15" customHeight="1" x14ac:dyDescent="0.25">
      <c r="B777" s="3" t="s">
        <v>2528</v>
      </c>
      <c r="C777" s="1" t="s">
        <v>2529</v>
      </c>
      <c r="D777" s="2" t="s">
        <v>1372</v>
      </c>
      <c r="E777" s="1" t="s">
        <v>1156</v>
      </c>
      <c r="F777" s="2" t="s">
        <v>1058</v>
      </c>
      <c r="G777" s="1" t="s">
        <v>2530</v>
      </c>
      <c r="H777" s="1" t="s">
        <v>1046</v>
      </c>
      <c r="I777" s="13" t="str">
        <f t="shared" si="97"/>
        <v>1K</v>
      </c>
      <c r="J777" t="str">
        <f t="shared" si="98"/>
        <v>1822½</v>
      </c>
      <c r="K777" t="str">
        <f t="shared" si="99"/>
        <v>1823½</v>
      </c>
      <c r="L777" t="str">
        <f t="shared" si="100"/>
        <v>Plat10</v>
      </c>
      <c r="M777" s="8" t="str">
        <f t="shared" si="101"/>
        <v>10</v>
      </c>
      <c r="N777" s="4" t="s">
        <v>1044</v>
      </c>
      <c r="O777" s="4" t="s">
        <v>3019</v>
      </c>
      <c r="P777" s="4" t="s">
        <v>3020</v>
      </c>
      <c r="Q777" s="4" t="s">
        <v>3021</v>
      </c>
      <c r="R777" s="4" t="s">
        <v>3022</v>
      </c>
      <c r="S777" s="4" t="s">
        <v>3023</v>
      </c>
      <c r="T777" s="4" t="s">
        <v>3024</v>
      </c>
      <c r="U777" s="4" t="s">
        <v>3025</v>
      </c>
      <c r="V777" s="4" t="s">
        <v>1058</v>
      </c>
    </row>
    <row r="778" spans="2:24" ht="15" customHeight="1" x14ac:dyDescent="0.25">
      <c r="B778" s="3" t="s">
        <v>1711</v>
      </c>
      <c r="C778" s="1" t="s">
        <v>2531</v>
      </c>
      <c r="D778" s="2" t="s">
        <v>1372</v>
      </c>
      <c r="E778" s="1" t="s">
        <v>1043</v>
      </c>
      <c r="F778" s="2" t="s">
        <v>1044</v>
      </c>
      <c r="G778" s="1" t="s">
        <v>2532</v>
      </c>
      <c r="H778" s="1" t="s">
        <v>1046</v>
      </c>
      <c r="I778" s="13" t="str">
        <f t="shared" si="97"/>
        <v>2W</v>
      </c>
      <c r="J778" t="str">
        <f t="shared" si="98"/>
        <v>1823½</v>
      </c>
      <c r="K778" t="str">
        <f t="shared" si="99"/>
        <v>1824½</v>
      </c>
      <c r="L778" t="str">
        <f t="shared" si="100"/>
        <v>Plat 8</v>
      </c>
      <c r="M778" s="8" t="str">
        <f t="shared" si="101"/>
        <v xml:space="preserve"> 8</v>
      </c>
      <c r="N778" s="4" t="s">
        <v>3012</v>
      </c>
      <c r="O778" s="4" t="s">
        <v>3013</v>
      </c>
      <c r="P778" s="4" t="s">
        <v>1181</v>
      </c>
      <c r="Q778" s="4" t="s">
        <v>3014</v>
      </c>
      <c r="R778" s="4" t="s">
        <v>3015</v>
      </c>
      <c r="S778" s="4" t="s">
        <v>3016</v>
      </c>
      <c r="T778" s="4" t="s">
        <v>3004</v>
      </c>
      <c r="U778" s="4" t="s">
        <v>1161</v>
      </c>
      <c r="V778" s="4" t="s">
        <v>3017</v>
      </c>
      <c r="W778" s="4" t="s">
        <v>3018</v>
      </c>
      <c r="X778" s="4" t="s">
        <v>1044</v>
      </c>
    </row>
    <row r="779" spans="2:24" ht="15" customHeight="1" x14ac:dyDescent="0.25">
      <c r="B779" s="3" t="s">
        <v>1714</v>
      </c>
      <c r="C779" s="1" t="s">
        <v>2533</v>
      </c>
      <c r="D779" s="2" t="s">
        <v>1044</v>
      </c>
      <c r="E779" s="1" t="s">
        <v>1054</v>
      </c>
      <c r="F779" s="2" t="s">
        <v>1372</v>
      </c>
      <c r="G779" s="1" t="s">
        <v>2534</v>
      </c>
      <c r="H779" s="1" t="s">
        <v>1046</v>
      </c>
      <c r="I779" s="13" t="str">
        <f t="shared" si="97"/>
        <v>2W</v>
      </c>
      <c r="J779" t="str">
        <f t="shared" si="98"/>
        <v>1824½</v>
      </c>
      <c r="K779" t="str">
        <f t="shared" si="99"/>
        <v>1825½</v>
      </c>
      <c r="L779" t="str">
        <f t="shared" si="100"/>
        <v>Plat 5</v>
      </c>
      <c r="M779" s="8" t="str">
        <f t="shared" si="101"/>
        <v xml:space="preserve"> 5</v>
      </c>
      <c r="N779" s="4" t="s">
        <v>1372</v>
      </c>
      <c r="O779"/>
    </row>
    <row r="780" spans="2:24" ht="15" customHeight="1" x14ac:dyDescent="0.25">
      <c r="B780" s="3" t="s">
        <v>2535</v>
      </c>
      <c r="C780" s="1" t="s">
        <v>2536</v>
      </c>
      <c r="D780" s="2" t="s">
        <v>1058</v>
      </c>
      <c r="E780" s="1" t="s">
        <v>1047</v>
      </c>
      <c r="F780" s="2" t="s">
        <v>1372</v>
      </c>
      <c r="G780" s="1" t="s">
        <v>2534</v>
      </c>
      <c r="H780" s="1" t="s">
        <v>1046</v>
      </c>
      <c r="I780" s="13" t="str">
        <f t="shared" si="97"/>
        <v>1K</v>
      </c>
      <c r="J780" t="str">
        <f t="shared" si="98"/>
        <v xml:space="preserve">1825 </v>
      </c>
      <c r="K780" t="str">
        <f t="shared" si="99"/>
        <v>1825½</v>
      </c>
      <c r="L780" t="str">
        <f t="shared" si="100"/>
        <v>Plat 9</v>
      </c>
      <c r="M780" s="8" t="str">
        <f t="shared" si="101"/>
        <v xml:space="preserve"> 9</v>
      </c>
      <c r="N780" s="4" t="s">
        <v>1372</v>
      </c>
      <c r="O780"/>
    </row>
    <row r="781" spans="2:24" ht="15" customHeight="1" x14ac:dyDescent="0.25">
      <c r="B781" s="3" t="s">
        <v>2537</v>
      </c>
      <c r="C781" s="1" t="s">
        <v>2538</v>
      </c>
      <c r="D781" s="2" t="s">
        <v>1372</v>
      </c>
      <c r="E781" s="1" t="s">
        <v>1156</v>
      </c>
      <c r="F781" s="2" t="s">
        <v>1242</v>
      </c>
      <c r="G781" s="1" t="s">
        <v>2539</v>
      </c>
      <c r="H781" s="1" t="s">
        <v>1046</v>
      </c>
      <c r="I781" s="13" t="str">
        <f t="shared" si="97"/>
        <v>1Y</v>
      </c>
      <c r="J781" t="str">
        <f t="shared" si="98"/>
        <v>1826½</v>
      </c>
      <c r="K781" t="str">
        <f t="shared" si="99"/>
        <v>1827½</v>
      </c>
      <c r="L781" t="str">
        <f t="shared" si="100"/>
        <v>Plat10</v>
      </c>
      <c r="M781" s="8" t="str">
        <f t="shared" si="101"/>
        <v>10</v>
      </c>
      <c r="N781" t="s">
        <v>1473</v>
      </c>
      <c r="O781" t="s">
        <v>3002</v>
      </c>
      <c r="P781" t="s">
        <v>1091</v>
      </c>
      <c r="Q781" t="s">
        <v>3006</v>
      </c>
      <c r="R781" t="s">
        <v>1242</v>
      </c>
    </row>
    <row r="782" spans="2:24" ht="15" customHeight="1" x14ac:dyDescent="0.25">
      <c r="B782" s="3" t="s">
        <v>2540</v>
      </c>
      <c r="C782" s="1" t="s">
        <v>2538</v>
      </c>
      <c r="D782" s="2" t="s">
        <v>1372</v>
      </c>
      <c r="E782" s="1" t="s">
        <v>1043</v>
      </c>
      <c r="F782" s="2" t="s">
        <v>1161</v>
      </c>
      <c r="G782" s="1" t="s">
        <v>2541</v>
      </c>
      <c r="H782" s="1" t="s">
        <v>1046</v>
      </c>
      <c r="I782" s="13" t="str">
        <f t="shared" si="97"/>
        <v>2C</v>
      </c>
      <c r="J782" t="str">
        <f t="shared" si="98"/>
        <v>1826½</v>
      </c>
      <c r="K782" t="str">
        <f t="shared" si="99"/>
        <v>1828½</v>
      </c>
      <c r="L782" t="str">
        <f t="shared" si="100"/>
        <v>Plat 8</v>
      </c>
      <c r="M782" s="8" t="str">
        <f t="shared" si="101"/>
        <v xml:space="preserve"> 8</v>
      </c>
      <c r="N782" t="s">
        <v>3012</v>
      </c>
      <c r="O782" t="s">
        <v>3013</v>
      </c>
      <c r="P782" t="s">
        <v>1181</v>
      </c>
      <c r="Q782" t="s">
        <v>3016</v>
      </c>
      <c r="R782" t="s">
        <v>3004</v>
      </c>
      <c r="S782" t="s">
        <v>1161</v>
      </c>
    </row>
    <row r="783" spans="2:24" ht="15" customHeight="1" x14ac:dyDescent="0.25">
      <c r="B783" s="3" t="s">
        <v>2542</v>
      </c>
      <c r="C783" s="1" t="s">
        <v>2543</v>
      </c>
      <c r="D783" s="2" t="s">
        <v>1074</v>
      </c>
      <c r="E783" s="1" t="s">
        <v>1075</v>
      </c>
      <c r="F783" s="1" t="s">
        <v>1051</v>
      </c>
      <c r="G783" s="1"/>
      <c r="H783" s="1" t="s">
        <v>1040</v>
      </c>
      <c r="I783" s="13" t="str">
        <f t="shared" si="97"/>
        <v>2N</v>
      </c>
      <c r="J783" t="str">
        <f t="shared" si="98"/>
        <v xml:space="preserve">1829 </v>
      </c>
      <c r="K783" t="str">
        <f t="shared" si="99"/>
        <v/>
      </c>
      <c r="L783" t="str">
        <f t="shared" si="100"/>
        <v>Plat 2</v>
      </c>
      <c r="M783" s="8" t="str">
        <f t="shared" si="101"/>
        <v xml:space="preserve"> 2</v>
      </c>
      <c r="O783"/>
    </row>
    <row r="784" spans="2:24" ht="15" customHeight="1" x14ac:dyDescent="0.25">
      <c r="B784" s="3" t="s">
        <v>2544</v>
      </c>
      <c r="C784" s="1" t="s">
        <v>2545</v>
      </c>
      <c r="D784" s="2" t="s">
        <v>1372</v>
      </c>
      <c r="E784" s="1" t="s">
        <v>1156</v>
      </c>
      <c r="F784" s="2" t="s">
        <v>3005</v>
      </c>
      <c r="G784" s="1" t="s">
        <v>2546</v>
      </c>
      <c r="H784" s="1" t="s">
        <v>1046</v>
      </c>
      <c r="I784" s="13" t="str">
        <f t="shared" si="97"/>
        <v>1A</v>
      </c>
      <c r="J784" t="str">
        <f t="shared" si="98"/>
        <v>1828½</v>
      </c>
      <c r="K784" t="str">
        <f t="shared" si="99"/>
        <v>1829½</v>
      </c>
      <c r="L784" t="str">
        <f t="shared" si="100"/>
        <v>Plat10</v>
      </c>
      <c r="M784" s="8" t="str">
        <f t="shared" si="101"/>
        <v>10</v>
      </c>
      <c r="N784" t="s">
        <v>1044</v>
      </c>
      <c r="O784" t="s">
        <v>2999</v>
      </c>
      <c r="P784" t="s">
        <v>1473</v>
      </c>
      <c r="Q784" t="s">
        <v>3001</v>
      </c>
      <c r="R784" t="s">
        <v>3002</v>
      </c>
      <c r="S784" t="s">
        <v>3003</v>
      </c>
      <c r="T784" t="s">
        <v>1091</v>
      </c>
      <c r="U784" t="s">
        <v>3006</v>
      </c>
      <c r="V784" t="s">
        <v>3005</v>
      </c>
    </row>
    <row r="785" spans="2:27" ht="15" customHeight="1" x14ac:dyDescent="0.25">
      <c r="B785" s="3" t="s">
        <v>2547</v>
      </c>
      <c r="C785" s="1"/>
      <c r="D785" s="1" t="s">
        <v>1037</v>
      </c>
      <c r="E785" s="1" t="s">
        <v>1038</v>
      </c>
      <c r="F785" s="2" t="s">
        <v>1039</v>
      </c>
      <c r="G785" s="1" t="s">
        <v>740</v>
      </c>
      <c r="H785" s="1" t="s">
        <v>1040</v>
      </c>
      <c r="I785" s="13" t="str">
        <f t="shared" si="97"/>
        <v>2Y</v>
      </c>
      <c r="J785" t="str">
        <f t="shared" si="98"/>
        <v/>
      </c>
      <c r="K785" t="str">
        <f t="shared" si="99"/>
        <v xml:space="preserve">1830 </v>
      </c>
      <c r="L785" t="str">
        <f t="shared" si="100"/>
        <v>Plat 1</v>
      </c>
      <c r="M785" s="8" t="str">
        <f t="shared" si="101"/>
        <v xml:space="preserve"> 1</v>
      </c>
      <c r="N785" s="4" t="s">
        <v>3010</v>
      </c>
      <c r="O785" s="15" t="s">
        <v>3011</v>
      </c>
    </row>
    <row r="786" spans="2:27" ht="15" customHeight="1" x14ac:dyDescent="0.25">
      <c r="B786" s="3" t="s">
        <v>2548</v>
      </c>
      <c r="C786" s="1" t="s">
        <v>740</v>
      </c>
      <c r="D786" s="2" t="s">
        <v>1161</v>
      </c>
      <c r="E786" s="1" t="s">
        <v>1054</v>
      </c>
      <c r="F786" s="2" t="s">
        <v>1372</v>
      </c>
      <c r="G786" s="1" t="s">
        <v>2549</v>
      </c>
      <c r="H786" s="1" t="s">
        <v>1046</v>
      </c>
      <c r="I786" s="13" t="str">
        <f t="shared" si="97"/>
        <v>2C</v>
      </c>
      <c r="J786" t="str">
        <f t="shared" si="98"/>
        <v xml:space="preserve">1830 </v>
      </c>
      <c r="K786" t="str">
        <f t="shared" si="99"/>
        <v xml:space="preserve">1832 </v>
      </c>
      <c r="L786" t="str">
        <f t="shared" si="100"/>
        <v>Plat 5</v>
      </c>
      <c r="M786" s="8" t="str">
        <f t="shared" si="101"/>
        <v xml:space="preserve"> 5</v>
      </c>
      <c r="N786" s="4" t="s">
        <v>1372</v>
      </c>
      <c r="O786"/>
    </row>
    <row r="787" spans="2:27" ht="15" customHeight="1" x14ac:dyDescent="0.25">
      <c r="B787" s="3" t="s">
        <v>2550</v>
      </c>
      <c r="C787" s="1" t="s">
        <v>2551</v>
      </c>
      <c r="D787" s="2" t="s">
        <v>1372</v>
      </c>
      <c r="E787" s="1" t="s">
        <v>1156</v>
      </c>
      <c r="F787" s="2" t="s">
        <v>1058</v>
      </c>
      <c r="G787" s="1" t="s">
        <v>2552</v>
      </c>
      <c r="H787" s="1" t="s">
        <v>1046</v>
      </c>
      <c r="I787" s="13" t="str">
        <f t="shared" si="97"/>
        <v>1K</v>
      </c>
      <c r="J787" t="str">
        <f t="shared" si="98"/>
        <v>1832½</v>
      </c>
      <c r="K787" t="str">
        <f t="shared" si="99"/>
        <v>1833½</v>
      </c>
      <c r="L787" t="str">
        <f t="shared" si="100"/>
        <v>Plat10</v>
      </c>
      <c r="M787" s="8" t="str">
        <f t="shared" si="101"/>
        <v>10</v>
      </c>
      <c r="N787" s="4" t="s">
        <v>1044</v>
      </c>
      <c r="O787" s="4" t="s">
        <v>3019</v>
      </c>
      <c r="P787" s="4" t="s">
        <v>3020</v>
      </c>
      <c r="Q787" s="4" t="s">
        <v>3021</v>
      </c>
      <c r="R787" s="4" t="s">
        <v>3022</v>
      </c>
      <c r="S787" s="4" t="s">
        <v>3023</v>
      </c>
      <c r="T787" s="4" t="s">
        <v>3024</v>
      </c>
      <c r="U787" s="4" t="s">
        <v>3025</v>
      </c>
      <c r="V787" s="4" t="s">
        <v>1058</v>
      </c>
    </row>
    <row r="788" spans="2:27" ht="15" customHeight="1" x14ac:dyDescent="0.25">
      <c r="B788" s="3" t="s">
        <v>2553</v>
      </c>
      <c r="C788" s="1" t="s">
        <v>2554</v>
      </c>
      <c r="D788" s="2" t="s">
        <v>1039</v>
      </c>
      <c r="E788" s="1" t="s">
        <v>1050</v>
      </c>
      <c r="F788" s="1" t="s">
        <v>1051</v>
      </c>
      <c r="G788" s="1"/>
      <c r="H788" s="1" t="s">
        <v>1040</v>
      </c>
      <c r="I788" s="13" t="str">
        <f t="shared" si="97"/>
        <v>2L</v>
      </c>
      <c r="J788" t="str">
        <f t="shared" si="98"/>
        <v xml:space="preserve">1834 </v>
      </c>
      <c r="K788" t="str">
        <f t="shared" si="99"/>
        <v/>
      </c>
      <c r="L788" t="str">
        <f t="shared" si="100"/>
        <v>Plat 1</v>
      </c>
      <c r="M788" s="8" t="str">
        <f t="shared" si="101"/>
        <v xml:space="preserve"> 1</v>
      </c>
      <c r="O788"/>
    </row>
    <row r="789" spans="2:27" ht="15" customHeight="1" x14ac:dyDescent="0.25">
      <c r="B789" s="3" t="s">
        <v>1721</v>
      </c>
      <c r="C789" s="1" t="s">
        <v>2555</v>
      </c>
      <c r="D789" s="2" t="s">
        <v>1372</v>
      </c>
      <c r="E789" s="1" t="s">
        <v>1043</v>
      </c>
      <c r="F789" s="2" t="s">
        <v>1044</v>
      </c>
      <c r="G789" s="1" t="s">
        <v>2556</v>
      </c>
      <c r="H789" s="1" t="s">
        <v>1046</v>
      </c>
      <c r="I789" s="13" t="str">
        <f t="shared" si="97"/>
        <v>2W</v>
      </c>
      <c r="J789" t="str">
        <f t="shared" si="98"/>
        <v>1833½</v>
      </c>
      <c r="K789" t="str">
        <f t="shared" si="99"/>
        <v>1834½</v>
      </c>
      <c r="L789" t="str">
        <f t="shared" si="100"/>
        <v>Plat 8</v>
      </c>
      <c r="M789" s="8" t="str">
        <f t="shared" si="101"/>
        <v xml:space="preserve"> 8</v>
      </c>
      <c r="N789" s="4" t="s">
        <v>3012</v>
      </c>
      <c r="O789" s="4" t="s">
        <v>3013</v>
      </c>
      <c r="P789" s="4" t="s">
        <v>1181</v>
      </c>
      <c r="Q789" s="4" t="s">
        <v>3014</v>
      </c>
      <c r="R789" s="4" t="s">
        <v>3015</v>
      </c>
      <c r="S789" s="4" t="s">
        <v>3016</v>
      </c>
      <c r="T789" s="4" t="s">
        <v>3004</v>
      </c>
      <c r="U789" s="4" t="s">
        <v>1161</v>
      </c>
      <c r="V789" s="4" t="s">
        <v>3017</v>
      </c>
      <c r="W789" s="4" t="s">
        <v>3018</v>
      </c>
      <c r="X789" s="4" t="s">
        <v>1044</v>
      </c>
    </row>
    <row r="790" spans="2:27" ht="15" customHeight="1" x14ac:dyDescent="0.25">
      <c r="B790" s="3" t="s">
        <v>1724</v>
      </c>
      <c r="C790" s="1" t="s">
        <v>2557</v>
      </c>
      <c r="D790" s="2" t="s">
        <v>1044</v>
      </c>
      <c r="E790" s="1" t="s">
        <v>1054</v>
      </c>
      <c r="F790" s="2" t="s">
        <v>1372</v>
      </c>
      <c r="G790" s="1" t="s">
        <v>2558</v>
      </c>
      <c r="H790" s="1" t="s">
        <v>1046</v>
      </c>
      <c r="I790" s="13" t="str">
        <f t="shared" si="97"/>
        <v>2W</v>
      </c>
      <c r="J790" t="str">
        <f t="shared" si="98"/>
        <v>1834½</v>
      </c>
      <c r="K790" t="str">
        <f t="shared" si="99"/>
        <v>1835½</v>
      </c>
      <c r="L790" t="str">
        <f t="shared" si="100"/>
        <v>Plat 5</v>
      </c>
      <c r="M790" s="8" t="str">
        <f t="shared" si="101"/>
        <v xml:space="preserve"> 5</v>
      </c>
      <c r="N790" s="4" t="s">
        <v>1372</v>
      </c>
      <c r="O790"/>
    </row>
    <row r="791" spans="2:27" ht="15" customHeight="1" x14ac:dyDescent="0.25">
      <c r="B791" s="3" t="s">
        <v>2559</v>
      </c>
      <c r="C791" s="1" t="s">
        <v>2560</v>
      </c>
      <c r="D791" s="2" t="s">
        <v>1237</v>
      </c>
      <c r="E791" s="1" t="s">
        <v>1047</v>
      </c>
      <c r="F791" s="2" t="s">
        <v>1372</v>
      </c>
      <c r="G791" s="1" t="s">
        <v>2561</v>
      </c>
      <c r="H791" s="1" t="s">
        <v>1046</v>
      </c>
      <c r="I791" s="13" t="str">
        <f t="shared" si="97"/>
        <v>2F</v>
      </c>
      <c r="J791" t="str">
        <f t="shared" si="98"/>
        <v xml:space="preserve">1836 </v>
      </c>
      <c r="K791" t="str">
        <f t="shared" si="99"/>
        <v>1836½</v>
      </c>
      <c r="L791" t="str">
        <f t="shared" si="100"/>
        <v>Plat 9</v>
      </c>
      <c r="M791" s="8" t="str">
        <f t="shared" si="101"/>
        <v xml:space="preserve"> 9</v>
      </c>
      <c r="N791" s="4" t="s">
        <v>1372</v>
      </c>
      <c r="O791"/>
    </row>
    <row r="792" spans="2:27" ht="15" customHeight="1" x14ac:dyDescent="0.25">
      <c r="B792" s="3" t="s">
        <v>1218</v>
      </c>
      <c r="C792" s="1"/>
      <c r="D792" s="1" t="s">
        <v>1037</v>
      </c>
      <c r="E792" s="1" t="s">
        <v>1061</v>
      </c>
      <c r="F792" s="2" t="s">
        <v>1074</v>
      </c>
      <c r="G792" s="1" t="s">
        <v>746</v>
      </c>
      <c r="H792" s="1" t="s">
        <v>1040</v>
      </c>
      <c r="I792" s="13" t="str">
        <f t="shared" si="97"/>
        <v>2N</v>
      </c>
      <c r="J792" t="str">
        <f t="shared" si="98"/>
        <v/>
      </c>
      <c r="K792" t="str">
        <f t="shared" si="99"/>
        <v xml:space="preserve">1837 </v>
      </c>
      <c r="L792" t="str">
        <f t="shared" si="100"/>
        <v>Plat 2</v>
      </c>
      <c r="M792" s="8" t="str">
        <f t="shared" si="101"/>
        <v xml:space="preserve"> 2</v>
      </c>
      <c r="N792" s="4" t="s">
        <v>3010</v>
      </c>
      <c r="O792" s="15" t="s">
        <v>3011</v>
      </c>
    </row>
    <row r="793" spans="2:27" ht="15" customHeight="1" x14ac:dyDescent="0.25">
      <c r="B793" s="3" t="s">
        <v>2562</v>
      </c>
      <c r="C793" s="1" t="s">
        <v>748</v>
      </c>
      <c r="D793" s="2" t="s">
        <v>1254</v>
      </c>
      <c r="E793" s="1" t="s">
        <v>2148</v>
      </c>
      <c r="F793" s="1" t="s">
        <v>1051</v>
      </c>
      <c r="G793" s="1"/>
      <c r="H793" s="1" t="s">
        <v>1046</v>
      </c>
      <c r="I793" s="13" t="str">
        <f t="shared" si="97"/>
        <v>2S</v>
      </c>
      <c r="J793" t="str">
        <f t="shared" si="98"/>
        <v xml:space="preserve">1838 </v>
      </c>
      <c r="K793" t="str">
        <f t="shared" si="99"/>
        <v/>
      </c>
      <c r="L793" t="str">
        <f t="shared" si="100"/>
        <v>Plat11</v>
      </c>
      <c r="M793" s="8" t="str">
        <f t="shared" si="101"/>
        <v>11</v>
      </c>
      <c r="O793"/>
    </row>
    <row r="794" spans="2:27" ht="15" customHeight="1" x14ac:dyDescent="0.25">
      <c r="B794" s="3" t="s">
        <v>2563</v>
      </c>
      <c r="C794" s="1" t="s">
        <v>2564</v>
      </c>
      <c r="D794" s="2" t="s">
        <v>1372</v>
      </c>
      <c r="E794" s="1" t="s">
        <v>1043</v>
      </c>
      <c r="F794" s="2" t="s">
        <v>1161</v>
      </c>
      <c r="G794" s="1" t="s">
        <v>2565</v>
      </c>
      <c r="H794" s="1" t="s">
        <v>1046</v>
      </c>
      <c r="I794" s="13" t="str">
        <f t="shared" si="97"/>
        <v>2C</v>
      </c>
      <c r="J794" t="str">
        <f t="shared" si="98"/>
        <v>1836½</v>
      </c>
      <c r="K794" t="str">
        <f t="shared" si="99"/>
        <v>1838½</v>
      </c>
      <c r="L794" t="str">
        <f t="shared" si="100"/>
        <v>Plat 8</v>
      </c>
      <c r="M794" s="8" t="str">
        <f t="shared" si="101"/>
        <v xml:space="preserve"> 8</v>
      </c>
      <c r="N794" t="s">
        <v>3012</v>
      </c>
      <c r="O794" t="s">
        <v>3013</v>
      </c>
      <c r="P794" t="s">
        <v>1181</v>
      </c>
      <c r="Q794" t="s">
        <v>3016</v>
      </c>
      <c r="R794" t="s">
        <v>3004</v>
      </c>
      <c r="S794" t="s">
        <v>1161</v>
      </c>
    </row>
    <row r="795" spans="2:27" ht="15" customHeight="1" x14ac:dyDescent="0.25">
      <c r="B795" s="3" t="s">
        <v>2566</v>
      </c>
      <c r="C795" s="1" t="s">
        <v>2567</v>
      </c>
      <c r="D795" s="2" t="s">
        <v>1058</v>
      </c>
      <c r="E795" s="1" t="s">
        <v>1047</v>
      </c>
      <c r="F795" s="2" t="s">
        <v>1372</v>
      </c>
      <c r="G795" s="1" t="s">
        <v>2568</v>
      </c>
      <c r="H795" s="1" t="s">
        <v>1046</v>
      </c>
      <c r="I795" s="13" t="str">
        <f t="shared" si="97"/>
        <v>1K</v>
      </c>
      <c r="J795" t="str">
        <f t="shared" si="98"/>
        <v xml:space="preserve">1839 </v>
      </c>
      <c r="K795" t="str">
        <f t="shared" si="99"/>
        <v>1839½</v>
      </c>
      <c r="L795" t="str">
        <f t="shared" si="100"/>
        <v>Plat 9</v>
      </c>
      <c r="M795" s="8" t="str">
        <f t="shared" si="101"/>
        <v xml:space="preserve"> 9</v>
      </c>
      <c r="N795" s="4" t="s">
        <v>1372</v>
      </c>
      <c r="O795"/>
    </row>
    <row r="796" spans="2:27" ht="15" customHeight="1" x14ac:dyDescent="0.25">
      <c r="B796" s="3" t="s">
        <v>2569</v>
      </c>
      <c r="C796" s="1" t="s">
        <v>2570</v>
      </c>
      <c r="D796" s="2" t="s">
        <v>1062</v>
      </c>
      <c r="E796" s="1" t="s">
        <v>1075</v>
      </c>
      <c r="F796" s="1" t="s">
        <v>1051</v>
      </c>
      <c r="G796" s="1"/>
      <c r="H796" s="1" t="s">
        <v>1040</v>
      </c>
      <c r="I796" s="13" t="str">
        <f t="shared" si="97"/>
        <v>2G</v>
      </c>
      <c r="J796" t="str">
        <f t="shared" si="98"/>
        <v xml:space="preserve">1840 </v>
      </c>
      <c r="K796" t="str">
        <f t="shared" si="99"/>
        <v/>
      </c>
      <c r="L796" t="str">
        <f t="shared" si="100"/>
        <v>Plat 2</v>
      </c>
      <c r="M796" s="8" t="str">
        <f t="shared" si="101"/>
        <v xml:space="preserve"> 2</v>
      </c>
      <c r="O796"/>
    </row>
    <row r="797" spans="2:27" ht="15" customHeight="1" x14ac:dyDescent="0.25">
      <c r="B797" s="3" t="s">
        <v>2571</v>
      </c>
      <c r="C797" s="1" t="s">
        <v>2572</v>
      </c>
      <c r="D797" s="2" t="s">
        <v>1372</v>
      </c>
      <c r="E797" s="1" t="s">
        <v>1156</v>
      </c>
      <c r="F797" s="2" t="s">
        <v>2573</v>
      </c>
      <c r="G797" s="1" t="s">
        <v>2574</v>
      </c>
      <c r="H797" s="1" t="s">
        <v>1046</v>
      </c>
      <c r="I797" s="13" t="str">
        <f t="shared" si="97"/>
        <v>1N</v>
      </c>
      <c r="J797" t="str">
        <f t="shared" si="98"/>
        <v>1839½</v>
      </c>
      <c r="K797" t="str">
        <f t="shared" si="99"/>
        <v>1840½</v>
      </c>
      <c r="L797" t="str">
        <f t="shared" si="100"/>
        <v>Plat10</v>
      </c>
      <c r="M797" s="8" t="str">
        <f t="shared" si="101"/>
        <v>10</v>
      </c>
      <c r="N797" t="s">
        <v>1473</v>
      </c>
      <c r="O797" t="s">
        <v>3000</v>
      </c>
      <c r="P797" t="s">
        <v>3001</v>
      </c>
      <c r="Q797" t="s">
        <v>3002</v>
      </c>
      <c r="R797" t="s">
        <v>1091</v>
      </c>
      <c r="S797" t="s">
        <v>3031</v>
      </c>
      <c r="T797" t="s">
        <v>3032</v>
      </c>
      <c r="U797" t="s">
        <v>3033</v>
      </c>
      <c r="V797" t="s">
        <v>3034</v>
      </c>
      <c r="W797" t="s">
        <v>3035</v>
      </c>
      <c r="X797" t="s">
        <v>3036</v>
      </c>
      <c r="Y797" t="s">
        <v>3037</v>
      </c>
      <c r="Z797" t="s">
        <v>3036</v>
      </c>
      <c r="AA797" t="s">
        <v>3038</v>
      </c>
    </row>
    <row r="798" spans="2:27" ht="15" customHeight="1" x14ac:dyDescent="0.25">
      <c r="B798" s="3" t="s">
        <v>2575</v>
      </c>
      <c r="C798" s="1"/>
      <c r="D798" s="1" t="s">
        <v>1037</v>
      </c>
      <c r="E798" s="1" t="s">
        <v>1038</v>
      </c>
      <c r="F798" s="2" t="s">
        <v>1062</v>
      </c>
      <c r="G798" s="1" t="s">
        <v>2576</v>
      </c>
      <c r="H798" s="1" t="s">
        <v>1040</v>
      </c>
      <c r="I798" s="13" t="str">
        <f t="shared" si="97"/>
        <v>2G</v>
      </c>
      <c r="J798" t="str">
        <f t="shared" si="98"/>
        <v/>
      </c>
      <c r="K798" t="str">
        <f t="shared" si="99"/>
        <v xml:space="preserve">1841 </v>
      </c>
      <c r="L798" t="str">
        <f t="shared" si="100"/>
        <v>Plat 1</v>
      </c>
      <c r="M798" s="8" t="str">
        <f t="shared" si="101"/>
        <v xml:space="preserve"> 1</v>
      </c>
      <c r="N798" s="4" t="s">
        <v>3010</v>
      </c>
      <c r="O798" s="15" t="s">
        <v>3011</v>
      </c>
    </row>
    <row r="799" spans="2:27" ht="15" customHeight="1" x14ac:dyDescent="0.25">
      <c r="B799" s="3" t="s">
        <v>2577</v>
      </c>
      <c r="C799" s="1" t="s">
        <v>2578</v>
      </c>
      <c r="D799" s="2" t="s">
        <v>1161</v>
      </c>
      <c r="E799" s="1" t="s">
        <v>1054</v>
      </c>
      <c r="F799" s="2" t="s">
        <v>1372</v>
      </c>
      <c r="G799" s="1" t="s">
        <v>749</v>
      </c>
      <c r="H799" s="1" t="s">
        <v>1046</v>
      </c>
      <c r="I799" s="13" t="str">
        <f t="shared" si="97"/>
        <v>2C</v>
      </c>
      <c r="J799" t="str">
        <f t="shared" si="98"/>
        <v xml:space="preserve">1840 </v>
      </c>
      <c r="K799" t="str">
        <f t="shared" si="99"/>
        <v xml:space="preserve">1842 </v>
      </c>
      <c r="L799" t="str">
        <f t="shared" si="100"/>
        <v>Plat 5</v>
      </c>
      <c r="M799" s="8" t="str">
        <f t="shared" si="101"/>
        <v xml:space="preserve"> 5</v>
      </c>
      <c r="N799" s="4" t="s">
        <v>1372</v>
      </c>
      <c r="O799"/>
    </row>
    <row r="800" spans="2:27" ht="15" customHeight="1" x14ac:dyDescent="0.25">
      <c r="B800" s="3" t="s">
        <v>810</v>
      </c>
      <c r="C800" s="1" t="s">
        <v>749</v>
      </c>
      <c r="D800" s="2" t="s">
        <v>1304</v>
      </c>
      <c r="E800" s="1" t="s">
        <v>1047</v>
      </c>
      <c r="F800" s="2" t="s">
        <v>1372</v>
      </c>
      <c r="G800" s="1" t="s">
        <v>2579</v>
      </c>
      <c r="H800" s="1" t="s">
        <v>1046</v>
      </c>
      <c r="I800" s="13" t="str">
        <f t="shared" si="97"/>
        <v>1F</v>
      </c>
      <c r="J800" t="str">
        <f t="shared" si="98"/>
        <v xml:space="preserve">1842 </v>
      </c>
      <c r="K800" t="str">
        <f t="shared" si="99"/>
        <v>1842½</v>
      </c>
      <c r="L800" t="str">
        <f t="shared" si="100"/>
        <v>Plat 9</v>
      </c>
      <c r="M800" s="8" t="str">
        <f t="shared" si="101"/>
        <v xml:space="preserve"> 9</v>
      </c>
      <c r="N800" s="4" t="s">
        <v>1372</v>
      </c>
      <c r="O800"/>
    </row>
    <row r="801" spans="2:25" ht="15" customHeight="1" x14ac:dyDescent="0.25">
      <c r="B801" s="3" t="s">
        <v>2580</v>
      </c>
      <c r="C801" s="1" t="s">
        <v>2581</v>
      </c>
      <c r="D801" s="2" t="s">
        <v>1372</v>
      </c>
      <c r="E801" s="1" t="s">
        <v>1156</v>
      </c>
      <c r="F801" s="2" t="s">
        <v>1058</v>
      </c>
      <c r="G801" s="1" t="s">
        <v>2582</v>
      </c>
      <c r="H801" s="1" t="s">
        <v>1046</v>
      </c>
      <c r="I801" s="13" t="str">
        <f t="shared" si="97"/>
        <v>1K</v>
      </c>
      <c r="J801" t="str">
        <f t="shared" si="98"/>
        <v>1842½</v>
      </c>
      <c r="K801" t="str">
        <f t="shared" si="99"/>
        <v>1843½</v>
      </c>
      <c r="L801" t="str">
        <f t="shared" si="100"/>
        <v>Plat10</v>
      </c>
      <c r="M801" s="8" t="str">
        <f t="shared" si="101"/>
        <v>10</v>
      </c>
      <c r="N801" s="4" t="s">
        <v>1044</v>
      </c>
      <c r="O801" s="4" t="s">
        <v>3019</v>
      </c>
      <c r="P801" s="4" t="s">
        <v>3020</v>
      </c>
      <c r="Q801" s="4" t="s">
        <v>3021</v>
      </c>
      <c r="R801" s="4" t="s">
        <v>3022</v>
      </c>
      <c r="S801" s="4" t="s">
        <v>3023</v>
      </c>
      <c r="T801" s="4" t="s">
        <v>3024</v>
      </c>
      <c r="U801" s="4" t="s">
        <v>3025</v>
      </c>
      <c r="V801" s="4" t="s">
        <v>1058</v>
      </c>
    </row>
    <row r="802" spans="2:25" ht="15" customHeight="1" x14ac:dyDescent="0.25">
      <c r="B802" s="3" t="s">
        <v>2583</v>
      </c>
      <c r="C802" s="1" t="s">
        <v>2584</v>
      </c>
      <c r="D802" s="2" t="s">
        <v>1074</v>
      </c>
      <c r="E802" s="1" t="s">
        <v>1050</v>
      </c>
      <c r="F802" s="1" t="s">
        <v>1051</v>
      </c>
      <c r="G802" s="1"/>
      <c r="H802" s="1" t="s">
        <v>1040</v>
      </c>
      <c r="I802" s="13" t="str">
        <f t="shared" si="97"/>
        <v>2N</v>
      </c>
      <c r="J802" t="str">
        <f t="shared" si="98"/>
        <v xml:space="preserve">1844 </v>
      </c>
      <c r="K802" t="str">
        <f t="shared" si="99"/>
        <v/>
      </c>
      <c r="L802" t="str">
        <f t="shared" si="100"/>
        <v>Plat 1</v>
      </c>
      <c r="M802" s="8" t="str">
        <f t="shared" si="101"/>
        <v xml:space="preserve"> 1</v>
      </c>
      <c r="O802"/>
    </row>
    <row r="803" spans="2:25" ht="15" customHeight="1" x14ac:dyDescent="0.25">
      <c r="B803" s="3" t="s">
        <v>1739</v>
      </c>
      <c r="C803" s="1" t="s">
        <v>2585</v>
      </c>
      <c r="D803" s="2" t="s">
        <v>1372</v>
      </c>
      <c r="E803" s="1" t="s">
        <v>1043</v>
      </c>
      <c r="F803" s="2" t="s">
        <v>1044</v>
      </c>
      <c r="G803" s="1" t="s">
        <v>2586</v>
      </c>
      <c r="H803" s="1" t="s">
        <v>1046</v>
      </c>
      <c r="I803" s="13" t="str">
        <f t="shared" si="97"/>
        <v>2W</v>
      </c>
      <c r="J803" t="str">
        <f t="shared" si="98"/>
        <v>1843½</v>
      </c>
      <c r="K803" t="str">
        <f t="shared" si="99"/>
        <v>1844½</v>
      </c>
      <c r="L803" t="str">
        <f t="shared" si="100"/>
        <v>Plat 8</v>
      </c>
      <c r="M803" s="8" t="str">
        <f t="shared" si="101"/>
        <v xml:space="preserve"> 8</v>
      </c>
      <c r="N803" s="4" t="s">
        <v>3012</v>
      </c>
      <c r="O803" s="4" t="s">
        <v>3013</v>
      </c>
      <c r="P803" s="4" t="s">
        <v>1181</v>
      </c>
      <c r="Q803" s="4" t="s">
        <v>3014</v>
      </c>
      <c r="R803" s="4" t="s">
        <v>3015</v>
      </c>
      <c r="S803" s="4" t="s">
        <v>3016</v>
      </c>
      <c r="T803" s="4" t="s">
        <v>3004</v>
      </c>
      <c r="U803" s="4" t="s">
        <v>1161</v>
      </c>
      <c r="V803" s="4" t="s">
        <v>3017</v>
      </c>
      <c r="W803" s="4" t="s">
        <v>3018</v>
      </c>
      <c r="X803" s="4" t="s">
        <v>1044</v>
      </c>
    </row>
    <row r="804" spans="2:25" ht="15" customHeight="1" x14ac:dyDescent="0.25">
      <c r="B804" s="3" t="s">
        <v>2587</v>
      </c>
      <c r="C804" s="1"/>
      <c r="D804" s="1" t="s">
        <v>1037</v>
      </c>
      <c r="E804" s="1" t="s">
        <v>1061</v>
      </c>
      <c r="F804" s="2" t="s">
        <v>1039</v>
      </c>
      <c r="G804" s="1" t="s">
        <v>754</v>
      </c>
      <c r="H804" s="1" t="s">
        <v>1040</v>
      </c>
      <c r="I804" s="13" t="str">
        <f t="shared" si="97"/>
        <v>2Y</v>
      </c>
      <c r="J804" t="str">
        <f t="shared" si="98"/>
        <v/>
      </c>
      <c r="K804" t="str">
        <f t="shared" si="99"/>
        <v xml:space="preserve">1845 </v>
      </c>
      <c r="L804" t="str">
        <f t="shared" si="100"/>
        <v>Plat 2</v>
      </c>
      <c r="M804" s="8" t="str">
        <f t="shared" si="101"/>
        <v xml:space="preserve"> 2</v>
      </c>
      <c r="N804" s="4" t="s">
        <v>3010</v>
      </c>
      <c r="O804" s="15" t="s">
        <v>3011</v>
      </c>
    </row>
    <row r="805" spans="2:25" ht="15" customHeight="1" x14ac:dyDescent="0.25">
      <c r="B805" s="3" t="s">
        <v>1742</v>
      </c>
      <c r="C805" s="1" t="s">
        <v>751</v>
      </c>
      <c r="D805" s="2" t="s">
        <v>1044</v>
      </c>
      <c r="E805" s="1" t="s">
        <v>1054</v>
      </c>
      <c r="F805" s="2" t="s">
        <v>1372</v>
      </c>
      <c r="G805" s="1" t="s">
        <v>2588</v>
      </c>
      <c r="H805" s="1" t="s">
        <v>1046</v>
      </c>
      <c r="I805" s="13" t="str">
        <f t="shared" si="97"/>
        <v>2W</v>
      </c>
      <c r="J805" t="str">
        <f t="shared" si="98"/>
        <v>1844½</v>
      </c>
      <c r="K805" t="str">
        <f t="shared" si="99"/>
        <v>1845½</v>
      </c>
      <c r="L805" t="str">
        <f t="shared" si="100"/>
        <v>Plat 5</v>
      </c>
      <c r="M805" s="8" t="str">
        <f t="shared" si="101"/>
        <v xml:space="preserve"> 5</v>
      </c>
      <c r="N805" s="4" t="s">
        <v>1372</v>
      </c>
      <c r="O805"/>
    </row>
    <row r="806" spans="2:25" ht="15" customHeight="1" x14ac:dyDescent="0.25">
      <c r="B806" s="3" t="s">
        <v>2589</v>
      </c>
      <c r="C806" s="1" t="s">
        <v>754</v>
      </c>
      <c r="D806" s="2" t="s">
        <v>1066</v>
      </c>
      <c r="E806" s="1" t="s">
        <v>1047</v>
      </c>
      <c r="F806" s="2" t="s">
        <v>1372</v>
      </c>
      <c r="G806" s="1" t="s">
        <v>2669</v>
      </c>
      <c r="H806" s="1" t="s">
        <v>1046</v>
      </c>
      <c r="I806" s="13" t="str">
        <f t="shared" si="97"/>
        <v>1P</v>
      </c>
      <c r="J806" t="str">
        <f t="shared" si="98"/>
        <v xml:space="preserve">1845 </v>
      </c>
      <c r="K806" t="str">
        <f t="shared" si="99"/>
        <v xml:space="preserve">1846 </v>
      </c>
      <c r="L806" t="str">
        <f t="shared" si="100"/>
        <v>Plat 9</v>
      </c>
      <c r="M806" s="8" t="str">
        <f t="shared" si="101"/>
        <v xml:space="preserve"> 9</v>
      </c>
      <c r="N806" s="4" t="s">
        <v>1372</v>
      </c>
      <c r="O806"/>
    </row>
    <row r="807" spans="2:25" ht="15" customHeight="1" x14ac:dyDescent="0.25">
      <c r="B807" s="3" t="s">
        <v>2590</v>
      </c>
      <c r="C807" s="1" t="s">
        <v>2591</v>
      </c>
      <c r="D807" s="2" t="s">
        <v>1372</v>
      </c>
      <c r="E807" s="1" t="s">
        <v>1156</v>
      </c>
      <c r="F807" s="2" t="s">
        <v>1242</v>
      </c>
      <c r="G807" s="1" t="s">
        <v>2592</v>
      </c>
      <c r="H807" s="1" t="s">
        <v>1046</v>
      </c>
      <c r="I807" s="13" t="str">
        <f t="shared" si="97"/>
        <v>1Y</v>
      </c>
      <c r="J807" t="str">
        <f t="shared" si="98"/>
        <v>1845½</v>
      </c>
      <c r="K807" t="str">
        <f t="shared" si="99"/>
        <v>1846½</v>
      </c>
      <c r="L807" t="str">
        <f t="shared" si="100"/>
        <v>Plat10</v>
      </c>
      <c r="M807" s="8" t="str">
        <f t="shared" si="101"/>
        <v>10</v>
      </c>
      <c r="N807" t="s">
        <v>1044</v>
      </c>
      <c r="O807" t="s">
        <v>2999</v>
      </c>
      <c r="P807" t="s">
        <v>1473</v>
      </c>
      <c r="Q807" t="s">
        <v>3001</v>
      </c>
      <c r="R807" t="s">
        <v>3003</v>
      </c>
      <c r="S807" t="s">
        <v>1091</v>
      </c>
      <c r="T807" t="s">
        <v>3006</v>
      </c>
      <c r="U807" t="s">
        <v>1242</v>
      </c>
    </row>
    <row r="808" spans="2:25" ht="15" customHeight="1" x14ac:dyDescent="0.25">
      <c r="B808" s="3" t="s">
        <v>2593</v>
      </c>
      <c r="C808" s="1"/>
      <c r="D808" s="1" t="s">
        <v>1037</v>
      </c>
      <c r="E808" s="1" t="s">
        <v>2148</v>
      </c>
      <c r="F808" s="2" t="s">
        <v>1254</v>
      </c>
      <c r="G808" s="1" t="s">
        <v>2594</v>
      </c>
      <c r="H808" s="1" t="s">
        <v>1046</v>
      </c>
      <c r="I808" s="13" t="str">
        <f t="shared" ref="I808:I852" si="102">LEFT(B808,2)</f>
        <v>2S</v>
      </c>
      <c r="J808" t="str">
        <f t="shared" ref="J808:J852" si="103">LEFT(C808,5)</f>
        <v/>
      </c>
      <c r="K808" t="str">
        <f t="shared" ref="K808:K852" si="104">LEFT(G808,5)</f>
        <v xml:space="preserve">1847 </v>
      </c>
      <c r="L808" t="str">
        <f t="shared" ref="L808:L852" si="105">LEFT(E808,6)</f>
        <v>Plat11</v>
      </c>
      <c r="M808" s="8" t="str">
        <f t="shared" ref="M808:M852" si="106">RIGHT(L808,2)</f>
        <v>11</v>
      </c>
      <c r="N808" t="s">
        <v>2975</v>
      </c>
      <c r="O808" t="s">
        <v>3039</v>
      </c>
      <c r="P808" t="s">
        <v>3041</v>
      </c>
      <c r="Q808" t="s">
        <v>3040</v>
      </c>
      <c r="R808" t="s">
        <v>3042</v>
      </c>
      <c r="S808" t="s">
        <v>2978</v>
      </c>
      <c r="T808" t="s">
        <v>1298</v>
      </c>
      <c r="U808" t="s">
        <v>2979</v>
      </c>
      <c r="V808" t="s">
        <v>2980</v>
      </c>
      <c r="W808" t="s">
        <v>2981</v>
      </c>
      <c r="X808" t="s">
        <v>2982</v>
      </c>
      <c r="Y808" t="s">
        <v>1254</v>
      </c>
    </row>
    <row r="809" spans="2:25" ht="15" customHeight="1" x14ac:dyDescent="0.25">
      <c r="B809" s="3" t="s">
        <v>1757</v>
      </c>
      <c r="C809" s="1" t="s">
        <v>2595</v>
      </c>
      <c r="D809" s="2" t="s">
        <v>1372</v>
      </c>
      <c r="E809" s="1" t="s">
        <v>1043</v>
      </c>
      <c r="F809" s="2" t="s">
        <v>1044</v>
      </c>
      <c r="G809" s="1" t="s">
        <v>752</v>
      </c>
      <c r="H809" s="1" t="s">
        <v>1046</v>
      </c>
      <c r="I809" s="13" t="str">
        <f t="shared" si="102"/>
        <v>2W</v>
      </c>
      <c r="J809" t="str">
        <f t="shared" si="103"/>
        <v>1846½</v>
      </c>
      <c r="K809" t="str">
        <f t="shared" si="104"/>
        <v>1848½</v>
      </c>
      <c r="L809" t="str">
        <f t="shared" si="105"/>
        <v>Plat 8</v>
      </c>
      <c r="M809" s="8" t="str">
        <f t="shared" si="106"/>
        <v xml:space="preserve"> 8</v>
      </c>
      <c r="N809" s="4" t="s">
        <v>3012</v>
      </c>
      <c r="O809" s="4" t="s">
        <v>3013</v>
      </c>
      <c r="P809" s="4" t="s">
        <v>1181</v>
      </c>
      <c r="Q809" s="4" t="s">
        <v>3014</v>
      </c>
      <c r="R809" s="4" t="s">
        <v>3015</v>
      </c>
      <c r="S809" s="4" t="s">
        <v>3016</v>
      </c>
      <c r="T809" s="4" t="s">
        <v>3004</v>
      </c>
      <c r="U809" s="4" t="s">
        <v>1161</v>
      </c>
      <c r="V809" s="4" t="s">
        <v>3017</v>
      </c>
      <c r="W809" s="4" t="s">
        <v>3018</v>
      </c>
      <c r="X809" s="4" t="s">
        <v>1044</v>
      </c>
    </row>
    <row r="810" spans="2:25" ht="15" customHeight="1" x14ac:dyDescent="0.25">
      <c r="B810" s="3" t="s">
        <v>2596</v>
      </c>
      <c r="C810" s="1" t="s">
        <v>2597</v>
      </c>
      <c r="D810" s="2" t="s">
        <v>1039</v>
      </c>
      <c r="E810" s="1" t="s">
        <v>1075</v>
      </c>
      <c r="F810" s="1" t="s">
        <v>1051</v>
      </c>
      <c r="G810" s="1"/>
      <c r="H810" s="1" t="s">
        <v>1040</v>
      </c>
      <c r="I810" s="13" t="str">
        <f t="shared" si="102"/>
        <v>2L</v>
      </c>
      <c r="J810" t="str">
        <f t="shared" si="103"/>
        <v xml:space="preserve">1849 </v>
      </c>
      <c r="K810" t="str">
        <f t="shared" si="104"/>
        <v/>
      </c>
      <c r="L810" t="str">
        <f t="shared" si="105"/>
        <v>Plat 2</v>
      </c>
      <c r="M810" s="8" t="str">
        <f t="shared" si="106"/>
        <v xml:space="preserve"> 2</v>
      </c>
      <c r="O810"/>
    </row>
    <row r="811" spans="2:25" ht="15" customHeight="1" x14ac:dyDescent="0.25">
      <c r="B811" s="3" t="s">
        <v>657</v>
      </c>
      <c r="C811" s="1" t="s">
        <v>2598</v>
      </c>
      <c r="D811" s="2" t="s">
        <v>1372</v>
      </c>
      <c r="E811" s="1" t="s">
        <v>1156</v>
      </c>
      <c r="F811" s="2" t="s">
        <v>1331</v>
      </c>
      <c r="G811" s="1" t="s">
        <v>2599</v>
      </c>
      <c r="H811" s="1" t="s">
        <v>1046</v>
      </c>
      <c r="I811" s="13" t="str">
        <f t="shared" si="102"/>
        <v>1J</v>
      </c>
      <c r="J811" t="str">
        <f t="shared" si="103"/>
        <v>1848½</v>
      </c>
      <c r="K811" t="str">
        <f t="shared" si="104"/>
        <v>1849½</v>
      </c>
      <c r="L811" t="str">
        <f t="shared" si="105"/>
        <v>Plat10</v>
      </c>
      <c r="M811" s="8" t="str">
        <f t="shared" si="106"/>
        <v>10</v>
      </c>
      <c r="N811" t="s">
        <v>3020</v>
      </c>
      <c r="O811" t="s">
        <v>3026</v>
      </c>
      <c r="P811" t="s">
        <v>3027</v>
      </c>
      <c r="Q811" t="s">
        <v>3028</v>
      </c>
      <c r="R811" t="s">
        <v>3029</v>
      </c>
      <c r="S811" t="s">
        <v>3030</v>
      </c>
      <c r="T811" t="s">
        <v>1331</v>
      </c>
    </row>
    <row r="812" spans="2:25" ht="15" customHeight="1" x14ac:dyDescent="0.25">
      <c r="B812" s="3" t="s">
        <v>2600</v>
      </c>
      <c r="C812" s="1" t="s">
        <v>2601</v>
      </c>
      <c r="D812" s="2" t="s">
        <v>1161</v>
      </c>
      <c r="E812" s="1" t="s">
        <v>1054</v>
      </c>
      <c r="F812" s="2" t="s">
        <v>1372</v>
      </c>
      <c r="G812" s="1" t="s">
        <v>760</v>
      </c>
      <c r="H812" s="1" t="s">
        <v>1046</v>
      </c>
      <c r="I812" s="13" t="str">
        <f t="shared" si="102"/>
        <v>2C</v>
      </c>
      <c r="J812" t="str">
        <f t="shared" si="103"/>
        <v xml:space="preserve">1850 </v>
      </c>
      <c r="K812" t="str">
        <f t="shared" si="104"/>
        <v xml:space="preserve">1852 </v>
      </c>
      <c r="L812" t="str">
        <f t="shared" si="105"/>
        <v>Plat 5</v>
      </c>
      <c r="M812" s="8" t="str">
        <f t="shared" si="106"/>
        <v xml:space="preserve"> 5</v>
      </c>
      <c r="N812" s="4" t="s">
        <v>1372</v>
      </c>
      <c r="O812"/>
    </row>
    <row r="813" spans="2:25" ht="15" customHeight="1" x14ac:dyDescent="0.25">
      <c r="B813" s="3" t="s">
        <v>1244</v>
      </c>
      <c r="C813" s="1"/>
      <c r="D813" s="1" t="s">
        <v>1037</v>
      </c>
      <c r="E813" s="1" t="s">
        <v>1038</v>
      </c>
      <c r="F813" s="2" t="s">
        <v>1074</v>
      </c>
      <c r="G813" s="1" t="s">
        <v>760</v>
      </c>
      <c r="H813" s="1" t="s">
        <v>1040</v>
      </c>
      <c r="I813" s="13" t="str">
        <f t="shared" si="102"/>
        <v>2N</v>
      </c>
      <c r="J813" t="str">
        <f t="shared" si="103"/>
        <v/>
      </c>
      <c r="K813" t="str">
        <f t="shared" si="104"/>
        <v xml:space="preserve">1852 </v>
      </c>
      <c r="L813" t="str">
        <f t="shared" si="105"/>
        <v>Plat 1</v>
      </c>
      <c r="M813" s="8" t="str">
        <f t="shared" si="106"/>
        <v xml:space="preserve"> 1</v>
      </c>
      <c r="N813" s="4" t="s">
        <v>3010</v>
      </c>
      <c r="O813" s="15" t="s">
        <v>3011</v>
      </c>
    </row>
    <row r="814" spans="2:25" ht="15" customHeight="1" x14ac:dyDescent="0.25">
      <c r="B814" s="3" t="s">
        <v>840</v>
      </c>
      <c r="C814" s="1" t="s">
        <v>760</v>
      </c>
      <c r="D814" s="2" t="s">
        <v>1309</v>
      </c>
      <c r="E814" s="1" t="s">
        <v>1047</v>
      </c>
      <c r="F814" s="2" t="s">
        <v>1372</v>
      </c>
      <c r="G814" s="1" t="s">
        <v>2602</v>
      </c>
      <c r="H814" s="1" t="s">
        <v>1046</v>
      </c>
      <c r="I814" s="13" t="str">
        <f t="shared" si="102"/>
        <v>1F</v>
      </c>
      <c r="J814" t="str">
        <f t="shared" si="103"/>
        <v xml:space="preserve">1852 </v>
      </c>
      <c r="K814" t="str">
        <f t="shared" si="104"/>
        <v>1852½</v>
      </c>
      <c r="L814" t="str">
        <f t="shared" si="105"/>
        <v>Plat 9</v>
      </c>
      <c r="M814" s="8" t="str">
        <f t="shared" si="106"/>
        <v xml:space="preserve"> 9</v>
      </c>
      <c r="N814" s="4" t="s">
        <v>1372</v>
      </c>
      <c r="O814"/>
    </row>
    <row r="815" spans="2:25" ht="15" customHeight="1" x14ac:dyDescent="0.25">
      <c r="B815" s="3" t="s">
        <v>2603</v>
      </c>
      <c r="C815" s="1" t="s">
        <v>2604</v>
      </c>
      <c r="D815" s="2" t="s">
        <v>1372</v>
      </c>
      <c r="E815" s="1" t="s">
        <v>1156</v>
      </c>
      <c r="F815" s="2" t="s">
        <v>1058</v>
      </c>
      <c r="G815" s="1" t="s">
        <v>2605</v>
      </c>
      <c r="H815" s="1" t="s">
        <v>1046</v>
      </c>
      <c r="I815" s="13" t="str">
        <f t="shared" si="102"/>
        <v>1K</v>
      </c>
      <c r="J815" t="str">
        <f t="shared" si="103"/>
        <v>1852½</v>
      </c>
      <c r="K815" t="str">
        <f t="shared" si="104"/>
        <v>1853½</v>
      </c>
      <c r="L815" t="str">
        <f t="shared" si="105"/>
        <v>Plat10</v>
      </c>
      <c r="M815" s="8" t="str">
        <f t="shared" si="106"/>
        <v>10</v>
      </c>
      <c r="N815" s="4" t="s">
        <v>1044</v>
      </c>
      <c r="O815" s="4" t="s">
        <v>3019</v>
      </c>
      <c r="P815" s="4" t="s">
        <v>3020</v>
      </c>
      <c r="Q815" s="4" t="s">
        <v>3021</v>
      </c>
      <c r="R815" s="4" t="s">
        <v>3022</v>
      </c>
      <c r="S815" s="4" t="s">
        <v>3023</v>
      </c>
      <c r="T815" s="4" t="s">
        <v>3024</v>
      </c>
      <c r="U815" s="4" t="s">
        <v>3025</v>
      </c>
      <c r="V815" s="4" t="s">
        <v>1058</v>
      </c>
    </row>
    <row r="816" spans="2:25" ht="15" customHeight="1" x14ac:dyDescent="0.25">
      <c r="B816" s="3" t="s">
        <v>1773</v>
      </c>
      <c r="C816" s="1" t="s">
        <v>2606</v>
      </c>
      <c r="D816" s="2" t="s">
        <v>1372</v>
      </c>
      <c r="E816" s="1" t="s">
        <v>1043</v>
      </c>
      <c r="F816" s="2" t="s">
        <v>1044</v>
      </c>
      <c r="G816" s="1" t="s">
        <v>2607</v>
      </c>
      <c r="H816" s="1" t="s">
        <v>1046</v>
      </c>
      <c r="I816" s="13" t="str">
        <f t="shared" si="102"/>
        <v>2W</v>
      </c>
      <c r="J816" t="str">
        <f t="shared" si="103"/>
        <v>1853½</v>
      </c>
      <c r="K816" t="str">
        <f t="shared" si="104"/>
        <v>1854½</v>
      </c>
      <c r="L816" t="str">
        <f t="shared" si="105"/>
        <v>Plat 8</v>
      </c>
      <c r="M816" s="8" t="str">
        <f t="shared" si="106"/>
        <v xml:space="preserve"> 8</v>
      </c>
      <c r="N816" s="4" t="s">
        <v>3012</v>
      </c>
      <c r="O816" s="4" t="s">
        <v>3013</v>
      </c>
      <c r="P816" s="4" t="s">
        <v>1181</v>
      </c>
      <c r="Q816" s="4" t="s">
        <v>3014</v>
      </c>
      <c r="R816" s="4" t="s">
        <v>3015</v>
      </c>
      <c r="S816" s="4" t="s">
        <v>3016</v>
      </c>
      <c r="T816" s="4" t="s">
        <v>3004</v>
      </c>
      <c r="U816" s="4" t="s">
        <v>1161</v>
      </c>
      <c r="V816" s="4" t="s">
        <v>3017</v>
      </c>
      <c r="W816" s="4" t="s">
        <v>3018</v>
      </c>
      <c r="X816" s="4" t="s">
        <v>1044</v>
      </c>
    </row>
    <row r="817" spans="2:24" ht="15" customHeight="1" x14ac:dyDescent="0.25">
      <c r="B817" s="3" t="s">
        <v>2608</v>
      </c>
      <c r="C817" s="1" t="s">
        <v>758</v>
      </c>
      <c r="D817" s="2" t="s">
        <v>1058</v>
      </c>
      <c r="E817" s="1" t="s">
        <v>1047</v>
      </c>
      <c r="F817" s="2" t="s">
        <v>1372</v>
      </c>
      <c r="G817" s="1" t="s">
        <v>2609</v>
      </c>
      <c r="H817" s="1" t="s">
        <v>1046</v>
      </c>
      <c r="I817" s="13" t="str">
        <f t="shared" si="102"/>
        <v>1K</v>
      </c>
      <c r="J817" t="str">
        <f t="shared" si="103"/>
        <v xml:space="preserve">1855 </v>
      </c>
      <c r="K817" t="str">
        <f t="shared" si="104"/>
        <v>1855½</v>
      </c>
      <c r="L817" t="str">
        <f t="shared" si="105"/>
        <v>Plat 9</v>
      </c>
      <c r="M817" s="8" t="str">
        <f t="shared" si="106"/>
        <v xml:space="preserve"> 9</v>
      </c>
      <c r="N817" s="4" t="s">
        <v>1372</v>
      </c>
      <c r="O817"/>
    </row>
    <row r="818" spans="2:24" ht="15" customHeight="1" x14ac:dyDescent="0.25">
      <c r="B818" s="3" t="s">
        <v>2610</v>
      </c>
      <c r="C818" s="1" t="s">
        <v>2611</v>
      </c>
      <c r="D818" s="2" t="s">
        <v>1372</v>
      </c>
      <c r="E818" s="1" t="s">
        <v>1156</v>
      </c>
      <c r="F818" s="2" t="s">
        <v>1185</v>
      </c>
      <c r="G818" s="1" t="s">
        <v>2612</v>
      </c>
      <c r="H818" s="1" t="s">
        <v>1046</v>
      </c>
      <c r="I818" s="13" t="str">
        <f t="shared" si="102"/>
        <v>1N</v>
      </c>
      <c r="J818" t="str">
        <f t="shared" si="103"/>
        <v>1855½</v>
      </c>
      <c r="K818" t="str">
        <f t="shared" si="104"/>
        <v>1856½</v>
      </c>
      <c r="L818" t="str">
        <f t="shared" si="105"/>
        <v>Plat10</v>
      </c>
      <c r="M818" s="8" t="str">
        <f t="shared" si="106"/>
        <v>10</v>
      </c>
      <c r="N818" t="s">
        <v>1473</v>
      </c>
      <c r="O818" t="s">
        <v>3001</v>
      </c>
      <c r="P818" t="s">
        <v>1091</v>
      </c>
      <c r="Q818" t="s">
        <v>3048</v>
      </c>
      <c r="R818" t="s">
        <v>3031</v>
      </c>
      <c r="S818" t="s">
        <v>3046</v>
      </c>
      <c r="T818" t="s">
        <v>3047</v>
      </c>
    </row>
    <row r="819" spans="2:24" ht="15" customHeight="1" x14ac:dyDescent="0.25">
      <c r="B819" s="3" t="s">
        <v>2613</v>
      </c>
      <c r="C819" s="1" t="s">
        <v>2614</v>
      </c>
      <c r="D819" s="2" t="s">
        <v>1372</v>
      </c>
      <c r="E819" s="1" t="s">
        <v>1043</v>
      </c>
      <c r="F819" s="2" t="s">
        <v>1161</v>
      </c>
      <c r="G819" s="1" t="s">
        <v>2615</v>
      </c>
      <c r="H819" s="1" t="s">
        <v>1046</v>
      </c>
      <c r="I819" s="13" t="str">
        <f t="shared" si="102"/>
        <v>2C</v>
      </c>
      <c r="J819" t="str">
        <f t="shared" si="103"/>
        <v>1856½</v>
      </c>
      <c r="K819" t="str">
        <f t="shared" si="104"/>
        <v>1858½</v>
      </c>
      <c r="L819" t="str">
        <f t="shared" si="105"/>
        <v>Plat 8</v>
      </c>
      <c r="M819" s="8" t="str">
        <f t="shared" si="106"/>
        <v xml:space="preserve"> 8</v>
      </c>
      <c r="N819" t="s">
        <v>3012</v>
      </c>
      <c r="O819" t="s">
        <v>3013</v>
      </c>
      <c r="P819" t="s">
        <v>1181</v>
      </c>
      <c r="Q819" t="s">
        <v>3016</v>
      </c>
      <c r="R819" t="s">
        <v>3004</v>
      </c>
      <c r="S819" t="s">
        <v>1161</v>
      </c>
    </row>
    <row r="820" spans="2:24" ht="15" customHeight="1" x14ac:dyDescent="0.25">
      <c r="B820" s="3" t="s">
        <v>1762</v>
      </c>
      <c r="C820" s="1" t="s">
        <v>2616</v>
      </c>
      <c r="D820" s="2" t="s">
        <v>1044</v>
      </c>
      <c r="E820" s="1" t="s">
        <v>1054</v>
      </c>
      <c r="F820" s="2" t="s">
        <v>1372</v>
      </c>
      <c r="G820" s="1" t="s">
        <v>766</v>
      </c>
      <c r="H820" s="1" t="s">
        <v>1046</v>
      </c>
      <c r="I820" s="13" t="str">
        <f t="shared" si="102"/>
        <v>2W</v>
      </c>
      <c r="J820" t="str">
        <f t="shared" si="103"/>
        <v xml:space="preserve">1857 </v>
      </c>
      <c r="K820" t="str">
        <f t="shared" si="104"/>
        <v xml:space="preserve">1859 </v>
      </c>
      <c r="L820" t="str">
        <f t="shared" si="105"/>
        <v>Plat 5</v>
      </c>
      <c r="M820" s="8" t="str">
        <f t="shared" si="106"/>
        <v xml:space="preserve"> 5</v>
      </c>
      <c r="N820" s="4" t="s">
        <v>1372</v>
      </c>
      <c r="O820"/>
    </row>
    <row r="821" spans="2:24" ht="15" customHeight="1" x14ac:dyDescent="0.25">
      <c r="B821" s="3" t="s">
        <v>2617</v>
      </c>
      <c r="C821" s="1" t="s">
        <v>2618</v>
      </c>
      <c r="D821" s="2" t="s">
        <v>1074</v>
      </c>
      <c r="E821" s="1" t="s">
        <v>1050</v>
      </c>
      <c r="F821" s="1" t="s">
        <v>1051</v>
      </c>
      <c r="G821" s="1"/>
      <c r="H821" s="1" t="s">
        <v>1040</v>
      </c>
      <c r="I821" s="13" t="str">
        <f t="shared" si="102"/>
        <v>2N</v>
      </c>
      <c r="J821" t="str">
        <f t="shared" si="103"/>
        <v xml:space="preserve">1859 </v>
      </c>
      <c r="K821" t="str">
        <f t="shared" si="104"/>
        <v/>
      </c>
      <c r="L821" t="str">
        <f t="shared" si="105"/>
        <v>Plat 1</v>
      </c>
      <c r="M821" s="8" t="str">
        <f t="shared" si="106"/>
        <v xml:space="preserve"> 1</v>
      </c>
      <c r="O821"/>
    </row>
    <row r="822" spans="2:24" ht="15" customHeight="1" x14ac:dyDescent="0.25">
      <c r="B822" s="3" t="s">
        <v>2619</v>
      </c>
      <c r="C822" s="1"/>
      <c r="D822" s="1" t="s">
        <v>1037</v>
      </c>
      <c r="E822" s="1" t="s">
        <v>1061</v>
      </c>
      <c r="F822" s="2" t="s">
        <v>1039</v>
      </c>
      <c r="G822" s="1" t="s">
        <v>2620</v>
      </c>
      <c r="H822" s="1" t="s">
        <v>1040</v>
      </c>
      <c r="I822" s="13" t="str">
        <f t="shared" si="102"/>
        <v>2Y</v>
      </c>
      <c r="J822" t="str">
        <f t="shared" si="103"/>
        <v/>
      </c>
      <c r="K822" t="str">
        <f t="shared" si="104"/>
        <v xml:space="preserve">1900 </v>
      </c>
      <c r="L822" t="str">
        <f t="shared" si="105"/>
        <v>Plat 2</v>
      </c>
      <c r="M822" s="8" t="str">
        <f t="shared" si="106"/>
        <v xml:space="preserve"> 2</v>
      </c>
      <c r="N822" s="4" t="s">
        <v>3010</v>
      </c>
      <c r="O822" s="15" t="s">
        <v>3011</v>
      </c>
    </row>
    <row r="823" spans="2:24" ht="15" customHeight="1" x14ac:dyDescent="0.25">
      <c r="B823" s="3" t="s">
        <v>2621</v>
      </c>
      <c r="C823" s="1" t="s">
        <v>2622</v>
      </c>
      <c r="D823" s="2" t="s">
        <v>1372</v>
      </c>
      <c r="E823" s="1" t="s">
        <v>1156</v>
      </c>
      <c r="F823" s="2" t="s">
        <v>1058</v>
      </c>
      <c r="G823" s="1" t="s">
        <v>2623</v>
      </c>
      <c r="H823" s="1" t="s">
        <v>1046</v>
      </c>
      <c r="I823" s="13" t="str">
        <f t="shared" si="102"/>
        <v>1K</v>
      </c>
      <c r="J823" t="str">
        <f t="shared" si="103"/>
        <v>1902½</v>
      </c>
      <c r="K823" t="str">
        <f t="shared" si="104"/>
        <v>1903½</v>
      </c>
      <c r="L823" t="str">
        <f t="shared" si="105"/>
        <v>Plat10</v>
      </c>
      <c r="M823" s="8" t="str">
        <f t="shared" si="106"/>
        <v>10</v>
      </c>
      <c r="N823" s="4" t="s">
        <v>1044</v>
      </c>
      <c r="O823" s="4" t="s">
        <v>3019</v>
      </c>
      <c r="P823" s="4" t="s">
        <v>3020</v>
      </c>
      <c r="Q823" s="4" t="s">
        <v>3021</v>
      </c>
      <c r="R823" s="4" t="s">
        <v>3022</v>
      </c>
      <c r="S823" s="4" t="s">
        <v>3023</v>
      </c>
      <c r="T823" s="4" t="s">
        <v>3024</v>
      </c>
      <c r="U823" s="4" t="s">
        <v>3025</v>
      </c>
      <c r="V823" s="4" t="s">
        <v>1058</v>
      </c>
    </row>
    <row r="824" spans="2:24" ht="15" customHeight="1" x14ac:dyDescent="0.25">
      <c r="B824" s="3" t="s">
        <v>2624</v>
      </c>
      <c r="C824" s="1" t="s">
        <v>2625</v>
      </c>
      <c r="D824" s="2" t="s">
        <v>1039</v>
      </c>
      <c r="E824" s="1" t="s">
        <v>1075</v>
      </c>
      <c r="F824" s="1" t="s">
        <v>1051</v>
      </c>
      <c r="G824" s="1"/>
      <c r="H824" s="1" t="s">
        <v>1040</v>
      </c>
      <c r="I824" s="13" t="str">
        <f t="shared" si="102"/>
        <v>2L</v>
      </c>
      <c r="J824" t="str">
        <f t="shared" si="103"/>
        <v xml:space="preserve">1904 </v>
      </c>
      <c r="K824" t="str">
        <f t="shared" si="104"/>
        <v/>
      </c>
      <c r="L824" t="str">
        <f t="shared" si="105"/>
        <v>Plat 2</v>
      </c>
      <c r="M824" s="8" t="str">
        <f t="shared" si="106"/>
        <v xml:space="preserve"> 2</v>
      </c>
      <c r="O824"/>
    </row>
    <row r="825" spans="2:24" ht="15" customHeight="1" x14ac:dyDescent="0.25">
      <c r="B825" s="3" t="s">
        <v>1782</v>
      </c>
      <c r="C825" s="1" t="s">
        <v>2626</v>
      </c>
      <c r="D825" s="2" t="s">
        <v>1372</v>
      </c>
      <c r="E825" s="1" t="s">
        <v>1043</v>
      </c>
      <c r="F825" s="2" t="s">
        <v>1044</v>
      </c>
      <c r="G825" s="1" t="s">
        <v>2627</v>
      </c>
      <c r="H825" s="1" t="s">
        <v>1046</v>
      </c>
      <c r="I825" s="13" t="str">
        <f t="shared" si="102"/>
        <v>2W</v>
      </c>
      <c r="J825" t="str">
        <f t="shared" si="103"/>
        <v>1903½</v>
      </c>
      <c r="K825" t="str">
        <f t="shared" si="104"/>
        <v>1904½</v>
      </c>
      <c r="L825" t="str">
        <f t="shared" si="105"/>
        <v>Plat 8</v>
      </c>
      <c r="M825" s="8" t="str">
        <f t="shared" si="106"/>
        <v xml:space="preserve"> 8</v>
      </c>
      <c r="N825" s="4" t="s">
        <v>3012</v>
      </c>
      <c r="O825" s="4" t="s">
        <v>3013</v>
      </c>
      <c r="P825" s="4" t="s">
        <v>1181</v>
      </c>
      <c r="Q825" s="4" t="s">
        <v>3014</v>
      </c>
      <c r="R825" s="4" t="s">
        <v>3015</v>
      </c>
      <c r="S825" s="4" t="s">
        <v>3016</v>
      </c>
      <c r="T825" s="4" t="s">
        <v>3004</v>
      </c>
      <c r="U825" s="4" t="s">
        <v>1161</v>
      </c>
      <c r="V825" s="4" t="s">
        <v>3017</v>
      </c>
      <c r="W825" s="4" t="s">
        <v>3018</v>
      </c>
      <c r="X825" s="4" t="s">
        <v>1044</v>
      </c>
    </row>
    <row r="826" spans="2:24" ht="15" customHeight="1" x14ac:dyDescent="0.25">
      <c r="B826" s="3" t="s">
        <v>858</v>
      </c>
      <c r="C826" s="1" t="s">
        <v>769</v>
      </c>
      <c r="D826" s="2" t="s">
        <v>1091</v>
      </c>
      <c r="E826" s="1" t="s">
        <v>1047</v>
      </c>
      <c r="F826" s="2" t="s">
        <v>1372</v>
      </c>
      <c r="G826" s="1" t="s">
        <v>2628</v>
      </c>
      <c r="H826" s="1" t="s">
        <v>1046</v>
      </c>
      <c r="I826" s="13" t="str">
        <f t="shared" si="102"/>
        <v>1F</v>
      </c>
      <c r="J826" t="str">
        <f t="shared" si="103"/>
        <v xml:space="preserve">1905 </v>
      </c>
      <c r="K826" t="str">
        <f t="shared" si="104"/>
        <v>1905½</v>
      </c>
      <c r="L826" t="str">
        <f t="shared" si="105"/>
        <v>Plat 9</v>
      </c>
      <c r="M826" s="8" t="str">
        <f t="shared" si="106"/>
        <v xml:space="preserve"> 9</v>
      </c>
      <c r="N826" s="4" t="s">
        <v>1372</v>
      </c>
      <c r="O826"/>
    </row>
    <row r="827" spans="2:24" ht="15" customHeight="1" x14ac:dyDescent="0.25">
      <c r="B827" s="3" t="s">
        <v>1275</v>
      </c>
      <c r="C827" s="1"/>
      <c r="D827" s="1" t="s">
        <v>1037</v>
      </c>
      <c r="E827" s="1" t="s">
        <v>1038</v>
      </c>
      <c r="F827" s="2" t="s">
        <v>1074</v>
      </c>
      <c r="G827" s="1" t="s">
        <v>2629</v>
      </c>
      <c r="H827" s="1" t="s">
        <v>1040</v>
      </c>
      <c r="I827" s="13" t="str">
        <f t="shared" si="102"/>
        <v>2N</v>
      </c>
      <c r="J827" t="str">
        <f t="shared" si="103"/>
        <v/>
      </c>
      <c r="K827" t="str">
        <f t="shared" si="104"/>
        <v xml:space="preserve">1907 </v>
      </c>
      <c r="L827" t="str">
        <f t="shared" si="105"/>
        <v>Plat 1</v>
      </c>
      <c r="M827" s="8" t="str">
        <f t="shared" si="106"/>
        <v xml:space="preserve"> 1</v>
      </c>
      <c r="N827" s="4" t="s">
        <v>3010</v>
      </c>
      <c r="O827" s="15" t="s">
        <v>3011</v>
      </c>
    </row>
    <row r="828" spans="2:24" ht="15" customHeight="1" x14ac:dyDescent="0.25">
      <c r="B828" s="3" t="s">
        <v>2630</v>
      </c>
      <c r="C828" s="1" t="s">
        <v>2631</v>
      </c>
      <c r="D828" s="2" t="s">
        <v>1254</v>
      </c>
      <c r="E828" s="1" t="s">
        <v>2148</v>
      </c>
      <c r="F828" s="1" t="s">
        <v>1051</v>
      </c>
      <c r="G828" s="1"/>
      <c r="H828" s="1" t="s">
        <v>1046</v>
      </c>
      <c r="I828" s="13" t="str">
        <f t="shared" si="102"/>
        <v>2S</v>
      </c>
      <c r="J828" t="str">
        <f t="shared" si="103"/>
        <v xml:space="preserve">1908 </v>
      </c>
      <c r="K828" t="str">
        <f t="shared" si="104"/>
        <v/>
      </c>
      <c r="L828" t="str">
        <f t="shared" si="105"/>
        <v>Plat11</v>
      </c>
      <c r="M828" s="8" t="str">
        <f t="shared" si="106"/>
        <v>11</v>
      </c>
      <c r="O828"/>
    </row>
    <row r="829" spans="2:24" ht="15" customHeight="1" x14ac:dyDescent="0.25">
      <c r="B829" s="3" t="s">
        <v>1803</v>
      </c>
      <c r="C829" s="1" t="s">
        <v>2632</v>
      </c>
      <c r="D829" s="2" t="s">
        <v>1372</v>
      </c>
      <c r="E829" s="1" t="s">
        <v>1043</v>
      </c>
      <c r="F829" s="2" t="s">
        <v>1044</v>
      </c>
      <c r="G829" s="1" t="s">
        <v>2633</v>
      </c>
      <c r="H829" s="1" t="s">
        <v>1046</v>
      </c>
      <c r="I829" s="13" t="str">
        <f t="shared" si="102"/>
        <v>2W</v>
      </c>
      <c r="J829" t="str">
        <f t="shared" si="103"/>
        <v>1906½</v>
      </c>
      <c r="K829" t="str">
        <f t="shared" si="104"/>
        <v>1908½</v>
      </c>
      <c r="L829" t="str">
        <f t="shared" si="105"/>
        <v>Plat 8</v>
      </c>
      <c r="M829" s="8" t="str">
        <f t="shared" si="106"/>
        <v xml:space="preserve"> 8</v>
      </c>
      <c r="N829" s="4" t="s">
        <v>3012</v>
      </c>
      <c r="O829" s="4" t="s">
        <v>3013</v>
      </c>
      <c r="P829" s="4" t="s">
        <v>1181</v>
      </c>
      <c r="Q829" s="4" t="s">
        <v>3014</v>
      </c>
      <c r="R829" s="4" t="s">
        <v>3015</v>
      </c>
      <c r="S829" s="4" t="s">
        <v>3016</v>
      </c>
      <c r="T829" s="4" t="s">
        <v>3004</v>
      </c>
      <c r="U829" s="4" t="s">
        <v>1161</v>
      </c>
      <c r="V829" s="4" t="s">
        <v>3017</v>
      </c>
      <c r="W829" s="4" t="s">
        <v>3018</v>
      </c>
      <c r="X829" s="4" t="s">
        <v>1044</v>
      </c>
    </row>
    <row r="830" spans="2:24" ht="15" customHeight="1" x14ac:dyDescent="0.25">
      <c r="B830" s="3" t="s">
        <v>687</v>
      </c>
      <c r="C830" s="1" t="s">
        <v>2634</v>
      </c>
      <c r="D830" s="2" t="s">
        <v>1372</v>
      </c>
      <c r="E830" s="1" t="s">
        <v>1156</v>
      </c>
      <c r="F830" s="2" t="s">
        <v>1237</v>
      </c>
      <c r="G830" s="1" t="s">
        <v>770</v>
      </c>
      <c r="H830" s="1" t="s">
        <v>1046</v>
      </c>
      <c r="I830" s="13" t="str">
        <f t="shared" si="102"/>
        <v>1F</v>
      </c>
      <c r="J830" t="str">
        <f t="shared" si="103"/>
        <v>1908½</v>
      </c>
      <c r="K830" t="str">
        <f t="shared" si="104"/>
        <v xml:space="preserve">1909 </v>
      </c>
      <c r="L830" t="str">
        <f t="shared" si="105"/>
        <v>Plat10</v>
      </c>
      <c r="M830" s="8" t="str">
        <f t="shared" si="106"/>
        <v>10</v>
      </c>
      <c r="N830" t="s">
        <v>1044</v>
      </c>
      <c r="O830" t="s">
        <v>1473</v>
      </c>
      <c r="P830" t="s">
        <v>3000</v>
      </c>
      <c r="Q830" t="s">
        <v>3001</v>
      </c>
      <c r="R830" t="s">
        <v>3043</v>
      </c>
      <c r="S830" t="s">
        <v>3044</v>
      </c>
      <c r="T830" t="s">
        <v>3045</v>
      </c>
      <c r="U830" t="s">
        <v>1237</v>
      </c>
    </row>
    <row r="831" spans="2:24" ht="15" customHeight="1" x14ac:dyDescent="0.25">
      <c r="B831" s="3" t="s">
        <v>1775</v>
      </c>
      <c r="C831" s="1" t="s">
        <v>2629</v>
      </c>
      <c r="D831" s="2" t="s">
        <v>1044</v>
      </c>
      <c r="E831" s="1" t="s">
        <v>1054</v>
      </c>
      <c r="F831" s="2" t="s">
        <v>1372</v>
      </c>
      <c r="G831" s="1" t="s">
        <v>770</v>
      </c>
      <c r="H831" s="1" t="s">
        <v>1046</v>
      </c>
      <c r="I831" s="13" t="str">
        <f t="shared" si="102"/>
        <v>2W</v>
      </c>
      <c r="J831" t="str">
        <f t="shared" si="103"/>
        <v xml:space="preserve">1907 </v>
      </c>
      <c r="K831" t="str">
        <f t="shared" si="104"/>
        <v xml:space="preserve">1909 </v>
      </c>
      <c r="L831" t="str">
        <f t="shared" si="105"/>
        <v>Plat 5</v>
      </c>
      <c r="M831" s="8" t="str">
        <f t="shared" si="106"/>
        <v xml:space="preserve"> 5</v>
      </c>
      <c r="N831" s="4" t="s">
        <v>1372</v>
      </c>
      <c r="O831"/>
    </row>
    <row r="832" spans="2:24" ht="15" customHeight="1" x14ac:dyDescent="0.25">
      <c r="B832" s="3" t="s">
        <v>2635</v>
      </c>
      <c r="C832" s="1" t="s">
        <v>2636</v>
      </c>
      <c r="D832" s="2" t="s">
        <v>1062</v>
      </c>
      <c r="E832" s="1" t="s">
        <v>1050</v>
      </c>
      <c r="F832" s="1" t="s">
        <v>1051</v>
      </c>
      <c r="G832" s="1"/>
      <c r="H832" s="1" t="s">
        <v>1040</v>
      </c>
      <c r="I832" s="13" t="str">
        <f t="shared" si="102"/>
        <v>2G</v>
      </c>
      <c r="J832" t="str">
        <f t="shared" si="103"/>
        <v xml:space="preserve">1910 </v>
      </c>
      <c r="K832" t="str">
        <f t="shared" si="104"/>
        <v/>
      </c>
      <c r="L832" t="str">
        <f t="shared" si="105"/>
        <v>Plat 1</v>
      </c>
      <c r="M832" s="8" t="str">
        <f t="shared" si="106"/>
        <v xml:space="preserve"> 1</v>
      </c>
      <c r="O832"/>
    </row>
    <row r="833" spans="2:24" ht="15" customHeight="1" x14ac:dyDescent="0.25">
      <c r="B833" s="3" t="s">
        <v>2637</v>
      </c>
      <c r="C833" s="1"/>
      <c r="D833" s="1" t="s">
        <v>1037</v>
      </c>
      <c r="E833" s="1" t="s">
        <v>1061</v>
      </c>
      <c r="F833" s="2" t="s">
        <v>1062</v>
      </c>
      <c r="G833" s="1" t="s">
        <v>2638</v>
      </c>
      <c r="H833" s="1" t="s">
        <v>1040</v>
      </c>
      <c r="I833" s="13" t="str">
        <f t="shared" si="102"/>
        <v>2G</v>
      </c>
      <c r="J833" t="str">
        <f t="shared" si="103"/>
        <v/>
      </c>
      <c r="K833" t="str">
        <f t="shared" si="104"/>
        <v xml:space="preserve">1911 </v>
      </c>
      <c r="L833" t="str">
        <f t="shared" si="105"/>
        <v>Plat 2</v>
      </c>
      <c r="M833" s="8" t="str">
        <f t="shared" si="106"/>
        <v xml:space="preserve"> 2</v>
      </c>
      <c r="N833" s="4" t="s">
        <v>3010</v>
      </c>
      <c r="O833" s="15" t="s">
        <v>3011</v>
      </c>
    </row>
    <row r="834" spans="2:24" ht="15" customHeight="1" x14ac:dyDescent="0.25">
      <c r="B834" s="3" t="s">
        <v>1317</v>
      </c>
      <c r="C834" s="1" t="s">
        <v>2638</v>
      </c>
      <c r="D834" s="2" t="s">
        <v>1058</v>
      </c>
      <c r="E834" s="1" t="s">
        <v>1047</v>
      </c>
      <c r="F834" s="2" t="s">
        <v>1372</v>
      </c>
      <c r="G834" s="1" t="s">
        <v>2639</v>
      </c>
      <c r="H834" s="1" t="s">
        <v>1046</v>
      </c>
      <c r="I834" s="13" t="str">
        <f t="shared" si="102"/>
        <v>1K</v>
      </c>
      <c r="J834" t="str">
        <f t="shared" si="103"/>
        <v xml:space="preserve">1911 </v>
      </c>
      <c r="K834" t="str">
        <f t="shared" si="104"/>
        <v>1911½</v>
      </c>
      <c r="L834" t="str">
        <f t="shared" si="105"/>
        <v>Plat 9</v>
      </c>
      <c r="M834" s="8" t="str">
        <f t="shared" si="106"/>
        <v xml:space="preserve"> 9</v>
      </c>
      <c r="N834" s="4" t="s">
        <v>1372</v>
      </c>
      <c r="O834"/>
    </row>
    <row r="835" spans="2:24" ht="15" customHeight="1" x14ac:dyDescent="0.25">
      <c r="B835" s="3" t="s">
        <v>1258</v>
      </c>
      <c r="C835" s="1" t="s">
        <v>2640</v>
      </c>
      <c r="D835" s="2" t="s">
        <v>1074</v>
      </c>
      <c r="E835" s="1" t="s">
        <v>1075</v>
      </c>
      <c r="F835" s="1" t="s">
        <v>1051</v>
      </c>
      <c r="G835" s="1"/>
      <c r="H835" s="1" t="s">
        <v>1040</v>
      </c>
      <c r="I835" s="13" t="str">
        <f t="shared" si="102"/>
        <v>2N</v>
      </c>
      <c r="J835" t="str">
        <f t="shared" si="103"/>
        <v xml:space="preserve">1914 </v>
      </c>
      <c r="K835" t="str">
        <f t="shared" si="104"/>
        <v/>
      </c>
      <c r="L835" t="str">
        <f t="shared" si="105"/>
        <v>Plat 2</v>
      </c>
      <c r="M835" s="8" t="str">
        <f t="shared" si="106"/>
        <v xml:space="preserve"> 2</v>
      </c>
      <c r="O835"/>
    </row>
    <row r="836" spans="2:24" ht="15" customHeight="1" x14ac:dyDescent="0.25">
      <c r="B836" s="3" t="s">
        <v>2641</v>
      </c>
      <c r="C836" s="1" t="s">
        <v>2642</v>
      </c>
      <c r="D836" s="2" t="s">
        <v>1372</v>
      </c>
      <c r="E836" s="1" t="s">
        <v>1156</v>
      </c>
      <c r="F836" s="2" t="s">
        <v>1242</v>
      </c>
      <c r="G836" s="1" t="s">
        <v>2643</v>
      </c>
      <c r="H836" s="1" t="s">
        <v>1046</v>
      </c>
      <c r="I836" s="13" t="str">
        <f t="shared" si="102"/>
        <v>1Y</v>
      </c>
      <c r="J836" t="str">
        <f t="shared" si="103"/>
        <v>1914½</v>
      </c>
      <c r="K836" t="str">
        <f t="shared" si="104"/>
        <v xml:space="preserve">1915 </v>
      </c>
      <c r="L836" t="str">
        <f t="shared" si="105"/>
        <v>Plat10</v>
      </c>
      <c r="M836" s="8" t="str">
        <f t="shared" si="106"/>
        <v>10</v>
      </c>
      <c r="N836" t="s">
        <v>1473</v>
      </c>
      <c r="O836" t="s">
        <v>3001</v>
      </c>
      <c r="P836" t="s">
        <v>3002</v>
      </c>
      <c r="Q836" t="s">
        <v>3003</v>
      </c>
      <c r="R836" t="s">
        <v>1091</v>
      </c>
      <c r="S836" t="s">
        <v>3006</v>
      </c>
      <c r="T836" t="s">
        <v>1242</v>
      </c>
    </row>
    <row r="837" spans="2:24" ht="15" customHeight="1" x14ac:dyDescent="0.25">
      <c r="B837" s="3" t="s">
        <v>2644</v>
      </c>
      <c r="C837" s="1"/>
      <c r="D837" s="1" t="s">
        <v>1037</v>
      </c>
      <c r="E837" s="1" t="s">
        <v>1038</v>
      </c>
      <c r="F837" s="2" t="s">
        <v>1039</v>
      </c>
      <c r="G837" s="1" t="s">
        <v>2643</v>
      </c>
      <c r="H837" s="1" t="s">
        <v>1040</v>
      </c>
      <c r="I837" s="13" t="str">
        <f t="shared" si="102"/>
        <v>2Y</v>
      </c>
      <c r="J837" t="str">
        <f t="shared" si="103"/>
        <v/>
      </c>
      <c r="K837" t="str">
        <f t="shared" si="104"/>
        <v xml:space="preserve">1915 </v>
      </c>
      <c r="L837" t="str">
        <f t="shared" si="105"/>
        <v>Plat 1</v>
      </c>
      <c r="M837" s="8" t="str">
        <f t="shared" si="106"/>
        <v xml:space="preserve"> 1</v>
      </c>
      <c r="N837" s="4" t="s">
        <v>3010</v>
      </c>
      <c r="O837" s="15" t="s">
        <v>3011</v>
      </c>
    </row>
    <row r="838" spans="2:24" ht="15" customHeight="1" x14ac:dyDescent="0.25">
      <c r="B838" s="3" t="s">
        <v>1812</v>
      </c>
      <c r="C838" s="1" t="s">
        <v>2645</v>
      </c>
      <c r="D838" s="2" t="s">
        <v>1372</v>
      </c>
      <c r="E838" s="1" t="s">
        <v>1043</v>
      </c>
      <c r="F838" s="2" t="s">
        <v>1044</v>
      </c>
      <c r="G838" s="1" t="s">
        <v>2646</v>
      </c>
      <c r="H838" s="1" t="s">
        <v>1046</v>
      </c>
      <c r="I838" s="13" t="str">
        <f t="shared" si="102"/>
        <v>2W</v>
      </c>
      <c r="J838" t="str">
        <f t="shared" si="103"/>
        <v>1916½</v>
      </c>
      <c r="K838" t="str">
        <f t="shared" si="104"/>
        <v>1918½</v>
      </c>
      <c r="L838" t="str">
        <f t="shared" si="105"/>
        <v>Plat 8</v>
      </c>
      <c r="M838" s="8" t="str">
        <f t="shared" si="106"/>
        <v xml:space="preserve"> 8</v>
      </c>
      <c r="N838" s="4" t="s">
        <v>3012</v>
      </c>
      <c r="O838" s="4" t="s">
        <v>3013</v>
      </c>
      <c r="P838" s="4" t="s">
        <v>1181</v>
      </c>
      <c r="Q838" s="4" t="s">
        <v>3014</v>
      </c>
      <c r="R838" s="4" t="s">
        <v>3015</v>
      </c>
      <c r="S838" s="4" t="s">
        <v>3016</v>
      </c>
      <c r="T838" s="4" t="s">
        <v>3004</v>
      </c>
      <c r="U838" s="4" t="s">
        <v>1161</v>
      </c>
      <c r="V838" s="4" t="s">
        <v>3017</v>
      </c>
      <c r="W838" s="4" t="s">
        <v>3018</v>
      </c>
      <c r="X838" s="4" t="s">
        <v>1044</v>
      </c>
    </row>
    <row r="839" spans="2:24" ht="15" customHeight="1" x14ac:dyDescent="0.25">
      <c r="B839" s="3" t="s">
        <v>2647</v>
      </c>
      <c r="C839" s="1" t="s">
        <v>2648</v>
      </c>
      <c r="D839" s="2" t="s">
        <v>1039</v>
      </c>
      <c r="E839" s="1" t="s">
        <v>1050</v>
      </c>
      <c r="F839" s="1" t="s">
        <v>1051</v>
      </c>
      <c r="G839" s="1"/>
      <c r="H839" s="1" t="s">
        <v>1040</v>
      </c>
      <c r="I839" s="13" t="str">
        <f t="shared" si="102"/>
        <v>2L</v>
      </c>
      <c r="J839" t="str">
        <f t="shared" si="103"/>
        <v xml:space="preserve">1919 </v>
      </c>
      <c r="K839" t="str">
        <f t="shared" si="104"/>
        <v/>
      </c>
      <c r="L839" t="str">
        <f t="shared" si="105"/>
        <v>Plat 1</v>
      </c>
      <c r="M839" s="8" t="str">
        <f t="shared" si="106"/>
        <v xml:space="preserve"> 1</v>
      </c>
      <c r="O839"/>
    </row>
    <row r="840" spans="2:24" ht="15" customHeight="1" x14ac:dyDescent="0.25">
      <c r="B840" s="3" t="s">
        <v>1785</v>
      </c>
      <c r="C840" s="1" t="s">
        <v>778</v>
      </c>
      <c r="D840" s="2" t="s">
        <v>1044</v>
      </c>
      <c r="E840" s="1" t="s">
        <v>1054</v>
      </c>
      <c r="F840" s="2" t="s">
        <v>1372</v>
      </c>
      <c r="G840" s="1" t="s">
        <v>781</v>
      </c>
      <c r="H840" s="1" t="s">
        <v>1046</v>
      </c>
      <c r="I840" s="13" t="str">
        <f t="shared" si="102"/>
        <v>2W</v>
      </c>
      <c r="J840" t="str">
        <f t="shared" si="103"/>
        <v xml:space="preserve">1917 </v>
      </c>
      <c r="K840" t="str">
        <f t="shared" si="104"/>
        <v xml:space="preserve">1919 </v>
      </c>
      <c r="L840" t="str">
        <f t="shared" si="105"/>
        <v>Plat 5</v>
      </c>
      <c r="M840" s="8" t="str">
        <f t="shared" si="106"/>
        <v xml:space="preserve"> 5</v>
      </c>
      <c r="N840" s="4" t="s">
        <v>1372</v>
      </c>
      <c r="O840"/>
    </row>
    <row r="841" spans="2:24" ht="15" customHeight="1" x14ac:dyDescent="0.25">
      <c r="B841" s="3" t="s">
        <v>1347</v>
      </c>
      <c r="C841" s="1" t="s">
        <v>781</v>
      </c>
      <c r="D841" s="2" t="s">
        <v>1058</v>
      </c>
      <c r="E841" s="1" t="s">
        <v>1047</v>
      </c>
      <c r="F841" s="2" t="s">
        <v>1372</v>
      </c>
      <c r="G841" s="1" t="s">
        <v>2649</v>
      </c>
      <c r="H841" s="1" t="s">
        <v>1046</v>
      </c>
      <c r="I841" s="13" t="str">
        <f t="shared" si="102"/>
        <v>1K</v>
      </c>
      <c r="J841" t="str">
        <f t="shared" si="103"/>
        <v xml:space="preserve">1919 </v>
      </c>
      <c r="K841" t="str">
        <f t="shared" si="104"/>
        <v>1919½</v>
      </c>
      <c r="L841" t="str">
        <f t="shared" si="105"/>
        <v>Plat 9</v>
      </c>
      <c r="M841" s="8" t="str">
        <f t="shared" si="106"/>
        <v xml:space="preserve"> 9</v>
      </c>
      <c r="N841" s="4" t="s">
        <v>1372</v>
      </c>
      <c r="O841"/>
    </row>
    <row r="842" spans="2:24" ht="15" customHeight="1" x14ac:dyDescent="0.25">
      <c r="B842" s="3" t="s">
        <v>2650</v>
      </c>
      <c r="C842" s="1" t="s">
        <v>2651</v>
      </c>
      <c r="D842" s="2" t="s">
        <v>1372</v>
      </c>
      <c r="E842" s="1" t="s">
        <v>1156</v>
      </c>
      <c r="F842" s="2" t="s">
        <v>1058</v>
      </c>
      <c r="G842" s="1" t="s">
        <v>2652</v>
      </c>
      <c r="H842" s="1" t="s">
        <v>1046</v>
      </c>
      <c r="I842" s="13" t="str">
        <f t="shared" si="102"/>
        <v>1K</v>
      </c>
      <c r="J842" t="str">
        <f t="shared" si="103"/>
        <v>1921½</v>
      </c>
      <c r="K842" t="str">
        <f t="shared" si="104"/>
        <v xml:space="preserve">1922 </v>
      </c>
      <c r="L842" t="str">
        <f t="shared" si="105"/>
        <v>Plat10</v>
      </c>
      <c r="M842" s="8" t="str">
        <f t="shared" si="106"/>
        <v>10</v>
      </c>
      <c r="N842" s="4" t="s">
        <v>1044</v>
      </c>
      <c r="O842" s="4" t="s">
        <v>3019</v>
      </c>
      <c r="P842" s="4" t="s">
        <v>3020</v>
      </c>
      <c r="Q842" s="4" t="s">
        <v>3021</v>
      </c>
      <c r="R842" s="4" t="s">
        <v>3022</v>
      </c>
      <c r="S842" s="4" t="s">
        <v>3023</v>
      </c>
      <c r="T842" s="4" t="s">
        <v>3024</v>
      </c>
      <c r="U842" s="4" t="s">
        <v>3025</v>
      </c>
      <c r="V842" s="4" t="s">
        <v>1058</v>
      </c>
    </row>
    <row r="843" spans="2:24" ht="15" customHeight="1" x14ac:dyDescent="0.25">
      <c r="B843" s="3" t="s">
        <v>1300</v>
      </c>
      <c r="C843" s="1"/>
      <c r="D843" s="1" t="s">
        <v>1037</v>
      </c>
      <c r="E843" s="1" t="s">
        <v>1061</v>
      </c>
      <c r="F843" s="2" t="s">
        <v>1074</v>
      </c>
      <c r="G843" s="1" t="s">
        <v>2652</v>
      </c>
      <c r="H843" s="1" t="s">
        <v>1040</v>
      </c>
      <c r="I843" s="13" t="str">
        <f t="shared" si="102"/>
        <v>2N</v>
      </c>
      <c r="J843" t="str">
        <f t="shared" si="103"/>
        <v/>
      </c>
      <c r="K843" t="str">
        <f t="shared" si="104"/>
        <v xml:space="preserve">1922 </v>
      </c>
      <c r="L843" t="str">
        <f t="shared" si="105"/>
        <v>Plat 2</v>
      </c>
      <c r="M843" s="8" t="str">
        <f t="shared" si="106"/>
        <v xml:space="preserve"> 2</v>
      </c>
      <c r="N843" s="4" t="s">
        <v>3010</v>
      </c>
      <c r="O843" s="15" t="s">
        <v>3011</v>
      </c>
    </row>
    <row r="844" spans="2:24" ht="15" customHeight="1" x14ac:dyDescent="0.25">
      <c r="B844" s="3" t="s">
        <v>2653</v>
      </c>
      <c r="C844" s="1" t="s">
        <v>2652</v>
      </c>
      <c r="D844" s="2" t="s">
        <v>1185</v>
      </c>
      <c r="E844" s="1" t="s">
        <v>1047</v>
      </c>
      <c r="F844" s="2" t="s">
        <v>1372</v>
      </c>
      <c r="G844" s="1" t="s">
        <v>2654</v>
      </c>
      <c r="H844" s="1" t="s">
        <v>1046</v>
      </c>
      <c r="I844" s="13" t="str">
        <f t="shared" si="102"/>
        <v>1N</v>
      </c>
      <c r="J844" t="str">
        <f t="shared" si="103"/>
        <v xml:space="preserve">1922 </v>
      </c>
      <c r="K844" t="str">
        <f t="shared" si="104"/>
        <v>1922½</v>
      </c>
      <c r="L844" t="str">
        <f t="shared" si="105"/>
        <v>Plat 9</v>
      </c>
      <c r="M844" s="8" t="str">
        <f t="shared" si="106"/>
        <v xml:space="preserve"> 9</v>
      </c>
      <c r="N844" s="4" t="s">
        <v>1372</v>
      </c>
      <c r="O844"/>
    </row>
    <row r="845" spans="2:24" ht="15" customHeight="1" x14ac:dyDescent="0.25">
      <c r="B845" s="3" t="s">
        <v>2655</v>
      </c>
      <c r="C845" s="1" t="s">
        <v>2656</v>
      </c>
      <c r="D845" s="2" t="s">
        <v>1372</v>
      </c>
      <c r="E845" s="1" t="s">
        <v>1043</v>
      </c>
      <c r="F845" s="2" t="s">
        <v>1161</v>
      </c>
      <c r="G845" s="1" t="s">
        <v>2657</v>
      </c>
      <c r="H845" s="1" t="s">
        <v>1046</v>
      </c>
      <c r="I845" s="13" t="str">
        <f t="shared" si="102"/>
        <v>2C</v>
      </c>
      <c r="J845" t="str">
        <f t="shared" si="103"/>
        <v>1923½</v>
      </c>
      <c r="K845" t="str">
        <f t="shared" si="104"/>
        <v>1924½</v>
      </c>
      <c r="L845" t="str">
        <f t="shared" si="105"/>
        <v>Plat 8</v>
      </c>
      <c r="M845" s="8" t="str">
        <f t="shared" si="106"/>
        <v xml:space="preserve"> 8</v>
      </c>
      <c r="N845" t="s">
        <v>1181</v>
      </c>
      <c r="O845" t="s">
        <v>3014</v>
      </c>
      <c r="P845" t="s">
        <v>3015</v>
      </c>
      <c r="Q845" t="s">
        <v>3016</v>
      </c>
      <c r="R845" t="s">
        <v>3004</v>
      </c>
      <c r="S845" t="s">
        <v>1161</v>
      </c>
    </row>
    <row r="846" spans="2:24" ht="15" customHeight="1" x14ac:dyDescent="0.25">
      <c r="B846" s="3" t="s">
        <v>2658</v>
      </c>
      <c r="C846" s="1" t="s">
        <v>2659</v>
      </c>
      <c r="D846" s="2" t="s">
        <v>1372</v>
      </c>
      <c r="E846" s="1" t="s">
        <v>1156</v>
      </c>
      <c r="F846" s="2" t="s">
        <v>1185</v>
      </c>
      <c r="G846" s="1" t="s">
        <v>2660</v>
      </c>
      <c r="H846" s="1" t="s">
        <v>1046</v>
      </c>
      <c r="I846" s="13" t="str">
        <f t="shared" si="102"/>
        <v>1N</v>
      </c>
      <c r="J846" t="str">
        <f t="shared" si="103"/>
        <v>1924½</v>
      </c>
      <c r="K846" t="str">
        <f t="shared" si="104"/>
        <v xml:space="preserve">1925 </v>
      </c>
      <c r="L846" t="str">
        <f t="shared" si="105"/>
        <v>Plat10</v>
      </c>
      <c r="M846" s="8" t="str">
        <f t="shared" si="106"/>
        <v>10</v>
      </c>
      <c r="N846" t="s">
        <v>1044</v>
      </c>
      <c r="O846" t="s">
        <v>2999</v>
      </c>
      <c r="P846" t="s">
        <v>1473</v>
      </c>
      <c r="Q846" t="s">
        <v>3001</v>
      </c>
      <c r="R846" t="s">
        <v>3003</v>
      </c>
      <c r="S846" t="s">
        <v>1091</v>
      </c>
      <c r="T846" t="s">
        <v>3031</v>
      </c>
      <c r="U846" t="s">
        <v>3046</v>
      </c>
      <c r="V846" t="s">
        <v>3047</v>
      </c>
    </row>
    <row r="847" spans="2:24" ht="15" customHeight="1" x14ac:dyDescent="0.25">
      <c r="B847" s="3" t="s">
        <v>888</v>
      </c>
      <c r="C847" s="1" t="s">
        <v>2661</v>
      </c>
      <c r="D847" s="2" t="s">
        <v>1237</v>
      </c>
      <c r="E847" s="1" t="s">
        <v>1047</v>
      </c>
      <c r="F847" s="2" t="s">
        <v>1372</v>
      </c>
      <c r="G847" s="1" t="s">
        <v>2662</v>
      </c>
      <c r="H847" s="1" t="s">
        <v>1046</v>
      </c>
      <c r="I847" s="13" t="str">
        <f t="shared" si="102"/>
        <v>1F</v>
      </c>
      <c r="J847" t="str">
        <f t="shared" si="103"/>
        <v xml:space="preserve">1927 </v>
      </c>
      <c r="K847" t="str">
        <f t="shared" si="104"/>
        <v>1927½</v>
      </c>
      <c r="L847" t="str">
        <f t="shared" si="105"/>
        <v>Plat 9</v>
      </c>
      <c r="M847" s="8" t="str">
        <f t="shared" si="106"/>
        <v xml:space="preserve"> 9</v>
      </c>
      <c r="N847" s="4" t="s">
        <v>1372</v>
      </c>
      <c r="O847"/>
    </row>
    <row r="848" spans="2:24" ht="15" customHeight="1" x14ac:dyDescent="0.25">
      <c r="B848" s="3" t="s">
        <v>1830</v>
      </c>
      <c r="C848" s="1" t="s">
        <v>2663</v>
      </c>
      <c r="D848" s="2" t="s">
        <v>1372</v>
      </c>
      <c r="E848" s="1" t="s">
        <v>1043</v>
      </c>
      <c r="F848" s="2" t="s">
        <v>1044</v>
      </c>
      <c r="G848" s="1" t="s">
        <v>2664</v>
      </c>
      <c r="H848" s="1" t="s">
        <v>1046</v>
      </c>
      <c r="I848" s="13" t="str">
        <f t="shared" si="102"/>
        <v>2W</v>
      </c>
      <c r="J848" t="str">
        <f t="shared" si="103"/>
        <v>1926½</v>
      </c>
      <c r="K848" t="str">
        <f t="shared" si="104"/>
        <v>1928½</v>
      </c>
      <c r="L848" t="str">
        <f t="shared" si="105"/>
        <v>Plat 8</v>
      </c>
      <c r="M848" s="8" t="str">
        <f t="shared" si="106"/>
        <v xml:space="preserve"> 8</v>
      </c>
      <c r="N848" s="4" t="s">
        <v>3012</v>
      </c>
      <c r="O848" s="4" t="s">
        <v>3013</v>
      </c>
      <c r="P848" s="4" t="s">
        <v>1181</v>
      </c>
      <c r="Q848" s="4" t="s">
        <v>3014</v>
      </c>
      <c r="R848" s="4" t="s">
        <v>3015</v>
      </c>
      <c r="S848" s="4" t="s">
        <v>3016</v>
      </c>
      <c r="T848" s="4" t="s">
        <v>3004</v>
      </c>
      <c r="U848" s="4" t="s">
        <v>1161</v>
      </c>
      <c r="V848" s="4" t="s">
        <v>3017</v>
      </c>
      <c r="W848" s="4" t="s">
        <v>3018</v>
      </c>
      <c r="X848" s="4" t="s">
        <v>1044</v>
      </c>
    </row>
    <row r="849" spans="2:24" ht="15" customHeight="1" x14ac:dyDescent="0.25">
      <c r="B849" s="3" t="s">
        <v>1305</v>
      </c>
      <c r="C849" s="1" t="s">
        <v>2665</v>
      </c>
      <c r="D849" s="2" t="s">
        <v>1074</v>
      </c>
      <c r="E849" s="1" t="s">
        <v>1075</v>
      </c>
      <c r="F849" s="1" t="s">
        <v>1051</v>
      </c>
      <c r="G849" s="1"/>
      <c r="H849" s="1" t="s">
        <v>1040</v>
      </c>
      <c r="I849" s="13" t="str">
        <f t="shared" si="102"/>
        <v>2N</v>
      </c>
      <c r="J849" t="str">
        <f t="shared" si="103"/>
        <v xml:space="preserve">1929 </v>
      </c>
      <c r="K849" t="str">
        <f t="shared" si="104"/>
        <v/>
      </c>
      <c r="L849" t="str">
        <f t="shared" si="105"/>
        <v>Plat 2</v>
      </c>
      <c r="M849" s="8" t="str">
        <f t="shared" si="106"/>
        <v xml:space="preserve"> 2</v>
      </c>
      <c r="O849"/>
    </row>
    <row r="850" spans="2:24" ht="15" customHeight="1" x14ac:dyDescent="0.25">
      <c r="B850" s="3" t="s">
        <v>1806</v>
      </c>
      <c r="C850" s="1" t="s">
        <v>2661</v>
      </c>
      <c r="D850" s="2" t="s">
        <v>1044</v>
      </c>
      <c r="E850" s="1" t="s">
        <v>1054</v>
      </c>
      <c r="F850" s="2" t="s">
        <v>1372</v>
      </c>
      <c r="G850" s="1" t="s">
        <v>2666</v>
      </c>
      <c r="H850" s="1" t="s">
        <v>1046</v>
      </c>
      <c r="I850" s="13" t="str">
        <f t="shared" si="102"/>
        <v>2W</v>
      </c>
      <c r="J850" t="str">
        <f t="shared" si="103"/>
        <v xml:space="preserve">1927 </v>
      </c>
      <c r="K850" t="str">
        <f t="shared" si="104"/>
        <v xml:space="preserve">1929 </v>
      </c>
      <c r="L850" t="str">
        <f t="shared" si="105"/>
        <v>Plat 5</v>
      </c>
      <c r="M850" s="8" t="str">
        <f t="shared" si="106"/>
        <v xml:space="preserve"> 5</v>
      </c>
      <c r="N850" s="4" t="s">
        <v>1372</v>
      </c>
      <c r="O850"/>
    </row>
    <row r="851" spans="2:24" ht="15" customHeight="1" x14ac:dyDescent="0.25">
      <c r="B851" s="3" t="s">
        <v>2667</v>
      </c>
      <c r="C851" s="1"/>
      <c r="D851" s="1" t="s">
        <v>1037</v>
      </c>
      <c r="E851" s="1" t="s">
        <v>2148</v>
      </c>
      <c r="F851" s="2" t="s">
        <v>1254</v>
      </c>
      <c r="G851" s="1" t="s">
        <v>788</v>
      </c>
      <c r="H851" s="1" t="s">
        <v>1046</v>
      </c>
      <c r="I851" s="13" t="str">
        <f t="shared" si="102"/>
        <v>2S</v>
      </c>
      <c r="J851" t="str">
        <f t="shared" si="103"/>
        <v/>
      </c>
      <c r="K851" t="str">
        <f t="shared" si="104"/>
        <v xml:space="preserve">1930 </v>
      </c>
      <c r="L851" t="str">
        <f t="shared" si="105"/>
        <v>Plat11</v>
      </c>
      <c r="M851" s="8" t="str">
        <f t="shared" si="106"/>
        <v>11</v>
      </c>
      <c r="N851" t="s">
        <v>2975</v>
      </c>
      <c r="O851" t="s">
        <v>3039</v>
      </c>
      <c r="P851" t="s">
        <v>3041</v>
      </c>
      <c r="Q851" t="s">
        <v>3042</v>
      </c>
      <c r="R851" t="s">
        <v>2978</v>
      </c>
      <c r="S851" t="s">
        <v>1298</v>
      </c>
      <c r="T851" t="s">
        <v>2979</v>
      </c>
      <c r="U851" t="s">
        <v>2980</v>
      </c>
      <c r="V851" t="s">
        <v>2981</v>
      </c>
      <c r="W851" t="s">
        <v>2982</v>
      </c>
      <c r="X851" t="s">
        <v>1254</v>
      </c>
    </row>
    <row r="852" spans="2:24" ht="15" customHeight="1" x14ac:dyDescent="0.25">
      <c r="B852" s="3" t="s">
        <v>2668</v>
      </c>
      <c r="C852" s="1"/>
      <c r="D852" s="1" t="s">
        <v>1037</v>
      </c>
      <c r="E852" s="1" t="s">
        <v>1038</v>
      </c>
      <c r="F852" s="2" t="s">
        <v>1039</v>
      </c>
      <c r="G852" s="1" t="s">
        <v>788</v>
      </c>
      <c r="H852" s="1" t="s">
        <v>1040</v>
      </c>
      <c r="I852" s="13" t="str">
        <f t="shared" si="102"/>
        <v>2Y</v>
      </c>
      <c r="J852" t="str">
        <f t="shared" si="103"/>
        <v/>
      </c>
      <c r="K852" t="str">
        <f t="shared" si="104"/>
        <v xml:space="preserve">1930 </v>
      </c>
      <c r="L852" t="str">
        <f t="shared" si="105"/>
        <v>Plat 1</v>
      </c>
      <c r="M852" s="8" t="str">
        <f t="shared" si="106"/>
        <v xml:space="preserve"> 1</v>
      </c>
      <c r="N852" s="4" t="s">
        <v>3010</v>
      </c>
      <c r="O852" s="15" t="s">
        <v>3011</v>
      </c>
    </row>
    <row r="853" spans="2:24" ht="15" customHeight="1" x14ac:dyDescent="0.25">
      <c r="B853" s="3" t="s">
        <v>2670</v>
      </c>
      <c r="C853" s="1" t="s">
        <v>2671</v>
      </c>
      <c r="D853" s="2" t="s">
        <v>1039</v>
      </c>
      <c r="E853" s="1" t="s">
        <v>1050</v>
      </c>
      <c r="F853" s="1" t="s">
        <v>1051</v>
      </c>
      <c r="G853" s="1"/>
      <c r="H853" s="1" t="s">
        <v>1040</v>
      </c>
      <c r="I853" s="13" t="str">
        <f t="shared" ref="I853:I908" si="107">LEFT(B853,2)</f>
        <v>2L</v>
      </c>
      <c r="J853" t="str">
        <f t="shared" ref="J853:J908" si="108">LEFT(C853,5)</f>
        <v xml:space="preserve">1934 </v>
      </c>
      <c r="K853" t="str">
        <f t="shared" ref="K853:K908" si="109">LEFT(G853,5)</f>
        <v/>
      </c>
      <c r="L853" t="str">
        <f t="shared" ref="L853:L908" si="110">LEFT(E853,6)</f>
        <v>Plat 1</v>
      </c>
      <c r="M853" s="8" t="str">
        <f t="shared" ref="M853:M908" si="111">RIGHT(L853,2)</f>
        <v xml:space="preserve"> 1</v>
      </c>
      <c r="O853"/>
    </row>
    <row r="854" spans="2:24" ht="15" customHeight="1" x14ac:dyDescent="0.25">
      <c r="B854" s="3" t="s">
        <v>2672</v>
      </c>
      <c r="C854" s="1" t="s">
        <v>2673</v>
      </c>
      <c r="D854" s="2" t="s">
        <v>1242</v>
      </c>
      <c r="E854" s="1" t="s">
        <v>1047</v>
      </c>
      <c r="F854" s="2" t="s">
        <v>1372</v>
      </c>
      <c r="G854" s="1" t="s">
        <v>2674</v>
      </c>
      <c r="H854" s="1" t="s">
        <v>1046</v>
      </c>
      <c r="I854" s="13" t="str">
        <f t="shared" si="107"/>
        <v>1Y</v>
      </c>
      <c r="J854" t="str">
        <f t="shared" si="108"/>
        <v xml:space="preserve">1936 </v>
      </c>
      <c r="K854" t="str">
        <f t="shared" si="109"/>
        <v>1936½</v>
      </c>
      <c r="L854" t="str">
        <f t="shared" si="110"/>
        <v>Plat 9</v>
      </c>
      <c r="M854" s="8" t="str">
        <f t="shared" si="111"/>
        <v xml:space="preserve"> 9</v>
      </c>
      <c r="N854" s="4" t="s">
        <v>1372</v>
      </c>
      <c r="O854"/>
    </row>
    <row r="855" spans="2:24" ht="15" customHeight="1" x14ac:dyDescent="0.25">
      <c r="B855" s="3" t="s">
        <v>2675</v>
      </c>
      <c r="C855" s="1" t="s">
        <v>796</v>
      </c>
      <c r="D855" s="2" t="s">
        <v>1079</v>
      </c>
      <c r="E855" s="1" t="s">
        <v>2148</v>
      </c>
      <c r="F855" s="1" t="s">
        <v>1051</v>
      </c>
      <c r="G855" s="1"/>
      <c r="H855" s="1" t="s">
        <v>1046</v>
      </c>
      <c r="I855" s="13" t="str">
        <f t="shared" si="107"/>
        <v>2O</v>
      </c>
      <c r="J855" t="str">
        <f t="shared" si="108"/>
        <v xml:space="preserve">1938 </v>
      </c>
      <c r="K855" t="str">
        <f t="shared" si="109"/>
        <v/>
      </c>
      <c r="L855" t="str">
        <f t="shared" si="110"/>
        <v>Plat11</v>
      </c>
      <c r="M855" s="8" t="str">
        <f t="shared" si="111"/>
        <v>11</v>
      </c>
      <c r="O855"/>
    </row>
    <row r="856" spans="2:24" ht="15" customHeight="1" x14ac:dyDescent="0.25">
      <c r="B856" s="3" t="s">
        <v>1323</v>
      </c>
      <c r="C856" s="1"/>
      <c r="D856" s="1" t="s">
        <v>1037</v>
      </c>
      <c r="E856" s="1" t="s">
        <v>1061</v>
      </c>
      <c r="F856" s="2" t="s">
        <v>1074</v>
      </c>
      <c r="G856" s="1" t="s">
        <v>796</v>
      </c>
      <c r="H856" s="1" t="s">
        <v>1040</v>
      </c>
      <c r="I856" s="13" t="str">
        <f t="shared" si="107"/>
        <v>2N</v>
      </c>
      <c r="J856" t="str">
        <f t="shared" si="108"/>
        <v/>
      </c>
      <c r="K856" t="str">
        <f t="shared" si="109"/>
        <v xml:space="preserve">1938 </v>
      </c>
      <c r="L856" t="str">
        <f t="shared" si="110"/>
        <v>Plat 2</v>
      </c>
      <c r="M856" s="8" t="str">
        <f t="shared" si="111"/>
        <v xml:space="preserve"> 2</v>
      </c>
      <c r="N856" s="4" t="s">
        <v>3010</v>
      </c>
      <c r="O856" s="15" t="s">
        <v>3011</v>
      </c>
    </row>
    <row r="857" spans="2:24" ht="15" customHeight="1" x14ac:dyDescent="0.25">
      <c r="B857" s="3" t="s">
        <v>1849</v>
      </c>
      <c r="C857" s="1" t="s">
        <v>2676</v>
      </c>
      <c r="D857" s="2" t="s">
        <v>1372</v>
      </c>
      <c r="E857" s="1" t="s">
        <v>1043</v>
      </c>
      <c r="F857" s="2" t="s">
        <v>1044</v>
      </c>
      <c r="G857" s="1" t="s">
        <v>2677</v>
      </c>
      <c r="H857" s="1" t="s">
        <v>1046</v>
      </c>
      <c r="I857" s="13" t="str">
        <f t="shared" si="107"/>
        <v>2W</v>
      </c>
      <c r="J857" t="str">
        <f t="shared" si="108"/>
        <v>1936½</v>
      </c>
      <c r="K857" t="str">
        <f t="shared" si="109"/>
        <v>1938½</v>
      </c>
      <c r="L857" t="str">
        <f t="shared" si="110"/>
        <v>Plat 8</v>
      </c>
      <c r="M857" s="8" t="str">
        <f t="shared" si="111"/>
        <v xml:space="preserve"> 8</v>
      </c>
      <c r="N857" s="4" t="s">
        <v>3012</v>
      </c>
      <c r="O857" s="4" t="s">
        <v>3013</v>
      </c>
      <c r="P857" s="4" t="s">
        <v>1181</v>
      </c>
      <c r="Q857" s="4" t="s">
        <v>3014</v>
      </c>
      <c r="R857" s="4" t="s">
        <v>3015</v>
      </c>
      <c r="S857" s="4" t="s">
        <v>3016</v>
      </c>
      <c r="T857" s="4" t="s">
        <v>3004</v>
      </c>
      <c r="U857" s="4" t="s">
        <v>1161</v>
      </c>
      <c r="V857" s="4" t="s">
        <v>3017</v>
      </c>
      <c r="W857" s="4" t="s">
        <v>3018</v>
      </c>
      <c r="X857" s="4" t="s">
        <v>1044</v>
      </c>
    </row>
    <row r="858" spans="2:24" ht="15" customHeight="1" x14ac:dyDescent="0.25">
      <c r="B858" s="3" t="s">
        <v>2678</v>
      </c>
      <c r="C858" s="1" t="s">
        <v>2679</v>
      </c>
      <c r="D858" s="2" t="s">
        <v>1372</v>
      </c>
      <c r="E858" s="1" t="s">
        <v>1156</v>
      </c>
      <c r="F858" s="2" t="s">
        <v>3005</v>
      </c>
      <c r="G858" s="1" t="s">
        <v>2680</v>
      </c>
      <c r="H858" s="1" t="s">
        <v>1046</v>
      </c>
      <c r="I858" s="13" t="str">
        <f t="shared" si="107"/>
        <v>1A</v>
      </c>
      <c r="J858" t="str">
        <f t="shared" si="108"/>
        <v>1938½</v>
      </c>
      <c r="K858" t="str">
        <f t="shared" si="109"/>
        <v xml:space="preserve">1939 </v>
      </c>
      <c r="L858" t="str">
        <f t="shared" si="110"/>
        <v>Plat10</v>
      </c>
      <c r="M858" s="8" t="str">
        <f t="shared" si="111"/>
        <v>10</v>
      </c>
      <c r="N858" t="s">
        <v>1473</v>
      </c>
      <c r="O858" t="s">
        <v>3001</v>
      </c>
      <c r="P858" t="s">
        <v>1091</v>
      </c>
      <c r="Q858" t="s">
        <v>3006</v>
      </c>
      <c r="R858" t="s">
        <v>3005</v>
      </c>
    </row>
    <row r="859" spans="2:24" ht="15" customHeight="1" x14ac:dyDescent="0.25">
      <c r="B859" s="3" t="s">
        <v>1815</v>
      </c>
      <c r="C859" s="1" t="s">
        <v>794</v>
      </c>
      <c r="D859" s="2" t="s">
        <v>1044</v>
      </c>
      <c r="E859" s="1" t="s">
        <v>1054</v>
      </c>
      <c r="F859" s="2" t="s">
        <v>1372</v>
      </c>
      <c r="G859" s="1" t="s">
        <v>2680</v>
      </c>
      <c r="H859" s="1" t="s">
        <v>1046</v>
      </c>
      <c r="I859" s="13" t="str">
        <f t="shared" si="107"/>
        <v>2W</v>
      </c>
      <c r="J859" t="str">
        <f t="shared" si="108"/>
        <v xml:space="preserve">1937 </v>
      </c>
      <c r="K859" t="str">
        <f t="shared" si="109"/>
        <v xml:space="preserve">1939 </v>
      </c>
      <c r="L859" t="str">
        <f t="shared" si="110"/>
        <v>Plat 5</v>
      </c>
      <c r="M859" s="8" t="str">
        <f t="shared" si="111"/>
        <v xml:space="preserve"> 5</v>
      </c>
      <c r="N859" s="4" t="s">
        <v>1372</v>
      </c>
      <c r="O859"/>
    </row>
    <row r="860" spans="2:24" ht="15" customHeight="1" x14ac:dyDescent="0.25">
      <c r="B860" s="3" t="s">
        <v>1390</v>
      </c>
      <c r="C860" s="1" t="s">
        <v>2680</v>
      </c>
      <c r="D860" s="2" t="s">
        <v>1058</v>
      </c>
      <c r="E860" s="1" t="s">
        <v>1047</v>
      </c>
      <c r="F860" s="2" t="s">
        <v>1372</v>
      </c>
      <c r="G860" s="1" t="s">
        <v>2681</v>
      </c>
      <c r="H860" s="1" t="s">
        <v>1046</v>
      </c>
      <c r="I860" s="13" t="str">
        <f t="shared" si="107"/>
        <v>1K</v>
      </c>
      <c r="J860" t="str">
        <f t="shared" si="108"/>
        <v xml:space="preserve">1939 </v>
      </c>
      <c r="K860" t="str">
        <f t="shared" si="109"/>
        <v>1939½</v>
      </c>
      <c r="L860" t="str">
        <f t="shared" si="110"/>
        <v>Plat 9</v>
      </c>
      <c r="M860" s="8" t="str">
        <f t="shared" si="111"/>
        <v xml:space="preserve"> 9</v>
      </c>
      <c r="N860" s="4" t="s">
        <v>1372</v>
      </c>
      <c r="O860"/>
    </row>
    <row r="861" spans="2:24" ht="15" customHeight="1" x14ac:dyDescent="0.25">
      <c r="B861" s="3" t="s">
        <v>2682</v>
      </c>
      <c r="C861" s="1" t="s">
        <v>2683</v>
      </c>
      <c r="D861" s="2" t="s">
        <v>1372</v>
      </c>
      <c r="E861" s="1" t="s">
        <v>1156</v>
      </c>
      <c r="F861" s="2" t="s">
        <v>1058</v>
      </c>
      <c r="G861" s="1" t="s">
        <v>797</v>
      </c>
      <c r="H861" s="1" t="s">
        <v>1046</v>
      </c>
      <c r="I861" s="13" t="str">
        <f t="shared" si="107"/>
        <v>1K</v>
      </c>
      <c r="J861" t="str">
        <f t="shared" si="108"/>
        <v>1941½</v>
      </c>
      <c r="K861" t="str">
        <f t="shared" si="109"/>
        <v xml:space="preserve">1942 </v>
      </c>
      <c r="L861" t="str">
        <f t="shared" si="110"/>
        <v>Plat10</v>
      </c>
      <c r="M861" s="8" t="str">
        <f t="shared" si="111"/>
        <v>10</v>
      </c>
      <c r="N861" s="4" t="s">
        <v>1044</v>
      </c>
      <c r="O861" s="4" t="s">
        <v>3019</v>
      </c>
      <c r="P861" s="4" t="s">
        <v>3020</v>
      </c>
      <c r="Q861" s="4" t="s">
        <v>3021</v>
      </c>
      <c r="R861" s="4" t="s">
        <v>3022</v>
      </c>
      <c r="S861" s="4" t="s">
        <v>3023</v>
      </c>
      <c r="T861" s="4" t="s">
        <v>3024</v>
      </c>
      <c r="U861" s="4" t="s">
        <v>3025</v>
      </c>
      <c r="V861" s="4" t="s">
        <v>1058</v>
      </c>
    </row>
    <row r="862" spans="2:24" ht="15" customHeight="1" x14ac:dyDescent="0.25">
      <c r="B862" s="3" t="s">
        <v>1183</v>
      </c>
      <c r="C862" s="1" t="s">
        <v>2684</v>
      </c>
      <c r="D862" s="2" t="s">
        <v>1074</v>
      </c>
      <c r="E862" s="1" t="s">
        <v>1075</v>
      </c>
      <c r="F862" s="1" t="s">
        <v>1051</v>
      </c>
      <c r="G862" s="1"/>
      <c r="H862" s="1" t="s">
        <v>1040</v>
      </c>
      <c r="I862" s="13" t="str">
        <f t="shared" si="107"/>
        <v>2N</v>
      </c>
      <c r="J862" t="str">
        <f t="shared" si="108"/>
        <v xml:space="preserve">1944 </v>
      </c>
      <c r="K862" t="str">
        <f t="shared" si="109"/>
        <v/>
      </c>
      <c r="L862" t="str">
        <f t="shared" si="110"/>
        <v>Plat 2</v>
      </c>
      <c r="M862" s="8" t="str">
        <f t="shared" si="111"/>
        <v xml:space="preserve"> 2</v>
      </c>
      <c r="O862"/>
    </row>
    <row r="863" spans="2:24" ht="15" customHeight="1" x14ac:dyDescent="0.25">
      <c r="B863" s="3" t="s">
        <v>2685</v>
      </c>
      <c r="C863" s="1"/>
      <c r="D863" s="1" t="s">
        <v>1037</v>
      </c>
      <c r="E863" s="1" t="s">
        <v>1038</v>
      </c>
      <c r="F863" s="2" t="s">
        <v>1039</v>
      </c>
      <c r="G863" s="1" t="s">
        <v>802</v>
      </c>
      <c r="H863" s="1" t="s">
        <v>1040</v>
      </c>
      <c r="I863" s="13" t="str">
        <f t="shared" si="107"/>
        <v>2Y</v>
      </c>
      <c r="J863" t="str">
        <f t="shared" si="108"/>
        <v/>
      </c>
      <c r="K863" t="str">
        <f t="shared" si="109"/>
        <v xml:space="preserve">1945 </v>
      </c>
      <c r="L863" t="str">
        <f t="shared" si="110"/>
        <v>Plat 1</v>
      </c>
      <c r="M863" s="8" t="str">
        <f t="shared" si="111"/>
        <v xml:space="preserve"> 1</v>
      </c>
      <c r="N863" s="4" t="s">
        <v>3010</v>
      </c>
      <c r="O863" s="15" t="s">
        <v>3011</v>
      </c>
    </row>
    <row r="864" spans="2:24" ht="15" customHeight="1" x14ac:dyDescent="0.25">
      <c r="B864" s="3" t="s">
        <v>735</v>
      </c>
      <c r="C864" s="1" t="s">
        <v>799</v>
      </c>
      <c r="D864" s="2" t="s">
        <v>1372</v>
      </c>
      <c r="E864" s="1" t="s">
        <v>1156</v>
      </c>
      <c r="F864" s="2" t="s">
        <v>1304</v>
      </c>
      <c r="G864" s="1" t="s">
        <v>802</v>
      </c>
      <c r="H864" s="1" t="s">
        <v>1046</v>
      </c>
      <c r="I864" s="13" t="str">
        <f t="shared" si="107"/>
        <v>1F</v>
      </c>
      <c r="J864" t="str">
        <f t="shared" si="108"/>
        <v>1944½</v>
      </c>
      <c r="K864" t="str">
        <f t="shared" si="109"/>
        <v xml:space="preserve">1945 </v>
      </c>
      <c r="L864" t="str">
        <f t="shared" si="110"/>
        <v>Plat10</v>
      </c>
      <c r="M864" s="8" t="str">
        <f t="shared" si="111"/>
        <v>10</v>
      </c>
      <c r="N864" s="4" t="s">
        <v>1044</v>
      </c>
      <c r="O864" s="4" t="s">
        <v>2999</v>
      </c>
      <c r="P864" s="4" t="s">
        <v>1473</v>
      </c>
      <c r="Q864" s="4" t="s">
        <v>3000</v>
      </c>
      <c r="R864" s="4" t="s">
        <v>3001</v>
      </c>
      <c r="S864" s="4" t="s">
        <v>3002</v>
      </c>
      <c r="T864" s="4" t="s">
        <v>3003</v>
      </c>
      <c r="U864" s="4" t="s">
        <v>1091</v>
      </c>
      <c r="V864" s="4" t="s">
        <v>1304</v>
      </c>
    </row>
    <row r="865" spans="2:24" ht="15" customHeight="1" x14ac:dyDescent="0.25">
      <c r="B865" s="3" t="s">
        <v>2686</v>
      </c>
      <c r="C865" s="1" t="s">
        <v>802</v>
      </c>
      <c r="D865" s="2" t="s">
        <v>1066</v>
      </c>
      <c r="E865" s="1" t="s">
        <v>1047</v>
      </c>
      <c r="F865" s="2" t="s">
        <v>1372</v>
      </c>
      <c r="G865" s="1" t="s">
        <v>2874</v>
      </c>
      <c r="H865" s="1" t="s">
        <v>1046</v>
      </c>
      <c r="I865" s="13" t="str">
        <f t="shared" si="107"/>
        <v>1P</v>
      </c>
      <c r="J865" t="str">
        <f t="shared" si="108"/>
        <v xml:space="preserve">1945 </v>
      </c>
      <c r="K865" t="str">
        <f t="shared" si="109"/>
        <v xml:space="preserve">1946 </v>
      </c>
      <c r="L865" t="str">
        <f t="shared" si="110"/>
        <v>Plat 9</v>
      </c>
      <c r="M865" s="8" t="str">
        <f t="shared" si="111"/>
        <v xml:space="preserve"> 9</v>
      </c>
      <c r="N865" s="4" t="s">
        <v>1372</v>
      </c>
      <c r="O865"/>
    </row>
    <row r="866" spans="2:24" ht="15" customHeight="1" x14ac:dyDescent="0.25">
      <c r="B866" s="3" t="s">
        <v>1860</v>
      </c>
      <c r="C866" s="1" t="s">
        <v>2687</v>
      </c>
      <c r="D866" s="2" t="s">
        <v>1372</v>
      </c>
      <c r="E866" s="1" t="s">
        <v>1043</v>
      </c>
      <c r="F866" s="2" t="s">
        <v>1044</v>
      </c>
      <c r="G866" s="1" t="s">
        <v>800</v>
      </c>
      <c r="H866" s="1" t="s">
        <v>1046</v>
      </c>
      <c r="I866" s="13" t="str">
        <f t="shared" si="107"/>
        <v>2W</v>
      </c>
      <c r="J866" t="str">
        <f t="shared" si="108"/>
        <v>1946½</v>
      </c>
      <c r="K866" t="str">
        <f t="shared" si="109"/>
        <v>1948½</v>
      </c>
      <c r="L866" t="str">
        <f t="shared" si="110"/>
        <v>Plat 8</v>
      </c>
      <c r="M866" s="8" t="str">
        <f t="shared" si="111"/>
        <v xml:space="preserve"> 8</v>
      </c>
      <c r="N866" s="4" t="s">
        <v>3012</v>
      </c>
      <c r="O866" s="4" t="s">
        <v>3013</v>
      </c>
      <c r="P866" s="4" t="s">
        <v>1181</v>
      </c>
      <c r="Q866" s="4" t="s">
        <v>3014</v>
      </c>
      <c r="R866" s="4" t="s">
        <v>3015</v>
      </c>
      <c r="S866" s="4" t="s">
        <v>3016</v>
      </c>
      <c r="T866" s="4" t="s">
        <v>3004</v>
      </c>
      <c r="U866" s="4" t="s">
        <v>1161</v>
      </c>
      <c r="V866" s="4" t="s">
        <v>3017</v>
      </c>
      <c r="W866" s="4" t="s">
        <v>3018</v>
      </c>
      <c r="X866" s="4" t="s">
        <v>1044</v>
      </c>
    </row>
    <row r="867" spans="2:24" ht="15" customHeight="1" x14ac:dyDescent="0.25">
      <c r="B867" s="3" t="s">
        <v>1835</v>
      </c>
      <c r="C867" s="1" t="s">
        <v>2688</v>
      </c>
      <c r="D867" s="2" t="s">
        <v>1044</v>
      </c>
      <c r="E867" s="1" t="s">
        <v>1054</v>
      </c>
      <c r="F867" s="2" t="s">
        <v>1372</v>
      </c>
      <c r="G867" s="1" t="s">
        <v>803</v>
      </c>
      <c r="H867" s="1" t="s">
        <v>1046</v>
      </c>
      <c r="I867" s="13" t="str">
        <f t="shared" si="107"/>
        <v>2W</v>
      </c>
      <c r="J867" t="str">
        <f t="shared" si="108"/>
        <v xml:space="preserve">1947 </v>
      </c>
      <c r="K867" t="str">
        <f t="shared" si="109"/>
        <v xml:space="preserve">1949 </v>
      </c>
      <c r="L867" t="str">
        <f t="shared" si="110"/>
        <v>Plat 5</v>
      </c>
      <c r="M867" s="8" t="str">
        <f t="shared" si="111"/>
        <v xml:space="preserve"> 5</v>
      </c>
      <c r="N867" s="4" t="s">
        <v>1372</v>
      </c>
      <c r="O867"/>
    </row>
    <row r="868" spans="2:24" ht="15" customHeight="1" x14ac:dyDescent="0.25">
      <c r="B868" s="3" t="s">
        <v>2689</v>
      </c>
      <c r="C868" s="1" t="s">
        <v>2690</v>
      </c>
      <c r="D868" s="2" t="s">
        <v>1039</v>
      </c>
      <c r="E868" s="1" t="s">
        <v>1050</v>
      </c>
      <c r="F868" s="1" t="s">
        <v>1051</v>
      </c>
      <c r="G868" s="1"/>
      <c r="H868" s="1" t="s">
        <v>1040</v>
      </c>
      <c r="I868" s="13" t="str">
        <f t="shared" si="107"/>
        <v>2L</v>
      </c>
      <c r="J868" t="str">
        <f t="shared" si="108"/>
        <v xml:space="preserve">1949 </v>
      </c>
      <c r="K868" t="str">
        <f t="shared" si="109"/>
        <v/>
      </c>
      <c r="L868" t="str">
        <f t="shared" si="110"/>
        <v>Plat 1</v>
      </c>
      <c r="M868" s="8" t="str">
        <f t="shared" si="111"/>
        <v xml:space="preserve"> 1</v>
      </c>
      <c r="O868"/>
    </row>
    <row r="869" spans="2:24" ht="15" customHeight="1" x14ac:dyDescent="0.25">
      <c r="B869" s="3" t="s">
        <v>906</v>
      </c>
      <c r="C869" s="1" t="s">
        <v>808</v>
      </c>
      <c r="D869" s="2" t="s">
        <v>1091</v>
      </c>
      <c r="E869" s="1" t="s">
        <v>1047</v>
      </c>
      <c r="F869" s="2" t="s">
        <v>1372</v>
      </c>
      <c r="G869" s="1" t="s">
        <v>2691</v>
      </c>
      <c r="H869" s="1" t="s">
        <v>1046</v>
      </c>
      <c r="I869" s="13" t="str">
        <f t="shared" si="107"/>
        <v>1F</v>
      </c>
      <c r="J869" t="str">
        <f t="shared" si="108"/>
        <v xml:space="preserve">1952 </v>
      </c>
      <c r="K869" t="str">
        <f t="shared" si="109"/>
        <v>1952½</v>
      </c>
      <c r="L869" t="str">
        <f t="shared" si="110"/>
        <v>Plat 9</v>
      </c>
      <c r="M869" s="8" t="str">
        <f t="shared" si="111"/>
        <v xml:space="preserve"> 9</v>
      </c>
      <c r="N869" s="4" t="s">
        <v>1372</v>
      </c>
      <c r="O869"/>
    </row>
    <row r="870" spans="2:24" ht="15" customHeight="1" x14ac:dyDescent="0.25">
      <c r="B870" s="3" t="s">
        <v>1355</v>
      </c>
      <c r="C870" s="1"/>
      <c r="D870" s="1" t="s">
        <v>1037</v>
      </c>
      <c r="E870" s="1" t="s">
        <v>1061</v>
      </c>
      <c r="F870" s="2" t="s">
        <v>1074</v>
      </c>
      <c r="G870" s="1" t="s">
        <v>2692</v>
      </c>
      <c r="H870" s="1" t="s">
        <v>1040</v>
      </c>
      <c r="I870" s="13" t="str">
        <f t="shared" si="107"/>
        <v>2N</v>
      </c>
      <c r="J870" t="str">
        <f t="shared" si="108"/>
        <v/>
      </c>
      <c r="K870" t="str">
        <f t="shared" si="109"/>
        <v xml:space="preserve">1954 </v>
      </c>
      <c r="L870" t="str">
        <f t="shared" si="110"/>
        <v>Plat 2</v>
      </c>
      <c r="M870" s="8" t="str">
        <f t="shared" si="111"/>
        <v xml:space="preserve"> 2</v>
      </c>
      <c r="N870" s="4" t="s">
        <v>3010</v>
      </c>
      <c r="O870" s="15" t="s">
        <v>3011</v>
      </c>
    </row>
    <row r="871" spans="2:24" ht="15" customHeight="1" x14ac:dyDescent="0.25">
      <c r="B871" s="3" t="s">
        <v>747</v>
      </c>
      <c r="C871" s="1" t="s">
        <v>2693</v>
      </c>
      <c r="D871" s="2" t="s">
        <v>1372</v>
      </c>
      <c r="E871" s="1" t="s">
        <v>1156</v>
      </c>
      <c r="F871" s="2" t="s">
        <v>1237</v>
      </c>
      <c r="G871" s="1" t="s">
        <v>806</v>
      </c>
      <c r="H871" s="1" t="s">
        <v>1046</v>
      </c>
      <c r="I871" s="13" t="str">
        <f t="shared" si="107"/>
        <v>1F</v>
      </c>
      <c r="J871" t="str">
        <f t="shared" si="108"/>
        <v>1954½</v>
      </c>
      <c r="K871" t="str">
        <f t="shared" si="109"/>
        <v xml:space="preserve">1955 </v>
      </c>
      <c r="L871" t="str">
        <f t="shared" si="110"/>
        <v>Plat10</v>
      </c>
      <c r="M871" s="8" t="str">
        <f t="shared" si="111"/>
        <v>10</v>
      </c>
      <c r="N871" t="s">
        <v>1044</v>
      </c>
      <c r="O871" t="s">
        <v>2999</v>
      </c>
      <c r="P871" t="s">
        <v>1473</v>
      </c>
      <c r="Q871" t="s">
        <v>3001</v>
      </c>
      <c r="R871" t="s">
        <v>3043</v>
      </c>
      <c r="S871" t="s">
        <v>3044</v>
      </c>
      <c r="T871" t="s">
        <v>3045</v>
      </c>
      <c r="U871" t="s">
        <v>1237</v>
      </c>
    </row>
    <row r="872" spans="2:24" ht="15" customHeight="1" x14ac:dyDescent="0.25">
      <c r="B872" s="3" t="s">
        <v>1870</v>
      </c>
      <c r="C872" s="1" t="s">
        <v>2694</v>
      </c>
      <c r="D872" s="2" t="s">
        <v>1372</v>
      </c>
      <c r="E872" s="1" t="s">
        <v>1043</v>
      </c>
      <c r="F872" s="2" t="s">
        <v>1044</v>
      </c>
      <c r="G872" s="1" t="s">
        <v>2695</v>
      </c>
      <c r="H872" s="1" t="s">
        <v>1046</v>
      </c>
      <c r="I872" s="13" t="str">
        <f t="shared" si="107"/>
        <v>2W</v>
      </c>
      <c r="J872" t="str">
        <f t="shared" si="108"/>
        <v>1956½</v>
      </c>
      <c r="K872" t="str">
        <f t="shared" si="109"/>
        <v>1958½</v>
      </c>
      <c r="L872" t="str">
        <f t="shared" si="110"/>
        <v>Plat 8</v>
      </c>
      <c r="M872" s="8" t="str">
        <f t="shared" si="111"/>
        <v xml:space="preserve"> 8</v>
      </c>
      <c r="N872" s="4" t="s">
        <v>3012</v>
      </c>
      <c r="O872" s="4" t="s">
        <v>3013</v>
      </c>
      <c r="P872" s="4" t="s">
        <v>1181</v>
      </c>
      <c r="Q872" s="4" t="s">
        <v>3014</v>
      </c>
      <c r="R872" s="4" t="s">
        <v>3015</v>
      </c>
      <c r="S872" s="4" t="s">
        <v>3016</v>
      </c>
      <c r="T872" s="4" t="s">
        <v>3004</v>
      </c>
      <c r="U872" s="4" t="s">
        <v>1161</v>
      </c>
      <c r="V872" s="4" t="s">
        <v>3017</v>
      </c>
      <c r="W872" s="4" t="s">
        <v>3018</v>
      </c>
      <c r="X872" s="4" t="s">
        <v>1044</v>
      </c>
    </row>
    <row r="873" spans="2:24" ht="15" customHeight="1" x14ac:dyDescent="0.25">
      <c r="B873" s="3" t="s">
        <v>1366</v>
      </c>
      <c r="C873" s="1" t="s">
        <v>2696</v>
      </c>
      <c r="D873" s="2" t="s">
        <v>1074</v>
      </c>
      <c r="E873" s="1" t="s">
        <v>1075</v>
      </c>
      <c r="F873" s="1" t="s">
        <v>1051</v>
      </c>
      <c r="G873" s="1"/>
      <c r="H873" s="1" t="s">
        <v>1040</v>
      </c>
      <c r="I873" s="13" t="str">
        <f t="shared" si="107"/>
        <v>2N</v>
      </c>
      <c r="J873" t="str">
        <f t="shared" si="108"/>
        <v xml:space="preserve">1959 </v>
      </c>
      <c r="K873" t="str">
        <f t="shared" si="109"/>
        <v/>
      </c>
      <c r="L873" t="str">
        <f t="shared" si="110"/>
        <v>Plat 2</v>
      </c>
      <c r="M873" s="8" t="str">
        <f t="shared" si="111"/>
        <v xml:space="preserve"> 2</v>
      </c>
      <c r="O873"/>
    </row>
    <row r="874" spans="2:24" ht="15" customHeight="1" x14ac:dyDescent="0.25">
      <c r="B874" s="3" t="s">
        <v>1851</v>
      </c>
      <c r="C874" s="1" t="s">
        <v>2697</v>
      </c>
      <c r="D874" s="2" t="s">
        <v>1044</v>
      </c>
      <c r="E874" s="1" t="s">
        <v>1054</v>
      </c>
      <c r="F874" s="2" t="s">
        <v>1372</v>
      </c>
      <c r="G874" s="1" t="s">
        <v>814</v>
      </c>
      <c r="H874" s="1" t="s">
        <v>1046</v>
      </c>
      <c r="I874" s="13" t="str">
        <f t="shared" si="107"/>
        <v>2W</v>
      </c>
      <c r="J874" t="str">
        <f t="shared" si="108"/>
        <v xml:space="preserve">1957 </v>
      </c>
      <c r="K874" t="str">
        <f t="shared" si="109"/>
        <v xml:space="preserve">1959 </v>
      </c>
      <c r="L874" t="str">
        <f t="shared" si="110"/>
        <v>Plat 5</v>
      </c>
      <c r="M874" s="8" t="str">
        <f t="shared" si="111"/>
        <v xml:space="preserve"> 5</v>
      </c>
      <c r="N874" s="4" t="s">
        <v>1372</v>
      </c>
      <c r="O874"/>
    </row>
    <row r="875" spans="2:24" ht="15" customHeight="1" x14ac:dyDescent="0.25">
      <c r="B875" s="3" t="s">
        <v>2698</v>
      </c>
      <c r="C875" s="1"/>
      <c r="D875" s="1" t="s">
        <v>1037</v>
      </c>
      <c r="E875" s="1" t="s">
        <v>1038</v>
      </c>
      <c r="F875" s="2" t="s">
        <v>1039</v>
      </c>
      <c r="G875" s="1" t="s">
        <v>2699</v>
      </c>
      <c r="H875" s="1" t="s">
        <v>1040</v>
      </c>
      <c r="I875" s="13" t="str">
        <f t="shared" si="107"/>
        <v>2Y</v>
      </c>
      <c r="J875" t="str">
        <f t="shared" si="108"/>
        <v/>
      </c>
      <c r="K875" t="str">
        <f t="shared" si="109"/>
        <v xml:space="preserve">2000 </v>
      </c>
      <c r="L875" t="str">
        <f t="shared" si="110"/>
        <v>Plat 1</v>
      </c>
      <c r="M875" s="8" t="str">
        <f t="shared" si="111"/>
        <v xml:space="preserve"> 1</v>
      </c>
      <c r="N875" s="4" t="s">
        <v>3010</v>
      </c>
      <c r="O875" s="15" t="s">
        <v>3011</v>
      </c>
    </row>
    <row r="876" spans="2:24" ht="15" customHeight="1" x14ac:dyDescent="0.25">
      <c r="B876" s="3" t="s">
        <v>2700</v>
      </c>
      <c r="C876" s="1"/>
      <c r="D876" s="1" t="s">
        <v>1037</v>
      </c>
      <c r="E876" s="1" t="s">
        <v>2148</v>
      </c>
      <c r="F876" s="2" t="s">
        <v>1254</v>
      </c>
      <c r="G876" s="1" t="s">
        <v>2699</v>
      </c>
      <c r="H876" s="1" t="s">
        <v>1046</v>
      </c>
      <c r="I876" s="13" t="str">
        <f t="shared" si="107"/>
        <v>2S</v>
      </c>
      <c r="J876" t="str">
        <f t="shared" si="108"/>
        <v/>
      </c>
      <c r="K876" t="str">
        <f t="shared" si="109"/>
        <v xml:space="preserve">2000 </v>
      </c>
      <c r="L876" t="str">
        <f t="shared" si="110"/>
        <v>Plat11</v>
      </c>
      <c r="M876" s="8" t="str">
        <f t="shared" si="111"/>
        <v>11</v>
      </c>
      <c r="N876" t="s">
        <v>2975</v>
      </c>
      <c r="O876" t="s">
        <v>3039</v>
      </c>
      <c r="P876" t="s">
        <v>3040</v>
      </c>
      <c r="Q876" t="s">
        <v>2978</v>
      </c>
      <c r="R876" t="s">
        <v>1298</v>
      </c>
      <c r="S876" t="s">
        <v>2979</v>
      </c>
      <c r="T876" t="s">
        <v>2980</v>
      </c>
      <c r="U876" t="s">
        <v>2981</v>
      </c>
      <c r="V876" t="s">
        <v>2982</v>
      </c>
      <c r="W876" t="s">
        <v>1254</v>
      </c>
    </row>
    <row r="877" spans="2:24" ht="15" customHeight="1" x14ac:dyDescent="0.25">
      <c r="B877" s="3" t="s">
        <v>2701</v>
      </c>
      <c r="C877" s="1" t="s">
        <v>2702</v>
      </c>
      <c r="D877" s="2" t="s">
        <v>1058</v>
      </c>
      <c r="E877" s="1" t="s">
        <v>1047</v>
      </c>
      <c r="F877" s="2" t="s">
        <v>1372</v>
      </c>
      <c r="G877" s="1" t="s">
        <v>2703</v>
      </c>
      <c r="H877" s="1" t="s">
        <v>1046</v>
      </c>
      <c r="I877" s="13" t="str">
        <f t="shared" si="107"/>
        <v>2K</v>
      </c>
      <c r="J877" t="str">
        <f t="shared" si="108"/>
        <v xml:space="preserve">2001 </v>
      </c>
      <c r="K877" t="str">
        <f t="shared" si="109"/>
        <v>2001½</v>
      </c>
      <c r="L877" t="str">
        <f t="shared" si="110"/>
        <v>Plat 9</v>
      </c>
      <c r="M877" s="8" t="str">
        <f t="shared" si="111"/>
        <v xml:space="preserve"> 9</v>
      </c>
      <c r="N877" s="4" t="s">
        <v>1372</v>
      </c>
      <c r="O877"/>
    </row>
    <row r="878" spans="2:24" ht="15" customHeight="1" x14ac:dyDescent="0.25">
      <c r="B878" s="3" t="s">
        <v>1210</v>
      </c>
      <c r="C878" s="1" t="s">
        <v>2704</v>
      </c>
      <c r="D878" s="2" t="s">
        <v>1372</v>
      </c>
      <c r="E878" s="1" t="s">
        <v>1156</v>
      </c>
      <c r="F878" s="2" t="s">
        <v>1058</v>
      </c>
      <c r="G878" s="1" t="s">
        <v>812</v>
      </c>
      <c r="H878" s="1" t="s">
        <v>1046</v>
      </c>
      <c r="I878" s="13" t="str">
        <f t="shared" si="107"/>
        <v>1K</v>
      </c>
      <c r="J878" t="str">
        <f t="shared" si="108"/>
        <v>2001½</v>
      </c>
      <c r="K878" t="str">
        <f t="shared" si="109"/>
        <v xml:space="preserve">2002 </v>
      </c>
      <c r="L878" t="str">
        <f t="shared" si="110"/>
        <v>Plat10</v>
      </c>
      <c r="M878" s="8" t="str">
        <f t="shared" si="111"/>
        <v>10</v>
      </c>
      <c r="N878" s="4" t="s">
        <v>1044</v>
      </c>
      <c r="O878" s="4" t="s">
        <v>3019</v>
      </c>
      <c r="P878" s="4" t="s">
        <v>3020</v>
      </c>
      <c r="Q878" s="4" t="s">
        <v>3021</v>
      </c>
      <c r="R878" s="4" t="s">
        <v>3022</v>
      </c>
      <c r="S878" s="4" t="s">
        <v>3023</v>
      </c>
      <c r="T878" s="4" t="s">
        <v>3024</v>
      </c>
      <c r="U878" s="4" t="s">
        <v>3025</v>
      </c>
      <c r="V878" s="4" t="s">
        <v>1058</v>
      </c>
    </row>
    <row r="879" spans="2:24" ht="15" customHeight="1" x14ac:dyDescent="0.25">
      <c r="B879" s="3" t="s">
        <v>2705</v>
      </c>
      <c r="C879" s="1" t="s">
        <v>2706</v>
      </c>
      <c r="D879" s="2" t="s">
        <v>1039</v>
      </c>
      <c r="E879" s="1" t="s">
        <v>1050</v>
      </c>
      <c r="F879" s="1" t="s">
        <v>1051</v>
      </c>
      <c r="G879" s="1"/>
      <c r="H879" s="1" t="s">
        <v>1040</v>
      </c>
      <c r="I879" s="13" t="str">
        <f t="shared" si="107"/>
        <v>2L</v>
      </c>
      <c r="J879" t="str">
        <f t="shared" si="108"/>
        <v xml:space="preserve">2004 </v>
      </c>
      <c r="K879" t="str">
        <f t="shared" si="109"/>
        <v/>
      </c>
      <c r="L879" t="str">
        <f t="shared" si="110"/>
        <v>Plat 1</v>
      </c>
      <c r="M879" s="8" t="str">
        <f t="shared" si="111"/>
        <v xml:space="preserve"> 1</v>
      </c>
      <c r="O879"/>
    </row>
    <row r="880" spans="2:24" ht="15" customHeight="1" x14ac:dyDescent="0.25">
      <c r="B880" s="3" t="s">
        <v>2707</v>
      </c>
      <c r="C880" s="1" t="s">
        <v>817</v>
      </c>
      <c r="D880" s="2" t="s">
        <v>1242</v>
      </c>
      <c r="E880" s="1" t="s">
        <v>1047</v>
      </c>
      <c r="F880" s="2" t="s">
        <v>1372</v>
      </c>
      <c r="G880" s="1" t="s">
        <v>2708</v>
      </c>
      <c r="H880" s="1" t="s">
        <v>1046</v>
      </c>
      <c r="I880" s="13" t="str">
        <f t="shared" si="107"/>
        <v>1Y</v>
      </c>
      <c r="J880" t="str">
        <f t="shared" si="108"/>
        <v xml:space="preserve">2005 </v>
      </c>
      <c r="K880" t="str">
        <f t="shared" si="109"/>
        <v>2005½</v>
      </c>
      <c r="L880" t="str">
        <f t="shared" si="110"/>
        <v>Plat 9</v>
      </c>
      <c r="M880" s="8" t="str">
        <f t="shared" si="111"/>
        <v xml:space="preserve"> 9</v>
      </c>
      <c r="N880" s="4" t="s">
        <v>1372</v>
      </c>
      <c r="O880"/>
    </row>
    <row r="881" spans="2:24" ht="15" customHeight="1" x14ac:dyDescent="0.25">
      <c r="B881" s="3" t="s">
        <v>1380</v>
      </c>
      <c r="C881" s="1"/>
      <c r="D881" s="1" t="s">
        <v>1037</v>
      </c>
      <c r="E881" s="1" t="s">
        <v>1061</v>
      </c>
      <c r="F881" s="2" t="s">
        <v>1074</v>
      </c>
      <c r="G881" s="1" t="s">
        <v>2709</v>
      </c>
      <c r="H881" s="1" t="s">
        <v>1040</v>
      </c>
      <c r="I881" s="13" t="str">
        <f t="shared" si="107"/>
        <v>2N</v>
      </c>
      <c r="J881" t="str">
        <f t="shared" si="108"/>
        <v/>
      </c>
      <c r="K881" t="str">
        <f t="shared" si="109"/>
        <v xml:space="preserve">2007 </v>
      </c>
      <c r="L881" t="str">
        <f t="shared" si="110"/>
        <v>Plat 2</v>
      </c>
      <c r="M881" s="8" t="str">
        <f t="shared" si="111"/>
        <v xml:space="preserve"> 2</v>
      </c>
      <c r="N881" s="4" t="s">
        <v>3010</v>
      </c>
      <c r="O881" s="15" t="s">
        <v>3011</v>
      </c>
    </row>
    <row r="882" spans="2:24" ht="15" customHeight="1" x14ac:dyDescent="0.25">
      <c r="B882" s="3" t="s">
        <v>2710</v>
      </c>
      <c r="C882" s="1" t="s">
        <v>2711</v>
      </c>
      <c r="D882" s="2" t="s">
        <v>1254</v>
      </c>
      <c r="E882" s="1" t="s">
        <v>2272</v>
      </c>
      <c r="F882" s="1" t="s">
        <v>1051</v>
      </c>
      <c r="G882" s="1"/>
      <c r="H882" s="1" t="s">
        <v>1046</v>
      </c>
      <c r="I882" s="13" t="str">
        <f t="shared" si="107"/>
        <v>2S</v>
      </c>
      <c r="J882" t="str">
        <f t="shared" si="108"/>
        <v xml:space="preserve">2008 </v>
      </c>
      <c r="K882" t="str">
        <f t="shared" si="109"/>
        <v/>
      </c>
      <c r="L882" t="str">
        <f t="shared" si="110"/>
        <v>Plat12</v>
      </c>
      <c r="M882" s="8" t="str">
        <f t="shared" si="111"/>
        <v>12</v>
      </c>
      <c r="O882"/>
    </row>
    <row r="883" spans="2:24" ht="15" customHeight="1" x14ac:dyDescent="0.25">
      <c r="B883" s="3" t="s">
        <v>1892</v>
      </c>
      <c r="C883" s="1" t="s">
        <v>2712</v>
      </c>
      <c r="D883" s="2" t="s">
        <v>1372</v>
      </c>
      <c r="E883" s="1" t="s">
        <v>1043</v>
      </c>
      <c r="F883" s="2" t="s">
        <v>1044</v>
      </c>
      <c r="G883" s="1" t="s">
        <v>2713</v>
      </c>
      <c r="H883" s="1" t="s">
        <v>1046</v>
      </c>
      <c r="I883" s="13" t="str">
        <f t="shared" si="107"/>
        <v>2W</v>
      </c>
      <c r="J883" t="str">
        <f t="shared" si="108"/>
        <v>2006½</v>
      </c>
      <c r="K883" t="str">
        <f t="shared" si="109"/>
        <v>2008½</v>
      </c>
      <c r="L883" t="str">
        <f t="shared" si="110"/>
        <v>Plat 8</v>
      </c>
      <c r="M883" s="8" t="str">
        <f t="shared" si="111"/>
        <v xml:space="preserve"> 8</v>
      </c>
      <c r="N883" s="4" t="s">
        <v>3012</v>
      </c>
      <c r="O883" s="4" t="s">
        <v>3013</v>
      </c>
      <c r="P883" s="4" t="s">
        <v>1181</v>
      </c>
      <c r="Q883" s="4" t="s">
        <v>3014</v>
      </c>
      <c r="R883" s="4" t="s">
        <v>3015</v>
      </c>
      <c r="S883" s="4" t="s">
        <v>3016</v>
      </c>
      <c r="T883" s="4" t="s">
        <v>3004</v>
      </c>
      <c r="U883" s="4" t="s">
        <v>1161</v>
      </c>
      <c r="V883" s="4" t="s">
        <v>3017</v>
      </c>
      <c r="W883" s="4" t="s">
        <v>3018</v>
      </c>
      <c r="X883" s="4" t="s">
        <v>1044</v>
      </c>
    </row>
    <row r="884" spans="2:24" ht="15" customHeight="1" x14ac:dyDescent="0.25">
      <c r="B884" s="3" t="s">
        <v>2714</v>
      </c>
      <c r="C884" s="1" t="s">
        <v>2715</v>
      </c>
      <c r="D884" s="2" t="s">
        <v>1372</v>
      </c>
      <c r="E884" s="1" t="s">
        <v>1156</v>
      </c>
      <c r="F884" s="2" t="s">
        <v>1242</v>
      </c>
      <c r="G884" s="1" t="s">
        <v>818</v>
      </c>
      <c r="H884" s="1" t="s">
        <v>1046</v>
      </c>
      <c r="I884" s="13" t="str">
        <f t="shared" si="107"/>
        <v>1Y</v>
      </c>
      <c r="J884" t="str">
        <f t="shared" si="108"/>
        <v>2008½</v>
      </c>
      <c r="K884" t="str">
        <f t="shared" si="109"/>
        <v xml:space="preserve">2009 </v>
      </c>
      <c r="L884" t="str">
        <f t="shared" si="110"/>
        <v>Plat10</v>
      </c>
      <c r="M884" s="8" t="str">
        <f t="shared" si="111"/>
        <v>10</v>
      </c>
      <c r="N884" t="s">
        <v>1044</v>
      </c>
      <c r="O884" t="s">
        <v>1473</v>
      </c>
      <c r="P884" t="s">
        <v>3000</v>
      </c>
      <c r="Q884" t="s">
        <v>3001</v>
      </c>
      <c r="R884" t="s">
        <v>3002</v>
      </c>
      <c r="S884" t="s">
        <v>3003</v>
      </c>
      <c r="T884" t="s">
        <v>1091</v>
      </c>
      <c r="U884" t="s">
        <v>3006</v>
      </c>
      <c r="V884" t="s">
        <v>1242</v>
      </c>
    </row>
    <row r="885" spans="2:24" ht="15" customHeight="1" x14ac:dyDescent="0.25">
      <c r="B885" s="3" t="s">
        <v>1862</v>
      </c>
      <c r="C885" s="1" t="s">
        <v>2709</v>
      </c>
      <c r="D885" s="2" t="s">
        <v>1044</v>
      </c>
      <c r="E885" s="1" t="s">
        <v>1054</v>
      </c>
      <c r="F885" s="2" t="s">
        <v>1372</v>
      </c>
      <c r="G885" s="1" t="s">
        <v>818</v>
      </c>
      <c r="H885" s="1" t="s">
        <v>1046</v>
      </c>
      <c r="I885" s="13" t="str">
        <f t="shared" si="107"/>
        <v>2W</v>
      </c>
      <c r="J885" t="str">
        <f t="shared" si="108"/>
        <v xml:space="preserve">2007 </v>
      </c>
      <c r="K885" t="str">
        <f t="shared" si="109"/>
        <v xml:space="preserve">2009 </v>
      </c>
      <c r="L885" t="str">
        <f t="shared" si="110"/>
        <v>Plat 5</v>
      </c>
      <c r="M885" s="8" t="str">
        <f t="shared" si="111"/>
        <v xml:space="preserve"> 5</v>
      </c>
      <c r="N885" s="4" t="s">
        <v>1372</v>
      </c>
      <c r="O885"/>
    </row>
    <row r="886" spans="2:24" ht="15" customHeight="1" x14ac:dyDescent="0.25">
      <c r="B886" s="3" t="s">
        <v>1396</v>
      </c>
      <c r="C886" s="1" t="s">
        <v>2716</v>
      </c>
      <c r="D886" s="2" t="s">
        <v>1074</v>
      </c>
      <c r="E886" s="1" t="s">
        <v>1075</v>
      </c>
      <c r="F886" s="1" t="s">
        <v>1051</v>
      </c>
      <c r="G886" s="1"/>
      <c r="H886" s="1" t="s">
        <v>1040</v>
      </c>
      <c r="I886" s="13" t="str">
        <f t="shared" si="107"/>
        <v>2N</v>
      </c>
      <c r="J886" t="str">
        <f t="shared" si="108"/>
        <v xml:space="preserve">2013 </v>
      </c>
      <c r="K886" t="str">
        <f t="shared" si="109"/>
        <v/>
      </c>
      <c r="L886" t="str">
        <f t="shared" si="110"/>
        <v>Plat 2</v>
      </c>
      <c r="M886" s="8" t="str">
        <f t="shared" si="111"/>
        <v xml:space="preserve"> 2</v>
      </c>
      <c r="O886"/>
    </row>
    <row r="887" spans="2:24" ht="15" customHeight="1" x14ac:dyDescent="0.25">
      <c r="B887" s="3" t="s">
        <v>2717</v>
      </c>
      <c r="C887" s="1"/>
      <c r="D887" s="1" t="s">
        <v>1037</v>
      </c>
      <c r="E887" s="1" t="s">
        <v>1038</v>
      </c>
      <c r="F887" s="2" t="s">
        <v>1039</v>
      </c>
      <c r="G887" s="1" t="s">
        <v>821</v>
      </c>
      <c r="H887" s="1" t="s">
        <v>1040</v>
      </c>
      <c r="I887" s="13" t="str">
        <f t="shared" si="107"/>
        <v>2Y</v>
      </c>
      <c r="J887" t="str">
        <f t="shared" si="108"/>
        <v/>
      </c>
      <c r="K887" t="str">
        <f t="shared" si="109"/>
        <v xml:space="preserve">2014 </v>
      </c>
      <c r="L887" t="str">
        <f t="shared" si="110"/>
        <v>Plat 1</v>
      </c>
      <c r="M887" s="8" t="str">
        <f t="shared" si="111"/>
        <v xml:space="preserve"> 1</v>
      </c>
      <c r="N887" s="4" t="s">
        <v>3010</v>
      </c>
      <c r="O887" s="15" t="s">
        <v>3011</v>
      </c>
    </row>
    <row r="888" spans="2:24" ht="15" customHeight="1" x14ac:dyDescent="0.25">
      <c r="B888" s="3" t="s">
        <v>936</v>
      </c>
      <c r="C888" s="1" t="s">
        <v>2718</v>
      </c>
      <c r="D888" s="2" t="s">
        <v>1237</v>
      </c>
      <c r="E888" s="1" t="s">
        <v>1047</v>
      </c>
      <c r="F888" s="2" t="s">
        <v>1372</v>
      </c>
      <c r="G888" s="1" t="s">
        <v>821</v>
      </c>
      <c r="H888" s="1" t="s">
        <v>1046</v>
      </c>
      <c r="I888" s="13" t="str">
        <f t="shared" si="107"/>
        <v>1F</v>
      </c>
      <c r="J888" t="str">
        <f t="shared" si="108"/>
        <v>2013½</v>
      </c>
      <c r="K888" t="str">
        <f t="shared" si="109"/>
        <v xml:space="preserve">2014 </v>
      </c>
      <c r="L888" t="str">
        <f t="shared" si="110"/>
        <v>Plat 9</v>
      </c>
      <c r="M888" s="8" t="str">
        <f t="shared" si="111"/>
        <v xml:space="preserve"> 9</v>
      </c>
      <c r="N888" s="4" t="s">
        <v>1372</v>
      </c>
      <c r="O888"/>
    </row>
    <row r="889" spans="2:24" ht="15" customHeight="1" x14ac:dyDescent="0.25">
      <c r="B889" s="3" t="s">
        <v>1901</v>
      </c>
      <c r="C889" s="1" t="s">
        <v>2719</v>
      </c>
      <c r="D889" s="2" t="s">
        <v>1372</v>
      </c>
      <c r="E889" s="1" t="s">
        <v>1043</v>
      </c>
      <c r="F889" s="2" t="s">
        <v>1044</v>
      </c>
      <c r="G889" s="1" t="s">
        <v>2720</v>
      </c>
      <c r="H889" s="1" t="s">
        <v>1046</v>
      </c>
      <c r="I889" s="13" t="str">
        <f t="shared" si="107"/>
        <v>2W</v>
      </c>
      <c r="J889" t="str">
        <f t="shared" si="108"/>
        <v>2016½</v>
      </c>
      <c r="K889" t="str">
        <f t="shared" si="109"/>
        <v>2018½</v>
      </c>
      <c r="L889" t="str">
        <f t="shared" si="110"/>
        <v>Plat 8</v>
      </c>
      <c r="M889" s="8" t="str">
        <f t="shared" si="111"/>
        <v xml:space="preserve"> 8</v>
      </c>
      <c r="N889" s="4" t="s">
        <v>3012</v>
      </c>
      <c r="O889" s="4" t="s">
        <v>3013</v>
      </c>
      <c r="P889" s="4" t="s">
        <v>1181</v>
      </c>
      <c r="Q889" s="4" t="s">
        <v>3014</v>
      </c>
      <c r="R889" s="4" t="s">
        <v>3015</v>
      </c>
      <c r="S889" s="4" t="s">
        <v>3016</v>
      </c>
      <c r="T889" s="4" t="s">
        <v>3004</v>
      </c>
      <c r="U889" s="4" t="s">
        <v>1161</v>
      </c>
      <c r="V889" s="4" t="s">
        <v>3017</v>
      </c>
      <c r="W889" s="4" t="s">
        <v>3018</v>
      </c>
      <c r="X889" s="4" t="s">
        <v>1044</v>
      </c>
    </row>
    <row r="890" spans="2:24" ht="15" customHeight="1" x14ac:dyDescent="0.25">
      <c r="B890" s="3" t="s">
        <v>1873</v>
      </c>
      <c r="C890" s="1" t="s">
        <v>826</v>
      </c>
      <c r="D890" s="2" t="s">
        <v>1044</v>
      </c>
      <c r="E890" s="1" t="s">
        <v>1054</v>
      </c>
      <c r="F890" s="2" t="s">
        <v>1372</v>
      </c>
      <c r="G890" s="1" t="s">
        <v>829</v>
      </c>
      <c r="H890" s="1" t="s">
        <v>1046</v>
      </c>
      <c r="I890" s="13" t="str">
        <f t="shared" si="107"/>
        <v>2W</v>
      </c>
      <c r="J890" t="str">
        <f t="shared" si="108"/>
        <v xml:space="preserve">2017 </v>
      </c>
      <c r="K890" t="str">
        <f t="shared" si="109"/>
        <v xml:space="preserve">2019 </v>
      </c>
      <c r="L890" t="str">
        <f t="shared" si="110"/>
        <v>Plat 5</v>
      </c>
      <c r="M890" s="8" t="str">
        <f t="shared" si="111"/>
        <v xml:space="preserve"> 5</v>
      </c>
      <c r="N890" s="4" t="s">
        <v>1372</v>
      </c>
      <c r="O890"/>
    </row>
    <row r="891" spans="2:24" ht="15" customHeight="1" x14ac:dyDescent="0.25">
      <c r="B891" s="3" t="s">
        <v>2721</v>
      </c>
      <c r="C891" s="1" t="s">
        <v>2722</v>
      </c>
      <c r="D891" s="2" t="s">
        <v>1039</v>
      </c>
      <c r="E891" s="1" t="s">
        <v>1050</v>
      </c>
      <c r="F891" s="1" t="s">
        <v>1051</v>
      </c>
      <c r="G891" s="1"/>
      <c r="H891" s="1" t="s">
        <v>1040</v>
      </c>
      <c r="I891" s="13" t="str">
        <f t="shared" si="107"/>
        <v>2L</v>
      </c>
      <c r="J891" t="str">
        <f t="shared" si="108"/>
        <v xml:space="preserve">2019 </v>
      </c>
      <c r="K891" t="str">
        <f t="shared" si="109"/>
        <v/>
      </c>
      <c r="L891" t="str">
        <f t="shared" si="110"/>
        <v>Plat 1</v>
      </c>
      <c r="M891" s="8" t="str">
        <f t="shared" si="111"/>
        <v xml:space="preserve"> 1</v>
      </c>
      <c r="O891"/>
    </row>
    <row r="892" spans="2:24" ht="15" customHeight="1" x14ac:dyDescent="0.25">
      <c r="B892" s="3" t="s">
        <v>1484</v>
      </c>
      <c r="C892" s="1" t="s">
        <v>829</v>
      </c>
      <c r="D892" s="2" t="s">
        <v>1058</v>
      </c>
      <c r="E892" s="1" t="s">
        <v>1047</v>
      </c>
      <c r="F892" s="2" t="s">
        <v>1372</v>
      </c>
      <c r="G892" s="1" t="s">
        <v>2723</v>
      </c>
      <c r="H892" s="1" t="s">
        <v>1046</v>
      </c>
      <c r="I892" s="13" t="str">
        <f t="shared" si="107"/>
        <v>1K</v>
      </c>
      <c r="J892" t="str">
        <f t="shared" si="108"/>
        <v xml:space="preserve">2019 </v>
      </c>
      <c r="K892" t="str">
        <f t="shared" si="109"/>
        <v>2019½</v>
      </c>
      <c r="L892" t="str">
        <f t="shared" si="110"/>
        <v>Plat 9</v>
      </c>
      <c r="M892" s="8" t="str">
        <f t="shared" si="111"/>
        <v xml:space="preserve"> 9</v>
      </c>
      <c r="N892" s="4" t="s">
        <v>1372</v>
      </c>
      <c r="O892"/>
    </row>
    <row r="893" spans="2:24" ht="15" customHeight="1" x14ac:dyDescent="0.25">
      <c r="B893" s="3" t="s">
        <v>2724</v>
      </c>
      <c r="C893" s="1" t="s">
        <v>2725</v>
      </c>
      <c r="D893" s="2" t="s">
        <v>1372</v>
      </c>
      <c r="E893" s="1" t="s">
        <v>1156</v>
      </c>
      <c r="F893" s="2" t="s">
        <v>1058</v>
      </c>
      <c r="G893" s="1" t="s">
        <v>2726</v>
      </c>
      <c r="H893" s="1" t="s">
        <v>1046</v>
      </c>
      <c r="I893" s="13" t="str">
        <f t="shared" si="107"/>
        <v>2K</v>
      </c>
      <c r="J893" t="str">
        <f t="shared" si="108"/>
        <v>2019½</v>
      </c>
      <c r="K893" t="str">
        <f t="shared" si="109"/>
        <v xml:space="preserve">2020 </v>
      </c>
      <c r="L893" t="str">
        <f t="shared" si="110"/>
        <v>Plat10</v>
      </c>
      <c r="M893" s="8" t="str">
        <f t="shared" si="111"/>
        <v>10</v>
      </c>
      <c r="O893"/>
    </row>
    <row r="894" spans="2:24" ht="15" customHeight="1" x14ac:dyDescent="0.25">
      <c r="B894" s="3" t="s">
        <v>1409</v>
      </c>
      <c r="C894" s="1"/>
      <c r="D894" s="1" t="s">
        <v>1037</v>
      </c>
      <c r="E894" s="1" t="s">
        <v>1061</v>
      </c>
      <c r="F894" s="2" t="s">
        <v>1074</v>
      </c>
      <c r="G894" s="1" t="s">
        <v>2727</v>
      </c>
      <c r="H894" s="1" t="s">
        <v>1040</v>
      </c>
      <c r="I894" s="13" t="str">
        <f t="shared" si="107"/>
        <v>2N</v>
      </c>
      <c r="J894" t="str">
        <f t="shared" si="108"/>
        <v/>
      </c>
      <c r="K894" t="str">
        <f t="shared" si="109"/>
        <v xml:space="preserve">2022 </v>
      </c>
      <c r="L894" t="str">
        <f t="shared" si="110"/>
        <v>Plat 2</v>
      </c>
      <c r="M894" s="8" t="str">
        <f t="shared" si="111"/>
        <v xml:space="preserve"> 2</v>
      </c>
      <c r="N894" s="4" t="s">
        <v>3010</v>
      </c>
      <c r="O894" s="15" t="s">
        <v>3011</v>
      </c>
    </row>
    <row r="895" spans="2:24" ht="15" customHeight="1" x14ac:dyDescent="0.25">
      <c r="B895" s="3" t="s">
        <v>2728</v>
      </c>
      <c r="C895" s="1" t="s">
        <v>2727</v>
      </c>
      <c r="D895" s="2" t="s">
        <v>1185</v>
      </c>
      <c r="E895" s="1" t="s">
        <v>1047</v>
      </c>
      <c r="F895" s="2" t="s">
        <v>1372</v>
      </c>
      <c r="G895" s="1" t="s">
        <v>2729</v>
      </c>
      <c r="H895" s="1" t="s">
        <v>1046</v>
      </c>
      <c r="I895" s="13" t="str">
        <f t="shared" si="107"/>
        <v>1N</v>
      </c>
      <c r="J895" t="str">
        <f t="shared" si="108"/>
        <v xml:space="preserve">2022 </v>
      </c>
      <c r="K895" t="str">
        <f t="shared" si="109"/>
        <v>2022½</v>
      </c>
      <c r="L895" t="str">
        <f t="shared" si="110"/>
        <v>Plat 9</v>
      </c>
      <c r="M895" s="8" t="str">
        <f t="shared" si="111"/>
        <v xml:space="preserve"> 9</v>
      </c>
      <c r="N895" s="4" t="s">
        <v>1372</v>
      </c>
      <c r="O895"/>
    </row>
    <row r="896" spans="2:24" ht="15" customHeight="1" x14ac:dyDescent="0.25">
      <c r="B896" s="3" t="s">
        <v>2730</v>
      </c>
      <c r="C896" s="1" t="s">
        <v>2731</v>
      </c>
      <c r="D896" s="2" t="s">
        <v>1372</v>
      </c>
      <c r="E896" s="1" t="s">
        <v>1156</v>
      </c>
      <c r="F896" s="2" t="s">
        <v>1185</v>
      </c>
      <c r="G896" s="1" t="s">
        <v>2732</v>
      </c>
      <c r="H896" s="1" t="s">
        <v>1046</v>
      </c>
      <c r="I896" s="13" t="str">
        <f t="shared" si="107"/>
        <v>1N</v>
      </c>
      <c r="J896" t="str">
        <f t="shared" si="108"/>
        <v>2024½</v>
      </c>
      <c r="K896" t="str">
        <f t="shared" si="109"/>
        <v xml:space="preserve">2025 </v>
      </c>
      <c r="L896" t="str">
        <f t="shared" si="110"/>
        <v>Plat10</v>
      </c>
      <c r="M896" s="8" t="str">
        <f t="shared" si="111"/>
        <v>10</v>
      </c>
      <c r="N896" t="s">
        <v>1044</v>
      </c>
      <c r="O896" t="s">
        <v>2999</v>
      </c>
      <c r="P896" t="s">
        <v>1473</v>
      </c>
      <c r="Q896" t="s">
        <v>3001</v>
      </c>
      <c r="R896" t="s">
        <v>3003</v>
      </c>
      <c r="S896" t="s">
        <v>1091</v>
      </c>
      <c r="T896" t="s">
        <v>3031</v>
      </c>
      <c r="U896" t="s">
        <v>3046</v>
      </c>
      <c r="V896" t="s">
        <v>3047</v>
      </c>
    </row>
    <row r="897" spans="2:24" ht="15" customHeight="1" x14ac:dyDescent="0.25">
      <c r="B897" s="3" t="s">
        <v>1917</v>
      </c>
      <c r="C897" s="1" t="s">
        <v>2733</v>
      </c>
      <c r="D897" s="2" t="s">
        <v>1372</v>
      </c>
      <c r="E897" s="1" t="s">
        <v>1043</v>
      </c>
      <c r="F897" s="2" t="s">
        <v>1044</v>
      </c>
      <c r="G897" s="1" t="s">
        <v>2734</v>
      </c>
      <c r="H897" s="1" t="s">
        <v>1046</v>
      </c>
      <c r="I897" s="13" t="str">
        <f t="shared" si="107"/>
        <v>2W</v>
      </c>
      <c r="J897" t="str">
        <f t="shared" si="108"/>
        <v>2026½</v>
      </c>
      <c r="K897" t="str">
        <f t="shared" si="109"/>
        <v>2028½</v>
      </c>
      <c r="L897" t="str">
        <f t="shared" si="110"/>
        <v>Plat 8</v>
      </c>
      <c r="M897" s="8" t="str">
        <f t="shared" si="111"/>
        <v xml:space="preserve"> 8</v>
      </c>
      <c r="N897" s="4" t="s">
        <v>3012</v>
      </c>
      <c r="O897" s="4" t="s">
        <v>3013</v>
      </c>
      <c r="P897" s="4" t="s">
        <v>1181</v>
      </c>
      <c r="Q897" s="4" t="s">
        <v>3014</v>
      </c>
      <c r="R897" s="4" t="s">
        <v>3015</v>
      </c>
      <c r="S897" s="4" t="s">
        <v>3016</v>
      </c>
      <c r="T897" s="4" t="s">
        <v>3004</v>
      </c>
      <c r="U897" s="4" t="s">
        <v>1161</v>
      </c>
      <c r="V897" s="4" t="s">
        <v>3017</v>
      </c>
      <c r="W897" s="4" t="s">
        <v>3018</v>
      </c>
      <c r="X897" s="4" t="s">
        <v>1044</v>
      </c>
    </row>
    <row r="898" spans="2:24" ht="15" customHeight="1" x14ac:dyDescent="0.25">
      <c r="B898" s="3" t="s">
        <v>1895</v>
      </c>
      <c r="C898" s="1" t="s">
        <v>2735</v>
      </c>
      <c r="D898" s="2" t="s">
        <v>1044</v>
      </c>
      <c r="E898" s="1" t="s">
        <v>1054</v>
      </c>
      <c r="F898" s="2" t="s">
        <v>1372</v>
      </c>
      <c r="G898" s="1" t="s">
        <v>2736</v>
      </c>
      <c r="H898" s="1" t="s">
        <v>1046</v>
      </c>
      <c r="I898" s="13" t="str">
        <f t="shared" si="107"/>
        <v>2W</v>
      </c>
      <c r="J898" t="str">
        <f t="shared" si="108"/>
        <v xml:space="preserve">2027 </v>
      </c>
      <c r="K898" t="str">
        <f t="shared" si="109"/>
        <v xml:space="preserve">2029 </v>
      </c>
      <c r="L898" t="str">
        <f t="shared" si="110"/>
        <v>Plat 5</v>
      </c>
      <c r="M898" s="8" t="str">
        <f t="shared" si="111"/>
        <v xml:space="preserve"> 5</v>
      </c>
      <c r="N898" s="4" t="s">
        <v>1372</v>
      </c>
      <c r="O898"/>
    </row>
    <row r="899" spans="2:24" ht="15" customHeight="1" x14ac:dyDescent="0.25">
      <c r="B899" s="3" t="s">
        <v>1425</v>
      </c>
      <c r="C899" s="1" t="s">
        <v>2737</v>
      </c>
      <c r="D899" s="2" t="s">
        <v>1074</v>
      </c>
      <c r="E899" s="1" t="s">
        <v>1075</v>
      </c>
      <c r="F899" s="1" t="s">
        <v>1051</v>
      </c>
      <c r="G899" s="1"/>
      <c r="H899" s="1" t="s">
        <v>1040</v>
      </c>
      <c r="I899" s="13" t="str">
        <f t="shared" si="107"/>
        <v>2N</v>
      </c>
      <c r="J899" t="str">
        <f t="shared" si="108"/>
        <v xml:space="preserve">2029 </v>
      </c>
      <c r="K899" t="str">
        <f t="shared" si="109"/>
        <v/>
      </c>
      <c r="L899" t="str">
        <f t="shared" si="110"/>
        <v>Plat 2</v>
      </c>
      <c r="M899" s="8" t="str">
        <f t="shared" si="111"/>
        <v xml:space="preserve"> 2</v>
      </c>
      <c r="O899"/>
    </row>
    <row r="900" spans="2:24" ht="15" customHeight="1" x14ac:dyDescent="0.25">
      <c r="B900" s="3" t="s">
        <v>2738</v>
      </c>
      <c r="C900" s="1"/>
      <c r="D900" s="1" t="s">
        <v>1037</v>
      </c>
      <c r="E900" s="1" t="s">
        <v>2148</v>
      </c>
      <c r="F900" s="2" t="s">
        <v>1254</v>
      </c>
      <c r="G900" s="1" t="s">
        <v>836</v>
      </c>
      <c r="H900" s="1" t="s">
        <v>1046</v>
      </c>
      <c r="I900" s="13" t="str">
        <f t="shared" si="107"/>
        <v>2S</v>
      </c>
      <c r="J900" t="str">
        <f t="shared" si="108"/>
        <v/>
      </c>
      <c r="K900" t="str">
        <f t="shared" si="109"/>
        <v xml:space="preserve">2030 </v>
      </c>
      <c r="L900" t="str">
        <f t="shared" si="110"/>
        <v>Plat11</v>
      </c>
      <c r="M900" s="8" t="str">
        <f t="shared" si="111"/>
        <v>11</v>
      </c>
      <c r="N900" t="s">
        <v>2975</v>
      </c>
      <c r="O900" t="s">
        <v>3042</v>
      </c>
      <c r="P900" t="s">
        <v>2978</v>
      </c>
      <c r="Q900" t="s">
        <v>1298</v>
      </c>
      <c r="R900" t="s">
        <v>2980</v>
      </c>
      <c r="S900" t="s">
        <v>2982</v>
      </c>
      <c r="T900" t="s">
        <v>1254</v>
      </c>
    </row>
    <row r="901" spans="2:24" ht="15" customHeight="1" x14ac:dyDescent="0.25">
      <c r="B901" s="3" t="s">
        <v>2739</v>
      </c>
      <c r="C901" s="1"/>
      <c r="D901" s="1" t="s">
        <v>1037</v>
      </c>
      <c r="E901" s="1" t="s">
        <v>1038</v>
      </c>
      <c r="F901" s="2" t="s">
        <v>1039</v>
      </c>
      <c r="G901" s="1" t="s">
        <v>2740</v>
      </c>
      <c r="H901" s="1" t="s">
        <v>1040</v>
      </c>
      <c r="I901" s="13" t="str">
        <f t="shared" si="107"/>
        <v>2Y</v>
      </c>
      <c r="J901" t="str">
        <f t="shared" si="108"/>
        <v/>
      </c>
      <c r="K901" t="str">
        <f t="shared" si="109"/>
        <v xml:space="preserve">2032 </v>
      </c>
      <c r="L901" t="str">
        <f t="shared" si="110"/>
        <v>Plat 1</v>
      </c>
      <c r="M901" s="8" t="str">
        <f t="shared" si="111"/>
        <v xml:space="preserve"> 1</v>
      </c>
      <c r="N901" s="4" t="s">
        <v>3010</v>
      </c>
      <c r="O901" s="15" t="s">
        <v>3011</v>
      </c>
    </row>
    <row r="902" spans="2:24" ht="15" customHeight="1" x14ac:dyDescent="0.25">
      <c r="B902" s="3" t="s">
        <v>2741</v>
      </c>
      <c r="C902" s="1" t="s">
        <v>2742</v>
      </c>
      <c r="D902" s="2" t="s">
        <v>1039</v>
      </c>
      <c r="E902" s="1" t="s">
        <v>1050</v>
      </c>
      <c r="F902" s="1" t="s">
        <v>1051</v>
      </c>
      <c r="G902" s="1"/>
      <c r="H902" s="1" t="s">
        <v>1040</v>
      </c>
      <c r="I902" s="13" t="str">
        <f t="shared" si="107"/>
        <v>2L</v>
      </c>
      <c r="J902" t="str">
        <f t="shared" si="108"/>
        <v xml:space="preserve">2035 </v>
      </c>
      <c r="K902" t="str">
        <f t="shared" si="109"/>
        <v/>
      </c>
      <c r="L902" t="str">
        <f t="shared" si="110"/>
        <v>Plat 1</v>
      </c>
      <c r="M902" s="8" t="str">
        <f t="shared" si="111"/>
        <v xml:space="preserve"> 1</v>
      </c>
      <c r="O902"/>
    </row>
    <row r="903" spans="2:24" ht="15" customHeight="1" x14ac:dyDescent="0.25">
      <c r="B903" s="3" t="s">
        <v>2743</v>
      </c>
      <c r="C903" s="1" t="s">
        <v>2744</v>
      </c>
      <c r="D903" s="2" t="s">
        <v>1304</v>
      </c>
      <c r="E903" s="1" t="s">
        <v>1047</v>
      </c>
      <c r="F903" s="2" t="s">
        <v>1372</v>
      </c>
      <c r="G903" s="1" t="s">
        <v>2745</v>
      </c>
      <c r="H903" s="1" t="s">
        <v>1046</v>
      </c>
      <c r="I903" s="13" t="str">
        <f t="shared" si="107"/>
        <v>2F</v>
      </c>
      <c r="J903" t="str">
        <f t="shared" si="108"/>
        <v xml:space="preserve">2036 </v>
      </c>
      <c r="K903" t="str">
        <f t="shared" si="109"/>
        <v>2036½</v>
      </c>
      <c r="L903" t="str">
        <f t="shared" si="110"/>
        <v>Plat 9</v>
      </c>
      <c r="M903" s="8" t="str">
        <f t="shared" si="111"/>
        <v xml:space="preserve"> 9</v>
      </c>
      <c r="N903" s="4" t="s">
        <v>1372</v>
      </c>
      <c r="O903"/>
    </row>
    <row r="904" spans="2:24" ht="15" customHeight="1" x14ac:dyDescent="0.25">
      <c r="B904" s="3" t="s">
        <v>2746</v>
      </c>
      <c r="C904" s="1" t="s">
        <v>842</v>
      </c>
      <c r="D904" s="2" t="s">
        <v>1079</v>
      </c>
      <c r="E904" s="1" t="s">
        <v>2148</v>
      </c>
      <c r="F904" s="1" t="s">
        <v>1051</v>
      </c>
      <c r="G904" s="1"/>
      <c r="H904" s="1" t="s">
        <v>1046</v>
      </c>
      <c r="I904" s="13" t="str">
        <f t="shared" si="107"/>
        <v>2O</v>
      </c>
      <c r="J904" t="str">
        <f t="shared" si="108"/>
        <v xml:space="preserve">2037 </v>
      </c>
      <c r="K904" t="str">
        <f t="shared" si="109"/>
        <v/>
      </c>
      <c r="L904" t="str">
        <f t="shared" si="110"/>
        <v>Plat11</v>
      </c>
      <c r="M904" s="8" t="str">
        <f t="shared" si="111"/>
        <v>11</v>
      </c>
      <c r="O904"/>
    </row>
    <row r="905" spans="2:24" ht="15" customHeight="1" x14ac:dyDescent="0.25">
      <c r="B905" s="3" t="s">
        <v>1444</v>
      </c>
      <c r="C905" s="1"/>
      <c r="D905" s="1" t="s">
        <v>1037</v>
      </c>
      <c r="E905" s="1" t="s">
        <v>1061</v>
      </c>
      <c r="F905" s="2" t="s">
        <v>1074</v>
      </c>
      <c r="G905" s="1" t="s">
        <v>842</v>
      </c>
      <c r="H905" s="1" t="s">
        <v>1040</v>
      </c>
      <c r="I905" s="13" t="str">
        <f t="shared" si="107"/>
        <v>2N</v>
      </c>
      <c r="J905" t="str">
        <f t="shared" si="108"/>
        <v/>
      </c>
      <c r="K905" t="str">
        <f t="shared" si="109"/>
        <v xml:space="preserve">2037 </v>
      </c>
      <c r="L905" t="str">
        <f t="shared" si="110"/>
        <v>Plat 2</v>
      </c>
      <c r="M905" s="8" t="str">
        <f t="shared" si="111"/>
        <v xml:space="preserve"> 2</v>
      </c>
      <c r="N905" s="4" t="s">
        <v>3010</v>
      </c>
      <c r="O905" s="15" t="s">
        <v>3011</v>
      </c>
    </row>
    <row r="906" spans="2:24" ht="15" customHeight="1" x14ac:dyDescent="0.25">
      <c r="B906" s="3" t="s">
        <v>2747</v>
      </c>
      <c r="C906" s="1" t="s">
        <v>2748</v>
      </c>
      <c r="D906" s="2" t="s">
        <v>1372</v>
      </c>
      <c r="E906" s="1" t="s">
        <v>1156</v>
      </c>
      <c r="F906" s="2" t="s">
        <v>1066</v>
      </c>
      <c r="G906" s="1" t="s">
        <v>2749</v>
      </c>
      <c r="H906" s="1" t="s">
        <v>1046</v>
      </c>
      <c r="I906" s="13" t="str">
        <f t="shared" si="107"/>
        <v>1P</v>
      </c>
      <c r="J906" t="str">
        <f t="shared" si="108"/>
        <v>2037½</v>
      </c>
      <c r="K906" t="str">
        <f t="shared" si="109"/>
        <v>2038½</v>
      </c>
      <c r="L906" t="str">
        <f t="shared" si="110"/>
        <v>Plat10</v>
      </c>
      <c r="M906" s="8" t="str">
        <f t="shared" si="111"/>
        <v>10</v>
      </c>
      <c r="N906" t="s">
        <v>1473</v>
      </c>
      <c r="O906" t="s">
        <v>1091</v>
      </c>
      <c r="P906" t="s">
        <v>3006</v>
      </c>
      <c r="Q906" t="s">
        <v>1242</v>
      </c>
      <c r="R906" t="s">
        <v>1501</v>
      </c>
      <c r="S906" t="s">
        <v>3052</v>
      </c>
      <c r="T906" t="s">
        <v>1066</v>
      </c>
    </row>
    <row r="907" spans="2:24" ht="15" customHeight="1" x14ac:dyDescent="0.25">
      <c r="B907" s="3" t="s">
        <v>1936</v>
      </c>
      <c r="C907" s="1" t="s">
        <v>2750</v>
      </c>
      <c r="D907" s="2" t="s">
        <v>1372</v>
      </c>
      <c r="E907" s="1" t="s">
        <v>1043</v>
      </c>
      <c r="F907" s="2" t="s">
        <v>1044</v>
      </c>
      <c r="G907" s="1" t="s">
        <v>2749</v>
      </c>
      <c r="H907" s="1" t="s">
        <v>1046</v>
      </c>
      <c r="I907" s="13" t="str">
        <f t="shared" si="107"/>
        <v>2W</v>
      </c>
      <c r="J907" t="str">
        <f t="shared" si="108"/>
        <v>2036½</v>
      </c>
      <c r="K907" t="str">
        <f t="shared" si="109"/>
        <v>2038½</v>
      </c>
      <c r="L907" t="str">
        <f t="shared" si="110"/>
        <v>Plat 8</v>
      </c>
      <c r="M907" s="8" t="str">
        <f t="shared" si="111"/>
        <v xml:space="preserve"> 8</v>
      </c>
      <c r="N907" s="4" t="s">
        <v>3012</v>
      </c>
      <c r="O907" s="4" t="s">
        <v>3013</v>
      </c>
      <c r="P907" s="4" t="s">
        <v>1181</v>
      </c>
      <c r="Q907" s="4" t="s">
        <v>3014</v>
      </c>
      <c r="R907" s="4" t="s">
        <v>3015</v>
      </c>
      <c r="S907" s="4" t="s">
        <v>3016</v>
      </c>
      <c r="T907" s="4" t="s">
        <v>3004</v>
      </c>
      <c r="U907" s="4" t="s">
        <v>1161</v>
      </c>
      <c r="V907" s="4" t="s">
        <v>3017</v>
      </c>
      <c r="W907" s="4" t="s">
        <v>3018</v>
      </c>
      <c r="X907" s="4" t="s">
        <v>1044</v>
      </c>
    </row>
    <row r="908" spans="2:24" ht="15" customHeight="1" x14ac:dyDescent="0.25">
      <c r="B908" s="3" t="s">
        <v>1904</v>
      </c>
      <c r="C908" s="1" t="s">
        <v>842</v>
      </c>
      <c r="D908" s="2" t="s">
        <v>1044</v>
      </c>
      <c r="E908" s="1" t="s">
        <v>1054</v>
      </c>
      <c r="F908" s="2" t="s">
        <v>1372</v>
      </c>
      <c r="G908" s="1" t="s">
        <v>2751</v>
      </c>
      <c r="H908" s="1" t="s">
        <v>1046</v>
      </c>
      <c r="I908" s="13" t="str">
        <f t="shared" si="107"/>
        <v>2W</v>
      </c>
      <c r="J908" t="str">
        <f t="shared" si="108"/>
        <v xml:space="preserve">2037 </v>
      </c>
      <c r="K908" t="str">
        <f t="shared" si="109"/>
        <v xml:space="preserve">2039 </v>
      </c>
      <c r="L908" t="str">
        <f t="shared" si="110"/>
        <v>Plat 5</v>
      </c>
      <c r="M908" s="8" t="str">
        <f t="shared" si="111"/>
        <v xml:space="preserve"> 5</v>
      </c>
      <c r="N908" s="4" t="s">
        <v>1372</v>
      </c>
      <c r="O908"/>
    </row>
    <row r="909" spans="2:24" ht="15" customHeight="1" x14ac:dyDescent="0.25">
      <c r="B909" s="3" t="s">
        <v>1531</v>
      </c>
      <c r="C909" s="1" t="s">
        <v>2751</v>
      </c>
      <c r="D909" s="2" t="s">
        <v>1058</v>
      </c>
      <c r="E909" s="1" t="s">
        <v>1047</v>
      </c>
      <c r="F909" s="2" t="s">
        <v>1372</v>
      </c>
      <c r="G909" s="1" t="s">
        <v>2752</v>
      </c>
      <c r="H909" s="1" t="s">
        <v>1046</v>
      </c>
      <c r="I909" s="13" t="str">
        <f t="shared" ref="I909:I924" si="112">LEFT(B909,2)</f>
        <v>1K</v>
      </c>
      <c r="J909" t="str">
        <f t="shared" ref="J909:J924" si="113">LEFT(C909,5)</f>
        <v xml:space="preserve">2039 </v>
      </c>
      <c r="K909" t="str">
        <f t="shared" ref="K909:K924" si="114">LEFT(G909,5)</f>
        <v>2039½</v>
      </c>
      <c r="L909" t="str">
        <f t="shared" ref="L909:L924" si="115">LEFT(E909,6)</f>
        <v>Plat 9</v>
      </c>
      <c r="M909" s="8" t="str">
        <f t="shared" ref="M909:M924" si="116">RIGHT(L909,2)</f>
        <v xml:space="preserve"> 9</v>
      </c>
      <c r="N909" s="4" t="s">
        <v>1372</v>
      </c>
      <c r="O909"/>
    </row>
    <row r="910" spans="2:24" ht="15" customHeight="1" x14ac:dyDescent="0.25">
      <c r="B910" s="3" t="s">
        <v>1277</v>
      </c>
      <c r="C910" s="1" t="s">
        <v>2753</v>
      </c>
      <c r="D910" s="2" t="s">
        <v>1372</v>
      </c>
      <c r="E910" s="1" t="s">
        <v>1156</v>
      </c>
      <c r="F910" s="2" t="s">
        <v>1058</v>
      </c>
      <c r="G910" s="1" t="s">
        <v>845</v>
      </c>
      <c r="H910" s="1" t="s">
        <v>1046</v>
      </c>
      <c r="I910" s="13" t="str">
        <f t="shared" si="112"/>
        <v>1K</v>
      </c>
      <c r="J910" t="str">
        <f t="shared" si="113"/>
        <v>2041½</v>
      </c>
      <c r="K910" t="str">
        <f t="shared" si="114"/>
        <v xml:space="preserve">2042 </v>
      </c>
      <c r="L910" t="str">
        <f t="shared" si="115"/>
        <v>Plat10</v>
      </c>
      <c r="M910" s="8" t="str">
        <f t="shared" si="116"/>
        <v>10</v>
      </c>
      <c r="N910" s="4" t="s">
        <v>1044</v>
      </c>
      <c r="O910" s="4" t="s">
        <v>3019</v>
      </c>
      <c r="P910" s="4" t="s">
        <v>3020</v>
      </c>
      <c r="Q910" s="4" t="s">
        <v>3021</v>
      </c>
      <c r="R910" s="4" t="s">
        <v>3022</v>
      </c>
      <c r="S910" s="4" t="s">
        <v>3023</v>
      </c>
      <c r="T910" s="4" t="s">
        <v>3024</v>
      </c>
      <c r="U910" s="4" t="s">
        <v>3025</v>
      </c>
      <c r="V910" s="4" t="s">
        <v>1058</v>
      </c>
    </row>
    <row r="911" spans="2:24" ht="15" customHeight="1" x14ac:dyDescent="0.25">
      <c r="B911" s="3" t="s">
        <v>1456</v>
      </c>
      <c r="C911" s="1" t="s">
        <v>2754</v>
      </c>
      <c r="D911" s="2" t="s">
        <v>1074</v>
      </c>
      <c r="E911" s="1" t="s">
        <v>1075</v>
      </c>
      <c r="F911" s="1" t="s">
        <v>1051</v>
      </c>
      <c r="G911" s="1"/>
      <c r="H911" s="1" t="s">
        <v>1040</v>
      </c>
      <c r="I911" s="13" t="str">
        <f t="shared" si="112"/>
        <v>2N</v>
      </c>
      <c r="J911" t="str">
        <f t="shared" si="113"/>
        <v xml:space="preserve">2044 </v>
      </c>
      <c r="K911" t="str">
        <f t="shared" si="114"/>
        <v/>
      </c>
      <c r="L911" t="str">
        <f t="shared" si="115"/>
        <v>Plat 2</v>
      </c>
      <c r="M911" s="8" t="str">
        <f t="shared" si="116"/>
        <v xml:space="preserve"> 2</v>
      </c>
      <c r="O911"/>
    </row>
    <row r="912" spans="2:24" ht="15" customHeight="1" x14ac:dyDescent="0.25">
      <c r="B912" s="3" t="s">
        <v>2755</v>
      </c>
      <c r="C912" s="1"/>
      <c r="D912" s="1" t="s">
        <v>1037</v>
      </c>
      <c r="E912" s="1" t="s">
        <v>1038</v>
      </c>
      <c r="F912" s="2" t="s">
        <v>1039</v>
      </c>
      <c r="G912" s="1" t="s">
        <v>850</v>
      </c>
      <c r="H912" s="1" t="s">
        <v>1040</v>
      </c>
      <c r="I912" s="13" t="str">
        <f t="shared" si="112"/>
        <v>2Y</v>
      </c>
      <c r="J912" t="str">
        <f t="shared" si="113"/>
        <v/>
      </c>
      <c r="K912" t="str">
        <f t="shared" si="114"/>
        <v xml:space="preserve">2045 </v>
      </c>
      <c r="L912" t="str">
        <f t="shared" si="115"/>
        <v>Plat 1</v>
      </c>
      <c r="M912" s="8" t="str">
        <f t="shared" si="116"/>
        <v xml:space="preserve"> 1</v>
      </c>
      <c r="N912" s="4" t="s">
        <v>3010</v>
      </c>
      <c r="O912" s="15" t="s">
        <v>3011</v>
      </c>
    </row>
    <row r="913" spans="2:24" ht="15" customHeight="1" x14ac:dyDescent="0.25">
      <c r="B913" s="3" t="s">
        <v>240</v>
      </c>
      <c r="C913" s="1" t="s">
        <v>847</v>
      </c>
      <c r="D913" s="2" t="s">
        <v>1372</v>
      </c>
      <c r="E913" s="1" t="s">
        <v>1156</v>
      </c>
      <c r="F913" s="2" t="s">
        <v>1304</v>
      </c>
      <c r="G913" s="1" t="s">
        <v>850</v>
      </c>
      <c r="H913" s="1" t="s">
        <v>1046</v>
      </c>
      <c r="I913" s="13" t="str">
        <f t="shared" si="112"/>
        <v>1F</v>
      </c>
      <c r="J913" t="str">
        <f t="shared" si="113"/>
        <v>2044½</v>
      </c>
      <c r="K913" t="str">
        <f t="shared" si="114"/>
        <v xml:space="preserve">2045 </v>
      </c>
      <c r="L913" t="str">
        <f t="shared" si="115"/>
        <v>Plat10</v>
      </c>
      <c r="M913" s="8" t="str">
        <f t="shared" si="116"/>
        <v>10</v>
      </c>
      <c r="N913" s="4" t="s">
        <v>1044</v>
      </c>
      <c r="O913" s="4" t="s">
        <v>2999</v>
      </c>
      <c r="P913" s="4" t="s">
        <v>1473</v>
      </c>
      <c r="Q913" s="4" t="s">
        <v>3000</v>
      </c>
      <c r="R913" s="4" t="s">
        <v>3001</v>
      </c>
      <c r="S913" s="4" t="s">
        <v>3002</v>
      </c>
      <c r="T913" s="4" t="s">
        <v>3003</v>
      </c>
      <c r="U913" s="4" t="s">
        <v>1091</v>
      </c>
      <c r="V913" s="4" t="s">
        <v>1304</v>
      </c>
    </row>
    <row r="914" spans="2:24" ht="15" customHeight="1" x14ac:dyDescent="0.25">
      <c r="B914" s="3" t="s">
        <v>2756</v>
      </c>
      <c r="C914" s="1" t="s">
        <v>850</v>
      </c>
      <c r="D914" s="2" t="s">
        <v>1066</v>
      </c>
      <c r="E914" s="1" t="s">
        <v>1047</v>
      </c>
      <c r="F914" s="2" t="s">
        <v>1372</v>
      </c>
      <c r="G914" s="1" t="s">
        <v>2873</v>
      </c>
      <c r="H914" s="1" t="s">
        <v>1046</v>
      </c>
      <c r="I914" s="13" t="str">
        <f t="shared" si="112"/>
        <v>1P</v>
      </c>
      <c r="J914" t="str">
        <f t="shared" si="113"/>
        <v xml:space="preserve">2045 </v>
      </c>
      <c r="K914" t="str">
        <f t="shared" si="114"/>
        <v xml:space="preserve">2046 </v>
      </c>
      <c r="L914" t="str">
        <f t="shared" si="115"/>
        <v>Plat 9</v>
      </c>
      <c r="M914" s="8" t="str">
        <f t="shared" si="116"/>
        <v xml:space="preserve"> 9</v>
      </c>
      <c r="N914" s="4" t="s">
        <v>1372</v>
      </c>
      <c r="O914"/>
    </row>
    <row r="915" spans="2:24" ht="15" customHeight="1" x14ac:dyDescent="0.25">
      <c r="B915" s="3" t="s">
        <v>1950</v>
      </c>
      <c r="C915" s="1" t="s">
        <v>2757</v>
      </c>
      <c r="D915" s="2" t="s">
        <v>1372</v>
      </c>
      <c r="E915" s="1" t="s">
        <v>1043</v>
      </c>
      <c r="F915" s="2" t="s">
        <v>1044</v>
      </c>
      <c r="G915" s="1" t="s">
        <v>848</v>
      </c>
      <c r="H915" s="1" t="s">
        <v>1046</v>
      </c>
      <c r="I915" s="13" t="str">
        <f t="shared" si="112"/>
        <v>2W</v>
      </c>
      <c r="J915" t="str">
        <f t="shared" si="113"/>
        <v>2046½</v>
      </c>
      <c r="K915" t="str">
        <f t="shared" si="114"/>
        <v>2048½</v>
      </c>
      <c r="L915" t="str">
        <f t="shared" si="115"/>
        <v>Plat 8</v>
      </c>
      <c r="M915" s="8" t="str">
        <f t="shared" si="116"/>
        <v xml:space="preserve"> 8</v>
      </c>
      <c r="N915" s="4" t="s">
        <v>3012</v>
      </c>
      <c r="O915" s="4" t="s">
        <v>3013</v>
      </c>
      <c r="P915" s="4" t="s">
        <v>1181</v>
      </c>
      <c r="Q915" s="4" t="s">
        <v>3014</v>
      </c>
      <c r="R915" s="4" t="s">
        <v>3015</v>
      </c>
      <c r="S915" s="4" t="s">
        <v>3016</v>
      </c>
      <c r="T915" s="4" t="s">
        <v>3004</v>
      </c>
      <c r="U915" s="4" t="s">
        <v>1161</v>
      </c>
      <c r="V915" s="4" t="s">
        <v>3017</v>
      </c>
      <c r="W915" s="4" t="s">
        <v>3018</v>
      </c>
      <c r="X915" s="4" t="s">
        <v>1044</v>
      </c>
    </row>
    <row r="916" spans="2:24" ht="15" customHeight="1" x14ac:dyDescent="0.25">
      <c r="B916" s="3" t="s">
        <v>2758</v>
      </c>
      <c r="C916" s="1" t="s">
        <v>2759</v>
      </c>
      <c r="D916" s="2" t="s">
        <v>1039</v>
      </c>
      <c r="E916" s="1" t="s">
        <v>1050</v>
      </c>
      <c r="F916" s="1" t="s">
        <v>1051</v>
      </c>
      <c r="G916" s="1"/>
      <c r="H916" s="1" t="s">
        <v>1040</v>
      </c>
      <c r="I916" s="13" t="str">
        <f t="shared" si="112"/>
        <v>2L</v>
      </c>
      <c r="J916" t="str">
        <f t="shared" si="113"/>
        <v xml:space="preserve">2049 </v>
      </c>
      <c r="K916" t="str">
        <f t="shared" si="114"/>
        <v/>
      </c>
      <c r="L916" t="str">
        <f t="shared" si="115"/>
        <v>Plat 1</v>
      </c>
      <c r="M916" s="8" t="str">
        <f t="shared" si="116"/>
        <v xml:space="preserve"> 1</v>
      </c>
      <c r="O916"/>
    </row>
    <row r="917" spans="2:24" ht="15" customHeight="1" x14ac:dyDescent="0.25">
      <c r="B917" s="3" t="s">
        <v>1920</v>
      </c>
      <c r="C917" s="1" t="s">
        <v>2760</v>
      </c>
      <c r="D917" s="2" t="s">
        <v>1044</v>
      </c>
      <c r="E917" s="1" t="s">
        <v>1054</v>
      </c>
      <c r="F917" s="2" t="s">
        <v>1372</v>
      </c>
      <c r="G917" s="1" t="s">
        <v>851</v>
      </c>
      <c r="H917" s="1" t="s">
        <v>1046</v>
      </c>
      <c r="I917" s="13" t="str">
        <f t="shared" si="112"/>
        <v>2W</v>
      </c>
      <c r="J917" t="str">
        <f t="shared" si="113"/>
        <v xml:space="preserve">2047 </v>
      </c>
      <c r="K917" t="str">
        <f t="shared" si="114"/>
        <v xml:space="preserve">2049 </v>
      </c>
      <c r="L917" t="str">
        <f t="shared" si="115"/>
        <v>Plat 5</v>
      </c>
      <c r="M917" s="8" t="str">
        <f t="shared" si="116"/>
        <v xml:space="preserve"> 5</v>
      </c>
      <c r="N917" s="4" t="s">
        <v>1372</v>
      </c>
      <c r="O917"/>
    </row>
    <row r="918" spans="2:24" ht="15" customHeight="1" x14ac:dyDescent="0.25">
      <c r="B918" s="3" t="s">
        <v>1482</v>
      </c>
      <c r="C918" s="1"/>
      <c r="D918" s="1" t="s">
        <v>1037</v>
      </c>
      <c r="E918" s="1" t="s">
        <v>1061</v>
      </c>
      <c r="F918" s="2" t="s">
        <v>1074</v>
      </c>
      <c r="G918" s="1" t="s">
        <v>856</v>
      </c>
      <c r="H918" s="1" t="s">
        <v>1040</v>
      </c>
      <c r="I918" s="13" t="str">
        <f t="shared" si="112"/>
        <v>2N</v>
      </c>
      <c r="J918" t="str">
        <f t="shared" si="113"/>
        <v/>
      </c>
      <c r="K918" t="str">
        <f t="shared" si="114"/>
        <v xml:space="preserve">2052 </v>
      </c>
      <c r="L918" t="str">
        <f t="shared" si="115"/>
        <v>Plat 2</v>
      </c>
      <c r="M918" s="8" t="str">
        <f t="shared" si="116"/>
        <v xml:space="preserve"> 2</v>
      </c>
      <c r="N918" s="4" t="s">
        <v>3010</v>
      </c>
      <c r="O918" s="15" t="s">
        <v>3011</v>
      </c>
    </row>
    <row r="919" spans="2:24" ht="15" customHeight="1" x14ac:dyDescent="0.25">
      <c r="B919" s="3" t="s">
        <v>2761</v>
      </c>
      <c r="C919" s="1" t="s">
        <v>856</v>
      </c>
      <c r="D919" s="2" t="s">
        <v>1242</v>
      </c>
      <c r="E919" s="1" t="s">
        <v>1047</v>
      </c>
      <c r="F919" s="2" t="s">
        <v>1372</v>
      </c>
      <c r="G919" s="1" t="s">
        <v>2762</v>
      </c>
      <c r="H919" s="1" t="s">
        <v>1046</v>
      </c>
      <c r="I919" s="13" t="str">
        <f t="shared" si="112"/>
        <v>1Y</v>
      </c>
      <c r="J919" t="str">
        <f t="shared" si="113"/>
        <v xml:space="preserve">2052 </v>
      </c>
      <c r="K919" t="str">
        <f t="shared" si="114"/>
        <v>2052½</v>
      </c>
      <c r="L919" t="str">
        <f t="shared" si="115"/>
        <v>Plat 9</v>
      </c>
      <c r="M919" s="8" t="str">
        <f t="shared" si="116"/>
        <v xml:space="preserve"> 9</v>
      </c>
      <c r="N919" s="4" t="s">
        <v>1372</v>
      </c>
      <c r="O919"/>
    </row>
    <row r="920" spans="2:24" ht="15" customHeight="1" x14ac:dyDescent="0.25">
      <c r="B920" s="3" t="s">
        <v>783</v>
      </c>
      <c r="C920" s="1" t="s">
        <v>2763</v>
      </c>
      <c r="D920" s="2" t="s">
        <v>1372</v>
      </c>
      <c r="E920" s="1" t="s">
        <v>1156</v>
      </c>
      <c r="F920" s="2" t="s">
        <v>1237</v>
      </c>
      <c r="G920" s="1" t="s">
        <v>854</v>
      </c>
      <c r="H920" s="1" t="s">
        <v>1046</v>
      </c>
      <c r="I920" s="13" t="str">
        <f t="shared" si="112"/>
        <v>1F</v>
      </c>
      <c r="J920" t="str">
        <f t="shared" si="113"/>
        <v>2054½</v>
      </c>
      <c r="K920" t="str">
        <f t="shared" si="114"/>
        <v xml:space="preserve">2055 </v>
      </c>
      <c r="L920" t="str">
        <f t="shared" si="115"/>
        <v>Plat10</v>
      </c>
      <c r="M920" s="8" t="str">
        <f t="shared" si="116"/>
        <v>10</v>
      </c>
      <c r="N920" t="s">
        <v>1044</v>
      </c>
      <c r="O920" t="s">
        <v>2999</v>
      </c>
      <c r="P920" t="s">
        <v>1473</v>
      </c>
      <c r="Q920" t="s">
        <v>3001</v>
      </c>
      <c r="R920" t="s">
        <v>3043</v>
      </c>
      <c r="S920" t="s">
        <v>3044</v>
      </c>
      <c r="T920" t="s">
        <v>3045</v>
      </c>
      <c r="U920" t="s">
        <v>1237</v>
      </c>
    </row>
    <row r="921" spans="2:24" ht="15" customHeight="1" x14ac:dyDescent="0.25">
      <c r="B921" s="3" t="s">
        <v>1959</v>
      </c>
      <c r="C921" s="1" t="s">
        <v>2764</v>
      </c>
      <c r="D921" s="2" t="s">
        <v>1372</v>
      </c>
      <c r="E921" s="1" t="s">
        <v>1043</v>
      </c>
      <c r="F921" s="2" t="s">
        <v>1044</v>
      </c>
      <c r="G921" s="1" t="s">
        <v>2765</v>
      </c>
      <c r="H921" s="1" t="s">
        <v>1046</v>
      </c>
      <c r="I921" s="13" t="str">
        <f t="shared" si="112"/>
        <v>2W</v>
      </c>
      <c r="J921" t="str">
        <f t="shared" si="113"/>
        <v>2056½</v>
      </c>
      <c r="K921" t="str">
        <f t="shared" si="114"/>
        <v>2058½</v>
      </c>
      <c r="L921" t="str">
        <f t="shared" si="115"/>
        <v>Plat 8</v>
      </c>
      <c r="M921" s="8" t="str">
        <f t="shared" si="116"/>
        <v xml:space="preserve"> 8</v>
      </c>
      <c r="N921" s="4" t="s">
        <v>3012</v>
      </c>
      <c r="O921" s="4" t="s">
        <v>3013</v>
      </c>
      <c r="P921" s="4" t="s">
        <v>1181</v>
      </c>
      <c r="Q921" s="4" t="s">
        <v>3014</v>
      </c>
      <c r="R921" s="4" t="s">
        <v>3015</v>
      </c>
      <c r="S921" s="4" t="s">
        <v>3016</v>
      </c>
      <c r="T921" s="4" t="s">
        <v>3004</v>
      </c>
      <c r="U921" s="4" t="s">
        <v>1161</v>
      </c>
      <c r="V921" s="4" t="s">
        <v>3017</v>
      </c>
      <c r="W921" s="4" t="s">
        <v>3018</v>
      </c>
      <c r="X921" s="4" t="s">
        <v>1044</v>
      </c>
    </row>
    <row r="922" spans="2:24" ht="15" customHeight="1" x14ac:dyDescent="0.25">
      <c r="B922" s="3" t="s">
        <v>1940</v>
      </c>
      <c r="C922" s="1" t="s">
        <v>2766</v>
      </c>
      <c r="D922" s="2" t="s">
        <v>1044</v>
      </c>
      <c r="E922" s="1" t="s">
        <v>1054</v>
      </c>
      <c r="F922" s="2" t="s">
        <v>1372</v>
      </c>
      <c r="G922" s="1" t="s">
        <v>862</v>
      </c>
      <c r="H922" s="1" t="s">
        <v>1046</v>
      </c>
      <c r="I922" s="13" t="str">
        <f t="shared" si="112"/>
        <v>2W</v>
      </c>
      <c r="J922" t="str">
        <f t="shared" si="113"/>
        <v xml:space="preserve">2057 </v>
      </c>
      <c r="K922" t="str">
        <f t="shared" si="114"/>
        <v xml:space="preserve">2059 </v>
      </c>
      <c r="L922" t="str">
        <f t="shared" si="115"/>
        <v>Plat 5</v>
      </c>
      <c r="M922" s="8" t="str">
        <f t="shared" si="116"/>
        <v xml:space="preserve"> 5</v>
      </c>
      <c r="N922" s="4" t="s">
        <v>1372</v>
      </c>
      <c r="O922"/>
    </row>
    <row r="923" spans="2:24" ht="15" customHeight="1" x14ac:dyDescent="0.25">
      <c r="B923" s="3" t="s">
        <v>1498</v>
      </c>
      <c r="C923" s="1" t="s">
        <v>2767</v>
      </c>
      <c r="D923" s="2" t="s">
        <v>1074</v>
      </c>
      <c r="E923" s="1" t="s">
        <v>1075</v>
      </c>
      <c r="F923" s="1" t="s">
        <v>1051</v>
      </c>
      <c r="G923" s="1"/>
      <c r="H923" s="1" t="s">
        <v>1040</v>
      </c>
      <c r="I923" s="13" t="str">
        <f t="shared" si="112"/>
        <v>2N</v>
      </c>
      <c r="J923" t="str">
        <f t="shared" si="113"/>
        <v xml:space="preserve">2059 </v>
      </c>
      <c r="K923" t="str">
        <f t="shared" si="114"/>
        <v/>
      </c>
      <c r="L923" t="str">
        <f t="shared" si="115"/>
        <v>Plat 2</v>
      </c>
      <c r="M923" s="8" t="str">
        <f t="shared" si="116"/>
        <v xml:space="preserve"> 2</v>
      </c>
      <c r="O923"/>
    </row>
    <row r="924" spans="2:24" ht="15" customHeight="1" x14ac:dyDescent="0.25">
      <c r="B924" s="3" t="s">
        <v>2768</v>
      </c>
      <c r="C924" s="1"/>
      <c r="D924" s="1" t="s">
        <v>1037</v>
      </c>
      <c r="E924" s="1" t="s">
        <v>2148</v>
      </c>
      <c r="F924" s="2" t="s">
        <v>1254</v>
      </c>
      <c r="G924" s="1" t="s">
        <v>2769</v>
      </c>
      <c r="H924" s="1" t="s">
        <v>1046</v>
      </c>
      <c r="I924" s="13" t="str">
        <f t="shared" si="112"/>
        <v>2S</v>
      </c>
      <c r="J924" t="str">
        <f t="shared" si="113"/>
        <v/>
      </c>
      <c r="K924" t="str">
        <f t="shared" si="114"/>
        <v xml:space="preserve">2100 </v>
      </c>
      <c r="L924" t="str">
        <f t="shared" si="115"/>
        <v>Plat11</v>
      </c>
      <c r="M924" s="8" t="str">
        <f t="shared" si="116"/>
        <v>11</v>
      </c>
      <c r="N924" t="s">
        <v>2975</v>
      </c>
      <c r="O924" t="s">
        <v>3039</v>
      </c>
      <c r="P924" t="s">
        <v>3040</v>
      </c>
      <c r="Q924" t="s">
        <v>2978</v>
      </c>
      <c r="R924" t="s">
        <v>1298</v>
      </c>
      <c r="S924" t="s">
        <v>2979</v>
      </c>
      <c r="T924" t="s">
        <v>2980</v>
      </c>
      <c r="U924" t="s">
        <v>2981</v>
      </c>
      <c r="V924" t="s">
        <v>2982</v>
      </c>
      <c r="W924" t="s">
        <v>1254</v>
      </c>
    </row>
    <row r="925" spans="2:24" ht="15" customHeight="1" x14ac:dyDescent="0.25">
      <c r="B925" s="3" t="s">
        <v>1588</v>
      </c>
      <c r="C925" s="1" t="s">
        <v>2770</v>
      </c>
      <c r="D925" s="2" t="s">
        <v>1058</v>
      </c>
      <c r="E925" s="1" t="s">
        <v>1047</v>
      </c>
      <c r="F925" s="2" t="s">
        <v>1372</v>
      </c>
      <c r="G925" s="1" t="s">
        <v>2771</v>
      </c>
      <c r="H925" s="1" t="s">
        <v>1046</v>
      </c>
      <c r="I925" s="13" t="str">
        <f t="shared" ref="I925:I979" si="117">LEFT(B925,2)</f>
        <v>2K</v>
      </c>
      <c r="J925" t="str">
        <f t="shared" ref="J925:J979" si="118">LEFT(C925,5)</f>
        <v xml:space="preserve">2101 </v>
      </c>
      <c r="K925" t="str">
        <f t="shared" ref="K925:K979" si="119">LEFT(G925,5)</f>
        <v>2101½</v>
      </c>
      <c r="L925" t="str">
        <f t="shared" ref="L925:L979" si="120">LEFT(E925,6)</f>
        <v>Plat 9</v>
      </c>
      <c r="M925" s="8" t="str">
        <f t="shared" ref="M925:M979" si="121">RIGHT(L925,2)</f>
        <v xml:space="preserve"> 9</v>
      </c>
      <c r="N925" s="4" t="s">
        <v>1372</v>
      </c>
      <c r="O925"/>
    </row>
    <row r="926" spans="2:24" ht="15" customHeight="1" x14ac:dyDescent="0.25">
      <c r="B926" s="3" t="s">
        <v>1314</v>
      </c>
      <c r="C926" s="1" t="s">
        <v>2772</v>
      </c>
      <c r="D926" s="2" t="s">
        <v>1372</v>
      </c>
      <c r="E926" s="1" t="s">
        <v>1156</v>
      </c>
      <c r="F926" s="2" t="s">
        <v>1058</v>
      </c>
      <c r="G926" s="1" t="s">
        <v>860</v>
      </c>
      <c r="H926" s="1" t="s">
        <v>1046</v>
      </c>
      <c r="I926" s="13" t="str">
        <f t="shared" si="117"/>
        <v>1K</v>
      </c>
      <c r="J926" t="str">
        <f t="shared" si="118"/>
        <v>2101½</v>
      </c>
      <c r="K926" t="str">
        <f t="shared" si="119"/>
        <v xml:space="preserve">2102 </v>
      </c>
      <c r="L926" t="str">
        <f t="shared" si="120"/>
        <v>Plat10</v>
      </c>
      <c r="M926" s="8" t="str">
        <f t="shared" si="121"/>
        <v>10</v>
      </c>
      <c r="N926" s="4" t="s">
        <v>1044</v>
      </c>
      <c r="O926" s="4" t="s">
        <v>3019</v>
      </c>
      <c r="P926" s="4" t="s">
        <v>3020</v>
      </c>
      <c r="Q926" s="4" t="s">
        <v>3021</v>
      </c>
      <c r="R926" s="4" t="s">
        <v>3022</v>
      </c>
      <c r="S926" s="4" t="s">
        <v>3023</v>
      </c>
      <c r="T926" s="4" t="s">
        <v>3024</v>
      </c>
      <c r="U926" s="4" t="s">
        <v>3025</v>
      </c>
      <c r="V926" s="4" t="s">
        <v>1058</v>
      </c>
    </row>
    <row r="927" spans="2:24" ht="15" customHeight="1" x14ac:dyDescent="0.25">
      <c r="B927" s="3" t="s">
        <v>2773</v>
      </c>
      <c r="C927" s="1"/>
      <c r="D927" s="1" t="s">
        <v>1037</v>
      </c>
      <c r="E927" s="1" t="s">
        <v>1038</v>
      </c>
      <c r="F927" s="2" t="s">
        <v>1039</v>
      </c>
      <c r="G927" s="1" t="s">
        <v>860</v>
      </c>
      <c r="H927" s="1" t="s">
        <v>1040</v>
      </c>
      <c r="I927" s="13" t="str">
        <f t="shared" si="117"/>
        <v>2Y</v>
      </c>
      <c r="J927" t="str">
        <f t="shared" si="118"/>
        <v/>
      </c>
      <c r="K927" t="str">
        <f t="shared" si="119"/>
        <v xml:space="preserve">2102 </v>
      </c>
      <c r="L927" t="str">
        <f t="shared" si="120"/>
        <v>Plat 1</v>
      </c>
      <c r="M927" s="8" t="str">
        <f t="shared" si="121"/>
        <v xml:space="preserve"> 1</v>
      </c>
      <c r="N927" s="4" t="s">
        <v>3010</v>
      </c>
      <c r="O927" s="15" t="s">
        <v>3011</v>
      </c>
    </row>
    <row r="928" spans="2:24" ht="15" customHeight="1" x14ac:dyDescent="0.25">
      <c r="B928" s="3" t="s">
        <v>2774</v>
      </c>
      <c r="C928" s="1" t="s">
        <v>2775</v>
      </c>
      <c r="D928" s="2" t="s">
        <v>1039</v>
      </c>
      <c r="E928" s="1" t="s">
        <v>1050</v>
      </c>
      <c r="F928" s="1" t="s">
        <v>1051</v>
      </c>
      <c r="G928" s="1"/>
      <c r="H928" s="1" t="s">
        <v>1040</v>
      </c>
      <c r="I928" s="13" t="str">
        <f t="shared" si="117"/>
        <v>2L</v>
      </c>
      <c r="J928" t="str">
        <f t="shared" si="118"/>
        <v xml:space="preserve">2105 </v>
      </c>
      <c r="K928" t="str">
        <f t="shared" si="119"/>
        <v/>
      </c>
      <c r="L928" t="str">
        <f t="shared" si="120"/>
        <v>Plat 1</v>
      </c>
      <c r="M928" s="8" t="str">
        <f t="shared" si="121"/>
        <v xml:space="preserve"> 1</v>
      </c>
      <c r="O928"/>
    </row>
    <row r="929" spans="2:24" ht="15" customHeight="1" x14ac:dyDescent="0.25">
      <c r="B929" s="3" t="s">
        <v>2776</v>
      </c>
      <c r="C929" s="1" t="s">
        <v>2777</v>
      </c>
      <c r="D929" s="2" t="s">
        <v>1254</v>
      </c>
      <c r="E929" s="1" t="s">
        <v>2148</v>
      </c>
      <c r="F929" s="1" t="s">
        <v>1051</v>
      </c>
      <c r="G929" s="1"/>
      <c r="H929" s="1" t="s">
        <v>1046</v>
      </c>
      <c r="I929" s="13" t="str">
        <f t="shared" si="117"/>
        <v>2S</v>
      </c>
      <c r="J929" t="str">
        <f t="shared" si="118"/>
        <v xml:space="preserve">2107 </v>
      </c>
      <c r="K929" t="str">
        <f t="shared" si="119"/>
        <v/>
      </c>
      <c r="L929" t="str">
        <f t="shared" si="120"/>
        <v>Plat11</v>
      </c>
      <c r="M929" s="8" t="str">
        <f t="shared" si="121"/>
        <v>11</v>
      </c>
      <c r="O929"/>
    </row>
    <row r="930" spans="2:24" ht="15" customHeight="1" x14ac:dyDescent="0.25">
      <c r="B930" s="3" t="s">
        <v>1514</v>
      </c>
      <c r="C930" s="1"/>
      <c r="D930" s="1" t="s">
        <v>1037</v>
      </c>
      <c r="E930" s="1" t="s">
        <v>1061</v>
      </c>
      <c r="F930" s="2" t="s">
        <v>1074</v>
      </c>
      <c r="G930" s="1" t="s">
        <v>2777</v>
      </c>
      <c r="H930" s="1" t="s">
        <v>1040</v>
      </c>
      <c r="I930" s="13" t="str">
        <f t="shared" si="117"/>
        <v>2N</v>
      </c>
      <c r="J930" t="str">
        <f t="shared" si="118"/>
        <v/>
      </c>
      <c r="K930" t="str">
        <f t="shared" si="119"/>
        <v xml:space="preserve">2107 </v>
      </c>
      <c r="L930" t="str">
        <f t="shared" si="120"/>
        <v>Plat 2</v>
      </c>
      <c r="M930" s="8" t="str">
        <f t="shared" si="121"/>
        <v xml:space="preserve"> 2</v>
      </c>
      <c r="N930" s="4" t="s">
        <v>3010</v>
      </c>
      <c r="O930" s="15" t="s">
        <v>3011</v>
      </c>
    </row>
    <row r="931" spans="2:24" ht="15" customHeight="1" x14ac:dyDescent="0.25">
      <c r="B931" s="3" t="s">
        <v>2778</v>
      </c>
      <c r="C931" s="1" t="s">
        <v>2777</v>
      </c>
      <c r="D931" s="2" t="s">
        <v>1242</v>
      </c>
      <c r="E931" s="1" t="s">
        <v>1047</v>
      </c>
      <c r="F931" s="2" t="s">
        <v>1372</v>
      </c>
      <c r="G931" s="1" t="s">
        <v>2779</v>
      </c>
      <c r="H931" s="1" t="s">
        <v>1046</v>
      </c>
      <c r="I931" s="13" t="str">
        <f t="shared" si="117"/>
        <v>1Y</v>
      </c>
      <c r="J931" t="str">
        <f t="shared" si="118"/>
        <v xml:space="preserve">2107 </v>
      </c>
      <c r="K931" t="str">
        <f t="shared" si="119"/>
        <v>2107½</v>
      </c>
      <c r="L931" t="str">
        <f t="shared" si="120"/>
        <v>Plat 9</v>
      </c>
      <c r="M931" s="8" t="str">
        <f t="shared" si="121"/>
        <v xml:space="preserve"> 9</v>
      </c>
      <c r="N931" s="4" t="s">
        <v>1372</v>
      </c>
      <c r="O931"/>
    </row>
    <row r="932" spans="2:24" ht="15" customHeight="1" x14ac:dyDescent="0.25">
      <c r="B932" s="3" t="s">
        <v>1981</v>
      </c>
      <c r="C932" s="1" t="s">
        <v>2780</v>
      </c>
      <c r="D932" s="2" t="s">
        <v>1372</v>
      </c>
      <c r="E932" s="1" t="s">
        <v>1043</v>
      </c>
      <c r="F932" s="2" t="s">
        <v>1044</v>
      </c>
      <c r="G932" s="1" t="s">
        <v>2781</v>
      </c>
      <c r="H932" s="1" t="s">
        <v>1046</v>
      </c>
      <c r="I932" s="13" t="str">
        <f t="shared" si="117"/>
        <v>2W</v>
      </c>
      <c r="J932" t="str">
        <f t="shared" si="118"/>
        <v>2106½</v>
      </c>
      <c r="K932" t="str">
        <f t="shared" si="119"/>
        <v>2108½</v>
      </c>
      <c r="L932" t="str">
        <f t="shared" si="120"/>
        <v>Plat 8</v>
      </c>
      <c r="M932" s="8" t="str">
        <f t="shared" si="121"/>
        <v xml:space="preserve"> 8</v>
      </c>
      <c r="N932" s="4" t="s">
        <v>3012</v>
      </c>
      <c r="O932" s="4" t="s">
        <v>3013</v>
      </c>
      <c r="P932" s="4" t="s">
        <v>1181</v>
      </c>
      <c r="Q932" s="4" t="s">
        <v>3014</v>
      </c>
      <c r="R932" s="4" t="s">
        <v>3015</v>
      </c>
      <c r="S932" s="4" t="s">
        <v>3016</v>
      </c>
      <c r="T932" s="4" t="s">
        <v>3004</v>
      </c>
      <c r="U932" s="4" t="s">
        <v>1161</v>
      </c>
      <c r="V932" s="4" t="s">
        <v>3017</v>
      </c>
      <c r="W932" s="4" t="s">
        <v>3018</v>
      </c>
      <c r="X932" s="4" t="s">
        <v>1044</v>
      </c>
    </row>
    <row r="933" spans="2:24" ht="15" customHeight="1" x14ac:dyDescent="0.25">
      <c r="B933" s="3" t="s">
        <v>1952</v>
      </c>
      <c r="C933" s="1" t="s">
        <v>2777</v>
      </c>
      <c r="D933" s="2" t="s">
        <v>1044</v>
      </c>
      <c r="E933" s="1" t="s">
        <v>1054</v>
      </c>
      <c r="F933" s="2" t="s">
        <v>1372</v>
      </c>
      <c r="G933" s="1" t="s">
        <v>866</v>
      </c>
      <c r="H933" s="1" t="s">
        <v>1046</v>
      </c>
      <c r="I933" s="13" t="str">
        <f t="shared" si="117"/>
        <v>2W</v>
      </c>
      <c r="J933" t="str">
        <f t="shared" si="118"/>
        <v xml:space="preserve">2107 </v>
      </c>
      <c r="K933" t="str">
        <f t="shared" si="119"/>
        <v xml:space="preserve">2109 </v>
      </c>
      <c r="L933" t="str">
        <f t="shared" si="120"/>
        <v>Plat 5</v>
      </c>
      <c r="M933" s="8" t="str">
        <f t="shared" si="121"/>
        <v xml:space="preserve"> 5</v>
      </c>
      <c r="N933" s="4" t="s">
        <v>1372</v>
      </c>
      <c r="O933"/>
    </row>
    <row r="934" spans="2:24" ht="15" customHeight="1" x14ac:dyDescent="0.25">
      <c r="B934" s="3" t="s">
        <v>2782</v>
      </c>
      <c r="C934" s="1" t="s">
        <v>2783</v>
      </c>
      <c r="D934" s="2" t="s">
        <v>1372</v>
      </c>
      <c r="E934" s="1" t="s">
        <v>1156</v>
      </c>
      <c r="F934" s="2" t="s">
        <v>3005</v>
      </c>
      <c r="G934" s="1" t="s">
        <v>866</v>
      </c>
      <c r="H934" s="1" t="s">
        <v>1046</v>
      </c>
      <c r="I934" s="13" t="str">
        <f t="shared" si="117"/>
        <v>1A</v>
      </c>
      <c r="J934" t="str">
        <f t="shared" si="118"/>
        <v>2108½</v>
      </c>
      <c r="K934" t="str">
        <f t="shared" si="119"/>
        <v xml:space="preserve">2109 </v>
      </c>
      <c r="L934" t="str">
        <f t="shared" si="120"/>
        <v>Plat10</v>
      </c>
      <c r="M934" s="8" t="str">
        <f t="shared" si="121"/>
        <v>10</v>
      </c>
      <c r="N934" t="s">
        <v>1044</v>
      </c>
      <c r="O934" t="s">
        <v>2999</v>
      </c>
      <c r="P934" t="s">
        <v>1473</v>
      </c>
      <c r="Q934" t="s">
        <v>3001</v>
      </c>
      <c r="R934" t="s">
        <v>3002</v>
      </c>
      <c r="S934" t="s">
        <v>3003</v>
      </c>
      <c r="T934" t="s">
        <v>1091</v>
      </c>
      <c r="U934" t="s">
        <v>3006</v>
      </c>
      <c r="V934" t="s">
        <v>3005</v>
      </c>
    </row>
    <row r="935" spans="2:24" ht="15" customHeight="1" x14ac:dyDescent="0.25">
      <c r="B935" s="3" t="s">
        <v>1535</v>
      </c>
      <c r="C935" s="1" t="s">
        <v>2784</v>
      </c>
      <c r="D935" s="2" t="s">
        <v>1074</v>
      </c>
      <c r="E935" s="1" t="s">
        <v>1075</v>
      </c>
      <c r="F935" s="1" t="s">
        <v>1051</v>
      </c>
      <c r="G935" s="1"/>
      <c r="H935" s="1" t="s">
        <v>1040</v>
      </c>
      <c r="I935" s="13" t="str">
        <f t="shared" si="117"/>
        <v>2N</v>
      </c>
      <c r="J935" t="str">
        <f t="shared" si="118"/>
        <v xml:space="preserve">2114 </v>
      </c>
      <c r="K935" t="str">
        <f t="shared" si="119"/>
        <v/>
      </c>
      <c r="L935" t="str">
        <f t="shared" si="120"/>
        <v>Plat 2</v>
      </c>
      <c r="M935" s="8" t="str">
        <f t="shared" si="121"/>
        <v xml:space="preserve"> 2</v>
      </c>
      <c r="O935"/>
    </row>
    <row r="936" spans="2:24" ht="15" customHeight="1" x14ac:dyDescent="0.25">
      <c r="B936" s="3" t="s">
        <v>2785</v>
      </c>
      <c r="C936" s="1"/>
      <c r="D936" s="1" t="s">
        <v>1037</v>
      </c>
      <c r="E936" s="1" t="s">
        <v>1038</v>
      </c>
      <c r="F936" s="2" t="s">
        <v>1039</v>
      </c>
      <c r="G936" s="1" t="s">
        <v>2786</v>
      </c>
      <c r="H936" s="1" t="s">
        <v>1040</v>
      </c>
      <c r="I936" s="13" t="str">
        <f t="shared" si="117"/>
        <v>2Y</v>
      </c>
      <c r="J936" t="str">
        <f t="shared" si="118"/>
        <v/>
      </c>
      <c r="K936" t="str">
        <f t="shared" si="119"/>
        <v xml:space="preserve">2115 </v>
      </c>
      <c r="L936" t="str">
        <f t="shared" si="120"/>
        <v>Plat 1</v>
      </c>
      <c r="M936" s="8" t="str">
        <f t="shared" si="121"/>
        <v xml:space="preserve"> 1</v>
      </c>
      <c r="N936" s="4" t="s">
        <v>3010</v>
      </c>
      <c r="O936" s="15" t="s">
        <v>3011</v>
      </c>
    </row>
    <row r="937" spans="2:24" ht="15" customHeight="1" x14ac:dyDescent="0.25">
      <c r="B937" s="3" t="s">
        <v>1991</v>
      </c>
      <c r="C937" s="1" t="s">
        <v>2787</v>
      </c>
      <c r="D937" s="2" t="s">
        <v>1372</v>
      </c>
      <c r="E937" s="1" t="s">
        <v>1043</v>
      </c>
      <c r="F937" s="2" t="s">
        <v>1044</v>
      </c>
      <c r="G937" s="1" t="s">
        <v>2788</v>
      </c>
      <c r="H937" s="1" t="s">
        <v>1046</v>
      </c>
      <c r="I937" s="13" t="str">
        <f t="shared" si="117"/>
        <v>2W</v>
      </c>
      <c r="J937" t="str">
        <f t="shared" si="118"/>
        <v>2116½</v>
      </c>
      <c r="K937" t="str">
        <f t="shared" si="119"/>
        <v>2118½</v>
      </c>
      <c r="L937" t="str">
        <f t="shared" si="120"/>
        <v>Plat 8</v>
      </c>
      <c r="M937" s="8" t="str">
        <f t="shared" si="121"/>
        <v xml:space="preserve"> 8</v>
      </c>
      <c r="N937" s="4" t="s">
        <v>3012</v>
      </c>
      <c r="O937" s="4" t="s">
        <v>3013</v>
      </c>
      <c r="P937" s="4" t="s">
        <v>1181</v>
      </c>
      <c r="Q937" s="4" t="s">
        <v>3014</v>
      </c>
      <c r="R937" s="4" t="s">
        <v>3015</v>
      </c>
      <c r="S937" s="4" t="s">
        <v>3016</v>
      </c>
      <c r="T937" s="4" t="s">
        <v>3004</v>
      </c>
      <c r="U937" s="4" t="s">
        <v>1161</v>
      </c>
      <c r="V937" s="4" t="s">
        <v>3017</v>
      </c>
      <c r="W937" s="4" t="s">
        <v>3018</v>
      </c>
      <c r="X937" s="4" t="s">
        <v>1044</v>
      </c>
    </row>
    <row r="938" spans="2:24" ht="15" customHeight="1" x14ac:dyDescent="0.25">
      <c r="B938" s="3" t="s">
        <v>1962</v>
      </c>
      <c r="C938" s="1" t="s">
        <v>874</v>
      </c>
      <c r="D938" s="2" t="s">
        <v>1044</v>
      </c>
      <c r="E938" s="1" t="s">
        <v>1054</v>
      </c>
      <c r="F938" s="2" t="s">
        <v>1372</v>
      </c>
      <c r="G938" s="1" t="s">
        <v>877</v>
      </c>
      <c r="H938" s="1" t="s">
        <v>1046</v>
      </c>
      <c r="I938" s="13" t="str">
        <f t="shared" si="117"/>
        <v>2W</v>
      </c>
      <c r="J938" t="str">
        <f t="shared" si="118"/>
        <v xml:space="preserve">2117 </v>
      </c>
      <c r="K938" t="str">
        <f t="shared" si="119"/>
        <v xml:space="preserve">2119 </v>
      </c>
      <c r="L938" t="str">
        <f t="shared" si="120"/>
        <v>Plat 5</v>
      </c>
      <c r="M938" s="8" t="str">
        <f t="shared" si="121"/>
        <v xml:space="preserve"> 5</v>
      </c>
      <c r="N938" s="4" t="s">
        <v>1372</v>
      </c>
      <c r="O938"/>
    </row>
    <row r="939" spans="2:24" ht="15" customHeight="1" x14ac:dyDescent="0.25">
      <c r="B939" s="3" t="s">
        <v>1625</v>
      </c>
      <c r="C939" s="1" t="s">
        <v>877</v>
      </c>
      <c r="D939" s="2" t="s">
        <v>1058</v>
      </c>
      <c r="E939" s="1" t="s">
        <v>1047</v>
      </c>
      <c r="F939" s="2" t="s">
        <v>1372</v>
      </c>
      <c r="G939" s="1" t="s">
        <v>2789</v>
      </c>
      <c r="H939" s="1" t="s">
        <v>1046</v>
      </c>
      <c r="I939" s="13" t="str">
        <f t="shared" si="117"/>
        <v>1K</v>
      </c>
      <c r="J939" t="str">
        <f t="shared" si="118"/>
        <v xml:space="preserve">2119 </v>
      </c>
      <c r="K939" t="str">
        <f t="shared" si="119"/>
        <v>2119½</v>
      </c>
      <c r="L939" t="str">
        <f t="shared" si="120"/>
        <v>Plat 9</v>
      </c>
      <c r="M939" s="8" t="str">
        <f t="shared" si="121"/>
        <v xml:space="preserve"> 9</v>
      </c>
      <c r="N939" s="4" t="s">
        <v>1372</v>
      </c>
      <c r="O939"/>
    </row>
    <row r="940" spans="2:24" ht="15" customHeight="1" x14ac:dyDescent="0.25">
      <c r="B940" s="3" t="s">
        <v>2790</v>
      </c>
      <c r="C940" s="1" t="s">
        <v>2791</v>
      </c>
      <c r="D940" s="2" t="s">
        <v>1372</v>
      </c>
      <c r="E940" s="1" t="s">
        <v>1156</v>
      </c>
      <c r="F940" s="2" t="s">
        <v>1058</v>
      </c>
      <c r="G940" s="1" t="s">
        <v>2792</v>
      </c>
      <c r="H940" s="1" t="s">
        <v>1046</v>
      </c>
      <c r="I940" s="13" t="str">
        <f t="shared" si="117"/>
        <v>1K</v>
      </c>
      <c r="J940" t="str">
        <f t="shared" si="118"/>
        <v>2119½</v>
      </c>
      <c r="K940" t="str">
        <f t="shared" si="119"/>
        <v xml:space="preserve">2120 </v>
      </c>
      <c r="L940" t="str">
        <f t="shared" si="120"/>
        <v>Plat10</v>
      </c>
      <c r="M940" s="8" t="str">
        <f t="shared" si="121"/>
        <v>10</v>
      </c>
      <c r="N940" s="4" t="s">
        <v>1044</v>
      </c>
      <c r="O940" s="4" t="s">
        <v>3019</v>
      </c>
      <c r="P940" s="4" t="s">
        <v>3020</v>
      </c>
      <c r="Q940" s="4" t="s">
        <v>3021</v>
      </c>
      <c r="R940" s="4" t="s">
        <v>3022</v>
      </c>
      <c r="S940" s="4" t="s">
        <v>3023</v>
      </c>
      <c r="T940" s="4" t="s">
        <v>3024</v>
      </c>
      <c r="U940" s="4" t="s">
        <v>3025</v>
      </c>
      <c r="V940" s="4" t="s">
        <v>1058</v>
      </c>
    </row>
    <row r="941" spans="2:24" ht="15" customHeight="1" x14ac:dyDescent="0.25">
      <c r="B941" s="3" t="s">
        <v>2793</v>
      </c>
      <c r="C941" s="1" t="s">
        <v>2794</v>
      </c>
      <c r="D941" s="2" t="s">
        <v>1039</v>
      </c>
      <c r="E941" s="1" t="s">
        <v>1050</v>
      </c>
      <c r="F941" s="1" t="s">
        <v>1051</v>
      </c>
      <c r="G941" s="1"/>
      <c r="H941" s="1" t="s">
        <v>1040</v>
      </c>
      <c r="I941" s="13" t="str">
        <f t="shared" si="117"/>
        <v>2L</v>
      </c>
      <c r="J941" t="str">
        <f t="shared" si="118"/>
        <v xml:space="preserve">2121 </v>
      </c>
      <c r="K941" t="str">
        <f t="shared" si="119"/>
        <v/>
      </c>
      <c r="L941" t="str">
        <f t="shared" si="120"/>
        <v>Plat 1</v>
      </c>
      <c r="M941" s="8" t="str">
        <f t="shared" si="121"/>
        <v xml:space="preserve"> 1</v>
      </c>
      <c r="O941"/>
    </row>
    <row r="942" spans="2:24" ht="15" customHeight="1" x14ac:dyDescent="0.25">
      <c r="B942" s="3" t="s">
        <v>2795</v>
      </c>
      <c r="C942" s="1" t="s">
        <v>2796</v>
      </c>
      <c r="D942" s="2" t="s">
        <v>1185</v>
      </c>
      <c r="E942" s="1" t="s">
        <v>1047</v>
      </c>
      <c r="F942" s="2" t="s">
        <v>1372</v>
      </c>
      <c r="G942" s="1" t="s">
        <v>2797</v>
      </c>
      <c r="H942" s="1" t="s">
        <v>1046</v>
      </c>
      <c r="I942" s="13" t="str">
        <f t="shared" si="117"/>
        <v>1N</v>
      </c>
      <c r="J942" t="str">
        <f t="shared" si="118"/>
        <v xml:space="preserve">2122 </v>
      </c>
      <c r="K942" t="str">
        <f t="shared" si="119"/>
        <v>2122½</v>
      </c>
      <c r="L942" t="str">
        <f t="shared" si="120"/>
        <v>Plat 9</v>
      </c>
      <c r="M942" s="8" t="str">
        <f t="shared" si="121"/>
        <v xml:space="preserve"> 9</v>
      </c>
      <c r="N942" s="4" t="s">
        <v>1372</v>
      </c>
      <c r="O942"/>
    </row>
    <row r="943" spans="2:24" ht="15" customHeight="1" x14ac:dyDescent="0.25">
      <c r="B943" s="3" t="s">
        <v>1549</v>
      </c>
      <c r="C943" s="1"/>
      <c r="D943" s="1" t="s">
        <v>1037</v>
      </c>
      <c r="E943" s="1" t="s">
        <v>1061</v>
      </c>
      <c r="F943" s="2" t="s">
        <v>1074</v>
      </c>
      <c r="G943" s="1" t="s">
        <v>2798</v>
      </c>
      <c r="H943" s="1" t="s">
        <v>1040</v>
      </c>
      <c r="I943" s="13" t="str">
        <f t="shared" si="117"/>
        <v>2N</v>
      </c>
      <c r="J943" t="str">
        <f t="shared" si="118"/>
        <v/>
      </c>
      <c r="K943" t="str">
        <f t="shared" si="119"/>
        <v xml:space="preserve">2125 </v>
      </c>
      <c r="L943" t="str">
        <f t="shared" si="120"/>
        <v>Plat 2</v>
      </c>
      <c r="M943" s="8" t="str">
        <f t="shared" si="121"/>
        <v xml:space="preserve"> 2</v>
      </c>
      <c r="N943" s="4" t="s">
        <v>3010</v>
      </c>
      <c r="O943" s="15" t="s">
        <v>3011</v>
      </c>
    </row>
    <row r="944" spans="2:24" ht="15" customHeight="1" x14ac:dyDescent="0.25">
      <c r="B944" s="3" t="s">
        <v>2799</v>
      </c>
      <c r="C944" s="1" t="s">
        <v>2800</v>
      </c>
      <c r="D944" s="2" t="s">
        <v>1372</v>
      </c>
      <c r="E944" s="1" t="s">
        <v>1156</v>
      </c>
      <c r="F944" s="2" t="s">
        <v>1185</v>
      </c>
      <c r="G944" s="1" t="s">
        <v>2798</v>
      </c>
      <c r="H944" s="1" t="s">
        <v>1046</v>
      </c>
      <c r="I944" s="13" t="str">
        <f t="shared" si="117"/>
        <v>1N</v>
      </c>
      <c r="J944" t="str">
        <f t="shared" si="118"/>
        <v>2124½</v>
      </c>
      <c r="K944" t="str">
        <f t="shared" si="119"/>
        <v xml:space="preserve">2125 </v>
      </c>
      <c r="L944" t="str">
        <f t="shared" si="120"/>
        <v>Plat10</v>
      </c>
      <c r="M944" s="8" t="str">
        <f t="shared" si="121"/>
        <v>10</v>
      </c>
      <c r="N944" t="s">
        <v>1044</v>
      </c>
      <c r="O944" t="s">
        <v>2999</v>
      </c>
      <c r="P944" t="s">
        <v>1473</v>
      </c>
      <c r="Q944" t="s">
        <v>3001</v>
      </c>
      <c r="R944" t="s">
        <v>3003</v>
      </c>
      <c r="S944" t="s">
        <v>1091</v>
      </c>
      <c r="T944" t="s">
        <v>3031</v>
      </c>
      <c r="U944" t="s">
        <v>3046</v>
      </c>
      <c r="V944" t="s">
        <v>3047</v>
      </c>
    </row>
    <row r="945" spans="2:24" ht="15" customHeight="1" x14ac:dyDescent="0.25">
      <c r="B945" s="3" t="s">
        <v>2009</v>
      </c>
      <c r="C945" s="1" t="s">
        <v>2801</v>
      </c>
      <c r="D945" s="2" t="s">
        <v>1372</v>
      </c>
      <c r="E945" s="1" t="s">
        <v>1043</v>
      </c>
      <c r="F945" s="2" t="s">
        <v>1044</v>
      </c>
      <c r="G945" s="1" t="s">
        <v>2802</v>
      </c>
      <c r="H945" s="1" t="s">
        <v>1046</v>
      </c>
      <c r="I945" s="13" t="str">
        <f t="shared" si="117"/>
        <v>2W</v>
      </c>
      <c r="J945" t="str">
        <f t="shared" si="118"/>
        <v>2126½</v>
      </c>
      <c r="K945" t="str">
        <f t="shared" si="119"/>
        <v>2128½</v>
      </c>
      <c r="L945" t="str">
        <f t="shared" si="120"/>
        <v>Plat 8</v>
      </c>
      <c r="M945" s="8" t="str">
        <f t="shared" si="121"/>
        <v xml:space="preserve"> 8</v>
      </c>
      <c r="N945" s="4" t="s">
        <v>3012</v>
      </c>
      <c r="O945" s="4" t="s">
        <v>3013</v>
      </c>
      <c r="P945" s="4" t="s">
        <v>1181</v>
      </c>
      <c r="Q945" s="4" t="s">
        <v>3014</v>
      </c>
      <c r="R945" s="4" t="s">
        <v>3015</v>
      </c>
      <c r="S945" s="4" t="s">
        <v>3016</v>
      </c>
      <c r="T945" s="4" t="s">
        <v>3004</v>
      </c>
      <c r="U945" s="4" t="s">
        <v>1161</v>
      </c>
      <c r="V945" s="4" t="s">
        <v>3017</v>
      </c>
      <c r="W945" s="4" t="s">
        <v>3018</v>
      </c>
      <c r="X945" s="4" t="s">
        <v>1044</v>
      </c>
    </row>
    <row r="946" spans="2:24" ht="15" customHeight="1" x14ac:dyDescent="0.25">
      <c r="B946" s="3" t="s">
        <v>1984</v>
      </c>
      <c r="C946" s="1" t="s">
        <v>2803</v>
      </c>
      <c r="D946" s="2" t="s">
        <v>1044</v>
      </c>
      <c r="E946" s="1" t="s">
        <v>1054</v>
      </c>
      <c r="F946" s="2" t="s">
        <v>1372</v>
      </c>
      <c r="G946" s="1" t="s">
        <v>2804</v>
      </c>
      <c r="H946" s="1" t="s">
        <v>1046</v>
      </c>
      <c r="I946" s="13" t="str">
        <f t="shared" si="117"/>
        <v>2W</v>
      </c>
      <c r="J946" t="str">
        <f t="shared" si="118"/>
        <v xml:space="preserve">2127 </v>
      </c>
      <c r="K946" t="str">
        <f t="shared" si="119"/>
        <v xml:space="preserve">2129 </v>
      </c>
      <c r="L946" t="str">
        <f t="shared" si="120"/>
        <v>Plat 5</v>
      </c>
      <c r="M946" s="8" t="str">
        <f t="shared" si="121"/>
        <v xml:space="preserve"> 5</v>
      </c>
      <c r="N946" s="4" t="s">
        <v>1372</v>
      </c>
      <c r="O946"/>
    </row>
    <row r="947" spans="2:24" ht="15" customHeight="1" x14ac:dyDescent="0.25">
      <c r="B947" s="3" t="s">
        <v>1568</v>
      </c>
      <c r="C947" s="1" t="s">
        <v>2805</v>
      </c>
      <c r="D947" s="2" t="s">
        <v>1074</v>
      </c>
      <c r="E947" s="1" t="s">
        <v>1075</v>
      </c>
      <c r="F947" s="1" t="s">
        <v>1051</v>
      </c>
      <c r="G947" s="1"/>
      <c r="H947" s="1" t="s">
        <v>1040</v>
      </c>
      <c r="I947" s="13" t="str">
        <f t="shared" si="117"/>
        <v>2N</v>
      </c>
      <c r="J947" t="str">
        <f t="shared" si="118"/>
        <v xml:space="preserve">2129 </v>
      </c>
      <c r="K947" t="str">
        <f t="shared" si="119"/>
        <v/>
      </c>
      <c r="L947" t="str">
        <f t="shared" si="120"/>
        <v>Plat 2</v>
      </c>
      <c r="M947" s="8" t="str">
        <f t="shared" si="121"/>
        <v xml:space="preserve"> 2</v>
      </c>
      <c r="O947"/>
    </row>
    <row r="948" spans="2:24" ht="15" customHeight="1" x14ac:dyDescent="0.25">
      <c r="B948" s="3" t="s">
        <v>2806</v>
      </c>
      <c r="C948" s="1"/>
      <c r="D948" s="1" t="s">
        <v>1037</v>
      </c>
      <c r="E948" s="1" t="s">
        <v>2148</v>
      </c>
      <c r="F948" s="2" t="s">
        <v>1254</v>
      </c>
      <c r="G948" s="1" t="s">
        <v>884</v>
      </c>
      <c r="H948" s="1" t="s">
        <v>1046</v>
      </c>
      <c r="I948" s="13" t="str">
        <f t="shared" si="117"/>
        <v>2S</v>
      </c>
      <c r="J948" t="str">
        <f t="shared" si="118"/>
        <v/>
      </c>
      <c r="K948" t="str">
        <f t="shared" si="119"/>
        <v xml:space="preserve">2130 </v>
      </c>
      <c r="L948" t="str">
        <f t="shared" si="120"/>
        <v>Plat11</v>
      </c>
      <c r="M948" s="8" t="str">
        <f t="shared" si="121"/>
        <v>11</v>
      </c>
      <c r="N948" t="s">
        <v>2975</v>
      </c>
      <c r="O948" t="s">
        <v>3042</v>
      </c>
      <c r="P948" t="s">
        <v>2978</v>
      </c>
      <c r="Q948" t="s">
        <v>1298</v>
      </c>
      <c r="R948" t="s">
        <v>2980</v>
      </c>
      <c r="S948" t="s">
        <v>2982</v>
      </c>
      <c r="T948" t="s">
        <v>1254</v>
      </c>
    </row>
    <row r="949" spans="2:24" ht="15" customHeight="1" x14ac:dyDescent="0.25">
      <c r="B949" s="3" t="s">
        <v>2807</v>
      </c>
      <c r="C949" s="1"/>
      <c r="D949" s="1" t="s">
        <v>1037</v>
      </c>
      <c r="E949" s="1" t="s">
        <v>1038</v>
      </c>
      <c r="F949" s="2" t="s">
        <v>1039</v>
      </c>
      <c r="G949" s="1" t="s">
        <v>884</v>
      </c>
      <c r="H949" s="1" t="s">
        <v>1040</v>
      </c>
      <c r="I949" s="13" t="str">
        <f t="shared" si="117"/>
        <v>2Y</v>
      </c>
      <c r="J949" t="str">
        <f t="shared" si="118"/>
        <v/>
      </c>
      <c r="K949" t="str">
        <f t="shared" si="119"/>
        <v xml:space="preserve">2130 </v>
      </c>
      <c r="L949" t="str">
        <f t="shared" si="120"/>
        <v>Plat 1</v>
      </c>
      <c r="M949" s="8" t="str">
        <f t="shared" si="121"/>
        <v xml:space="preserve"> 1</v>
      </c>
      <c r="N949" s="4" t="s">
        <v>3010</v>
      </c>
      <c r="O949" s="15" t="s">
        <v>3011</v>
      </c>
    </row>
    <row r="950" spans="2:24" ht="15" customHeight="1" x14ac:dyDescent="0.25">
      <c r="B950" s="3" t="s">
        <v>2808</v>
      </c>
      <c r="C950" s="1" t="s">
        <v>2809</v>
      </c>
      <c r="D950" s="2" t="s">
        <v>1039</v>
      </c>
      <c r="E950" s="1" t="s">
        <v>1050</v>
      </c>
      <c r="F950" s="1" t="s">
        <v>1051</v>
      </c>
      <c r="G950" s="1"/>
      <c r="H950" s="1" t="s">
        <v>1040</v>
      </c>
      <c r="I950" s="13" t="str">
        <f t="shared" si="117"/>
        <v>2L</v>
      </c>
      <c r="J950" t="str">
        <f t="shared" si="118"/>
        <v xml:space="preserve">2134 </v>
      </c>
      <c r="K950" t="str">
        <f t="shared" si="119"/>
        <v/>
      </c>
      <c r="L950" t="str">
        <f t="shared" si="120"/>
        <v>Plat 1</v>
      </c>
      <c r="M950" s="8" t="str">
        <f t="shared" si="121"/>
        <v xml:space="preserve"> 1</v>
      </c>
      <c r="O950"/>
    </row>
    <row r="951" spans="2:24" ht="15" customHeight="1" x14ac:dyDescent="0.25">
      <c r="B951" s="3" t="s">
        <v>1593</v>
      </c>
      <c r="C951" s="1"/>
      <c r="D951" s="1" t="s">
        <v>1037</v>
      </c>
      <c r="E951" s="1" t="s">
        <v>1061</v>
      </c>
      <c r="F951" s="2" t="s">
        <v>1074</v>
      </c>
      <c r="G951" s="1" t="s">
        <v>890</v>
      </c>
      <c r="H951" s="1" t="s">
        <v>1040</v>
      </c>
      <c r="I951" s="13" t="str">
        <f t="shared" si="117"/>
        <v>2N</v>
      </c>
      <c r="J951" t="str">
        <f t="shared" si="118"/>
        <v/>
      </c>
      <c r="K951" t="str">
        <f t="shared" si="119"/>
        <v xml:space="preserve">2137 </v>
      </c>
      <c r="L951" t="str">
        <f t="shared" si="120"/>
        <v>Plat 2</v>
      </c>
      <c r="M951" s="8" t="str">
        <f t="shared" si="121"/>
        <v xml:space="preserve"> 2</v>
      </c>
      <c r="N951" s="4" t="s">
        <v>3010</v>
      </c>
      <c r="O951" s="15" t="s">
        <v>3011</v>
      </c>
    </row>
    <row r="952" spans="2:24" ht="15" customHeight="1" x14ac:dyDescent="0.25">
      <c r="B952" s="3" t="s">
        <v>2030</v>
      </c>
      <c r="C952" s="1" t="s">
        <v>2810</v>
      </c>
      <c r="D952" s="2" t="s">
        <v>1372</v>
      </c>
      <c r="E952" s="1" t="s">
        <v>1043</v>
      </c>
      <c r="F952" s="2" t="s">
        <v>1044</v>
      </c>
      <c r="G952" s="1" t="s">
        <v>2811</v>
      </c>
      <c r="H952" s="1" t="s">
        <v>1046</v>
      </c>
      <c r="I952" s="13" t="str">
        <f t="shared" si="117"/>
        <v>2W</v>
      </c>
      <c r="J952" t="str">
        <f t="shared" si="118"/>
        <v>2136½</v>
      </c>
      <c r="K952" t="str">
        <f t="shared" si="119"/>
        <v>2138½</v>
      </c>
      <c r="L952" t="str">
        <f t="shared" si="120"/>
        <v>Plat 8</v>
      </c>
      <c r="M952" s="8" t="str">
        <f t="shared" si="121"/>
        <v xml:space="preserve"> 8</v>
      </c>
      <c r="N952" s="4" t="s">
        <v>3012</v>
      </c>
      <c r="O952" s="4" t="s">
        <v>3013</v>
      </c>
      <c r="P952" s="4" t="s">
        <v>1181</v>
      </c>
      <c r="Q952" s="4" t="s">
        <v>3014</v>
      </c>
      <c r="R952" s="4" t="s">
        <v>3015</v>
      </c>
      <c r="S952" s="4" t="s">
        <v>3016</v>
      </c>
      <c r="T952" s="4" t="s">
        <v>3004</v>
      </c>
      <c r="U952" s="4" t="s">
        <v>1161</v>
      </c>
      <c r="V952" s="4" t="s">
        <v>3017</v>
      </c>
      <c r="W952" s="4" t="s">
        <v>3018</v>
      </c>
      <c r="X952" s="4" t="s">
        <v>1044</v>
      </c>
    </row>
    <row r="953" spans="2:24" ht="15" customHeight="1" x14ac:dyDescent="0.25">
      <c r="B953" s="3" t="s">
        <v>2812</v>
      </c>
      <c r="C953" s="1" t="s">
        <v>2813</v>
      </c>
      <c r="D953" s="2" t="s">
        <v>1372</v>
      </c>
      <c r="E953" s="1" t="s">
        <v>1156</v>
      </c>
      <c r="F953" s="2" t="s">
        <v>1066</v>
      </c>
      <c r="G953" s="1" t="s">
        <v>2811</v>
      </c>
      <c r="H953" s="1" t="s">
        <v>1046</v>
      </c>
      <c r="I953" s="13" t="str">
        <f t="shared" si="117"/>
        <v>1P</v>
      </c>
      <c r="J953" t="str">
        <f t="shared" si="118"/>
        <v>2137½</v>
      </c>
      <c r="K953" t="str">
        <f t="shared" si="119"/>
        <v>2138½</v>
      </c>
      <c r="L953" t="str">
        <f t="shared" si="120"/>
        <v>Plat10</v>
      </c>
      <c r="M953" s="8" t="str">
        <f t="shared" si="121"/>
        <v>10</v>
      </c>
      <c r="N953" t="s">
        <v>1473</v>
      </c>
      <c r="O953" t="s">
        <v>1091</v>
      </c>
      <c r="P953" t="s">
        <v>3006</v>
      </c>
      <c r="Q953" t="s">
        <v>1242</v>
      </c>
      <c r="R953" t="s">
        <v>1501</v>
      </c>
      <c r="S953" t="s">
        <v>3052</v>
      </c>
      <c r="T953" t="s">
        <v>1066</v>
      </c>
    </row>
    <row r="954" spans="2:24" ht="15" customHeight="1" x14ac:dyDescent="0.25">
      <c r="B954" s="3" t="s">
        <v>1994</v>
      </c>
      <c r="C954" s="1" t="s">
        <v>890</v>
      </c>
      <c r="D954" s="2" t="s">
        <v>1044</v>
      </c>
      <c r="E954" s="1" t="s">
        <v>1054</v>
      </c>
      <c r="F954" s="2" t="s">
        <v>1372</v>
      </c>
      <c r="G954" s="1" t="s">
        <v>2814</v>
      </c>
      <c r="H954" s="1" t="s">
        <v>1046</v>
      </c>
      <c r="I954" s="13" t="str">
        <f t="shared" si="117"/>
        <v>2W</v>
      </c>
      <c r="J954" t="str">
        <f t="shared" si="118"/>
        <v xml:space="preserve">2137 </v>
      </c>
      <c r="K954" t="str">
        <f t="shared" si="119"/>
        <v xml:space="preserve">2139 </v>
      </c>
      <c r="L954" t="str">
        <f t="shared" si="120"/>
        <v>Plat 5</v>
      </c>
      <c r="M954" s="8" t="str">
        <f t="shared" si="121"/>
        <v xml:space="preserve"> 5</v>
      </c>
      <c r="N954" s="4" t="s">
        <v>1372</v>
      </c>
      <c r="O954"/>
    </row>
    <row r="955" spans="2:24" ht="15" customHeight="1" x14ac:dyDescent="0.25">
      <c r="B955" s="3" t="s">
        <v>1675</v>
      </c>
      <c r="C955" s="1" t="s">
        <v>2814</v>
      </c>
      <c r="D955" s="2" t="s">
        <v>1058</v>
      </c>
      <c r="E955" s="1" t="s">
        <v>1047</v>
      </c>
      <c r="F955" s="2" t="s">
        <v>1372</v>
      </c>
      <c r="G955" s="1" t="s">
        <v>2815</v>
      </c>
      <c r="H955" s="1" t="s">
        <v>1046</v>
      </c>
      <c r="I955" s="13" t="str">
        <f t="shared" si="117"/>
        <v>1K</v>
      </c>
      <c r="J955" t="str">
        <f t="shared" si="118"/>
        <v xml:space="preserve">2139 </v>
      </c>
      <c r="K955" t="str">
        <f t="shared" si="119"/>
        <v>2139½</v>
      </c>
      <c r="L955" t="str">
        <f t="shared" si="120"/>
        <v>Plat 9</v>
      </c>
      <c r="M955" s="8" t="str">
        <f t="shared" si="121"/>
        <v xml:space="preserve"> 9</v>
      </c>
      <c r="N955" s="4" t="s">
        <v>1372</v>
      </c>
      <c r="O955"/>
    </row>
    <row r="956" spans="2:24" ht="15" customHeight="1" x14ac:dyDescent="0.25">
      <c r="B956" s="3" t="s">
        <v>1392</v>
      </c>
      <c r="C956" s="1" t="s">
        <v>2816</v>
      </c>
      <c r="D956" s="2" t="s">
        <v>1372</v>
      </c>
      <c r="E956" s="1" t="s">
        <v>1156</v>
      </c>
      <c r="F956" s="2" t="s">
        <v>1058</v>
      </c>
      <c r="G956" s="1" t="s">
        <v>893</v>
      </c>
      <c r="H956" s="1" t="s">
        <v>1046</v>
      </c>
      <c r="I956" s="13" t="str">
        <f t="shared" si="117"/>
        <v>1K</v>
      </c>
      <c r="J956" t="str">
        <f t="shared" si="118"/>
        <v>2141½</v>
      </c>
      <c r="K956" t="str">
        <f t="shared" si="119"/>
        <v xml:space="preserve">2142 </v>
      </c>
      <c r="L956" t="str">
        <f t="shared" si="120"/>
        <v>Plat10</v>
      </c>
      <c r="M956" s="8" t="str">
        <f t="shared" si="121"/>
        <v>10</v>
      </c>
      <c r="N956" s="4" t="s">
        <v>1044</v>
      </c>
      <c r="O956" s="4" t="s">
        <v>3019</v>
      </c>
      <c r="P956" s="4" t="s">
        <v>3020</v>
      </c>
      <c r="Q956" s="4" t="s">
        <v>3021</v>
      </c>
      <c r="R956" s="4" t="s">
        <v>3022</v>
      </c>
      <c r="S956" s="4" t="s">
        <v>3023</v>
      </c>
      <c r="T956" s="4" t="s">
        <v>3024</v>
      </c>
      <c r="U956" s="4" t="s">
        <v>3025</v>
      </c>
      <c r="V956" s="4" t="s">
        <v>1058</v>
      </c>
    </row>
    <row r="957" spans="2:24" ht="15" customHeight="1" x14ac:dyDescent="0.25">
      <c r="B957" s="3" t="s">
        <v>2817</v>
      </c>
      <c r="C957" s="1" t="s">
        <v>893</v>
      </c>
      <c r="D957" s="2" t="s">
        <v>1304</v>
      </c>
      <c r="E957" s="1" t="s">
        <v>1047</v>
      </c>
      <c r="F957" s="2" t="s">
        <v>1372</v>
      </c>
      <c r="G957" s="1" t="s">
        <v>2818</v>
      </c>
      <c r="H957" s="1" t="s">
        <v>1046</v>
      </c>
      <c r="I957" s="13" t="str">
        <f t="shared" si="117"/>
        <v>1F</v>
      </c>
      <c r="J957" t="str">
        <f t="shared" si="118"/>
        <v xml:space="preserve">2142 </v>
      </c>
      <c r="K957" t="str">
        <f t="shared" si="119"/>
        <v>2142½</v>
      </c>
      <c r="L957" t="str">
        <f t="shared" si="120"/>
        <v>Plat 9</v>
      </c>
      <c r="M957" s="8" t="str">
        <f t="shared" si="121"/>
        <v xml:space="preserve"> 9</v>
      </c>
      <c r="N957" s="4" t="s">
        <v>1372</v>
      </c>
      <c r="O957"/>
    </row>
    <row r="958" spans="2:24" ht="15" customHeight="1" x14ac:dyDescent="0.25">
      <c r="B958" s="3" t="s">
        <v>1610</v>
      </c>
      <c r="C958" s="1" t="s">
        <v>2819</v>
      </c>
      <c r="D958" s="2" t="s">
        <v>1074</v>
      </c>
      <c r="E958" s="1" t="s">
        <v>1075</v>
      </c>
      <c r="F958" s="1" t="s">
        <v>1051</v>
      </c>
      <c r="G958" s="1"/>
      <c r="H958" s="1" t="s">
        <v>1040</v>
      </c>
      <c r="I958" s="13" t="str">
        <f t="shared" si="117"/>
        <v>2N</v>
      </c>
      <c r="J958" t="str">
        <f t="shared" si="118"/>
        <v xml:space="preserve">2144 </v>
      </c>
      <c r="K958" t="str">
        <f t="shared" si="119"/>
        <v/>
      </c>
      <c r="L958" t="str">
        <f t="shared" si="120"/>
        <v>Plat 2</v>
      </c>
      <c r="M958" s="8" t="str">
        <f t="shared" si="121"/>
        <v xml:space="preserve"> 2</v>
      </c>
      <c r="O958"/>
    </row>
    <row r="959" spans="2:24" ht="15" customHeight="1" x14ac:dyDescent="0.25">
      <c r="B959" s="3" t="s">
        <v>2820</v>
      </c>
      <c r="C959" s="1"/>
      <c r="D959" s="1" t="s">
        <v>1037</v>
      </c>
      <c r="E959" s="1" t="s">
        <v>1038</v>
      </c>
      <c r="F959" s="2" t="s">
        <v>1039</v>
      </c>
      <c r="G959" s="1" t="s">
        <v>898</v>
      </c>
      <c r="H959" s="1" t="s">
        <v>1040</v>
      </c>
      <c r="I959" s="13" t="str">
        <f t="shared" si="117"/>
        <v>2Y</v>
      </c>
      <c r="J959" t="str">
        <f t="shared" si="118"/>
        <v/>
      </c>
      <c r="K959" t="str">
        <f t="shared" si="119"/>
        <v xml:space="preserve">2145 </v>
      </c>
      <c r="L959" t="str">
        <f t="shared" si="120"/>
        <v>Plat 1</v>
      </c>
      <c r="M959" s="8" t="str">
        <f t="shared" si="121"/>
        <v xml:space="preserve"> 1</v>
      </c>
      <c r="N959" s="4" t="s">
        <v>3010</v>
      </c>
      <c r="O959" s="15" t="s">
        <v>3011</v>
      </c>
    </row>
    <row r="960" spans="2:24" ht="15" customHeight="1" x14ac:dyDescent="0.25">
      <c r="B960" s="3" t="s">
        <v>17</v>
      </c>
      <c r="C960" s="1" t="s">
        <v>895</v>
      </c>
      <c r="D960" s="2" t="s">
        <v>1372</v>
      </c>
      <c r="E960" s="1" t="s">
        <v>1156</v>
      </c>
      <c r="F960" s="2" t="s">
        <v>1304</v>
      </c>
      <c r="G960" s="1" t="s">
        <v>898</v>
      </c>
      <c r="H960" s="1" t="s">
        <v>1046</v>
      </c>
      <c r="I960" s="13" t="str">
        <f t="shared" si="117"/>
        <v>1F</v>
      </c>
      <c r="J960" t="str">
        <f t="shared" si="118"/>
        <v>2144½</v>
      </c>
      <c r="K960" t="str">
        <f t="shared" si="119"/>
        <v xml:space="preserve">2145 </v>
      </c>
      <c r="L960" t="str">
        <f t="shared" si="120"/>
        <v>Plat10</v>
      </c>
      <c r="M960" s="8" t="str">
        <f t="shared" si="121"/>
        <v>10</v>
      </c>
      <c r="N960" s="4" t="s">
        <v>1044</v>
      </c>
      <c r="O960" s="4" t="s">
        <v>2999</v>
      </c>
      <c r="P960" s="4" t="s">
        <v>1473</v>
      </c>
      <c r="Q960" s="4" t="s">
        <v>3000</v>
      </c>
      <c r="R960" s="4" t="s">
        <v>3001</v>
      </c>
      <c r="S960" s="4" t="s">
        <v>3002</v>
      </c>
      <c r="T960" s="4" t="s">
        <v>3003</v>
      </c>
      <c r="U960" s="4" t="s">
        <v>1091</v>
      </c>
      <c r="V960" s="4" t="s">
        <v>1304</v>
      </c>
    </row>
    <row r="961" spans="2:29" ht="15" customHeight="1" x14ac:dyDescent="0.25">
      <c r="B961" s="3" t="s">
        <v>2821</v>
      </c>
      <c r="C961" s="1" t="s">
        <v>898</v>
      </c>
      <c r="D961" s="2" t="s">
        <v>1066</v>
      </c>
      <c r="E961" s="1" t="s">
        <v>1047</v>
      </c>
      <c r="F961" s="2" t="s">
        <v>1372</v>
      </c>
      <c r="G961" s="1" t="s">
        <v>2872</v>
      </c>
      <c r="H961" s="1" t="s">
        <v>1046</v>
      </c>
      <c r="I961" s="13" t="str">
        <f t="shared" si="117"/>
        <v>1P</v>
      </c>
      <c r="J961" t="str">
        <f t="shared" si="118"/>
        <v xml:space="preserve">2145 </v>
      </c>
      <c r="K961" t="str">
        <f t="shared" si="119"/>
        <v xml:space="preserve">2146 </v>
      </c>
      <c r="L961" t="str">
        <f t="shared" si="120"/>
        <v>Plat 9</v>
      </c>
      <c r="M961" s="8" t="str">
        <f t="shared" si="121"/>
        <v xml:space="preserve"> 9</v>
      </c>
      <c r="N961" s="4" t="s">
        <v>1372</v>
      </c>
      <c r="O961"/>
    </row>
    <row r="962" spans="2:29" ht="15" customHeight="1" x14ac:dyDescent="0.25">
      <c r="B962" s="3" t="s">
        <v>2043</v>
      </c>
      <c r="C962" s="1" t="s">
        <v>2822</v>
      </c>
      <c r="D962" s="2" t="s">
        <v>1372</v>
      </c>
      <c r="E962" s="1" t="s">
        <v>1043</v>
      </c>
      <c r="F962" s="2" t="s">
        <v>1044</v>
      </c>
      <c r="G962" s="1" t="s">
        <v>896</v>
      </c>
      <c r="H962" s="1" t="s">
        <v>1046</v>
      </c>
      <c r="I962" s="13" t="str">
        <f t="shared" si="117"/>
        <v>2W</v>
      </c>
      <c r="J962" t="str">
        <f t="shared" si="118"/>
        <v>2146½</v>
      </c>
      <c r="K962" t="str">
        <f t="shared" si="119"/>
        <v>2148½</v>
      </c>
      <c r="L962" t="str">
        <f t="shared" si="120"/>
        <v>Plat 8</v>
      </c>
      <c r="M962" s="8" t="str">
        <f t="shared" si="121"/>
        <v xml:space="preserve"> 8</v>
      </c>
      <c r="N962" s="4" t="s">
        <v>3012</v>
      </c>
      <c r="O962" s="4" t="s">
        <v>3013</v>
      </c>
      <c r="P962" s="4" t="s">
        <v>1181</v>
      </c>
      <c r="Q962" s="4" t="s">
        <v>3014</v>
      </c>
      <c r="R962" s="4" t="s">
        <v>3015</v>
      </c>
      <c r="S962" s="4" t="s">
        <v>3016</v>
      </c>
      <c r="T962" s="4" t="s">
        <v>3004</v>
      </c>
      <c r="U962" s="4" t="s">
        <v>1161</v>
      </c>
      <c r="V962" s="4" t="s">
        <v>3017</v>
      </c>
      <c r="W962" s="4" t="s">
        <v>3018</v>
      </c>
      <c r="X962" s="4" t="s">
        <v>1044</v>
      </c>
    </row>
    <row r="963" spans="2:29" ht="15" customHeight="1" x14ac:dyDescent="0.25">
      <c r="B963" s="3" t="s">
        <v>2014</v>
      </c>
      <c r="C963" s="1" t="s">
        <v>2823</v>
      </c>
      <c r="D963" s="2" t="s">
        <v>1044</v>
      </c>
      <c r="E963" s="1" t="s">
        <v>1054</v>
      </c>
      <c r="F963" s="2" t="s">
        <v>1372</v>
      </c>
      <c r="G963" s="1" t="s">
        <v>899</v>
      </c>
      <c r="H963" s="1" t="s">
        <v>1046</v>
      </c>
      <c r="I963" s="13" t="str">
        <f t="shared" si="117"/>
        <v>2W</v>
      </c>
      <c r="J963" t="str">
        <f t="shared" si="118"/>
        <v xml:space="preserve">2147 </v>
      </c>
      <c r="K963" t="str">
        <f t="shared" si="119"/>
        <v xml:space="preserve">2149 </v>
      </c>
      <c r="L963" t="str">
        <f t="shared" si="120"/>
        <v>Plat 5</v>
      </c>
      <c r="M963" s="8" t="str">
        <f t="shared" si="121"/>
        <v xml:space="preserve"> 5</v>
      </c>
      <c r="N963" s="4" t="s">
        <v>1372</v>
      </c>
      <c r="O963"/>
    </row>
    <row r="964" spans="2:29" ht="15" customHeight="1" x14ac:dyDescent="0.25">
      <c r="B964" s="3" t="s">
        <v>2824</v>
      </c>
      <c r="C964" s="1" t="s">
        <v>2825</v>
      </c>
      <c r="D964" s="2" t="s">
        <v>1039</v>
      </c>
      <c r="E964" s="1" t="s">
        <v>1050</v>
      </c>
      <c r="F964" s="1" t="s">
        <v>1051</v>
      </c>
      <c r="G964" s="1"/>
      <c r="H964" s="1" t="s">
        <v>1040</v>
      </c>
      <c r="I964" s="13" t="str">
        <f t="shared" si="117"/>
        <v>2L</v>
      </c>
      <c r="J964" t="str">
        <f t="shared" si="118"/>
        <v xml:space="preserve">2149 </v>
      </c>
      <c r="K964" t="str">
        <f t="shared" si="119"/>
        <v/>
      </c>
      <c r="L964" t="str">
        <f t="shared" si="120"/>
        <v>Plat 1</v>
      </c>
      <c r="M964" s="8" t="str">
        <f t="shared" si="121"/>
        <v xml:space="preserve"> 1</v>
      </c>
      <c r="O964"/>
    </row>
    <row r="965" spans="2:29" ht="15" customHeight="1" x14ac:dyDescent="0.25">
      <c r="B965" s="3" t="s">
        <v>1623</v>
      </c>
      <c r="C965" s="1"/>
      <c r="D965" s="1" t="s">
        <v>1037</v>
      </c>
      <c r="E965" s="1" t="s">
        <v>1061</v>
      </c>
      <c r="F965" s="2" t="s">
        <v>1074</v>
      </c>
      <c r="G965" s="1" t="s">
        <v>904</v>
      </c>
      <c r="H965" s="1" t="s">
        <v>1040</v>
      </c>
      <c r="I965" s="13" t="str">
        <f t="shared" si="117"/>
        <v>2N</v>
      </c>
      <c r="J965" t="str">
        <f t="shared" si="118"/>
        <v/>
      </c>
      <c r="K965" t="str">
        <f t="shared" si="119"/>
        <v xml:space="preserve">2152 </v>
      </c>
      <c r="L965" t="str">
        <f t="shared" si="120"/>
        <v>Plat 2</v>
      </c>
      <c r="M965" s="8" t="str">
        <f t="shared" si="121"/>
        <v xml:space="preserve"> 2</v>
      </c>
      <c r="N965" s="4" t="s">
        <v>3010</v>
      </c>
      <c r="O965" s="15" t="s">
        <v>3011</v>
      </c>
    </row>
    <row r="966" spans="2:29" ht="15" customHeight="1" x14ac:dyDescent="0.25">
      <c r="B966" s="3" t="s">
        <v>2826</v>
      </c>
      <c r="C966" s="1" t="s">
        <v>904</v>
      </c>
      <c r="D966" s="2" t="s">
        <v>1237</v>
      </c>
      <c r="E966" s="1" t="s">
        <v>1047</v>
      </c>
      <c r="F966" s="2" t="s">
        <v>1372</v>
      </c>
      <c r="G966" s="1" t="s">
        <v>2827</v>
      </c>
      <c r="H966" s="1" t="s">
        <v>1046</v>
      </c>
      <c r="I966" s="13" t="str">
        <f t="shared" si="117"/>
        <v>1F</v>
      </c>
      <c r="J966" t="str">
        <f t="shared" si="118"/>
        <v xml:space="preserve">2152 </v>
      </c>
      <c r="K966" t="str">
        <f t="shared" si="119"/>
        <v>2152½</v>
      </c>
      <c r="L966" t="str">
        <f t="shared" si="120"/>
        <v>Plat 9</v>
      </c>
      <c r="M966" s="8" t="str">
        <f t="shared" si="121"/>
        <v xml:space="preserve"> 9</v>
      </c>
      <c r="N966" s="4" t="s">
        <v>1372</v>
      </c>
      <c r="O966"/>
    </row>
    <row r="967" spans="2:29" ht="15" customHeight="1" x14ac:dyDescent="0.25">
      <c r="B967" s="3" t="s">
        <v>2828</v>
      </c>
      <c r="C967" s="1" t="s">
        <v>901</v>
      </c>
      <c r="D967" s="2" t="s">
        <v>1372</v>
      </c>
      <c r="E967" s="1" t="s">
        <v>2272</v>
      </c>
      <c r="F967" s="2" t="s">
        <v>1097</v>
      </c>
      <c r="G967" s="1" t="s">
        <v>902</v>
      </c>
      <c r="H967" s="1" t="s">
        <v>1046</v>
      </c>
      <c r="I967" s="13" t="str">
        <f t="shared" si="117"/>
        <v>2H</v>
      </c>
      <c r="J967" t="str">
        <f t="shared" si="118"/>
        <v xml:space="preserve">2151 </v>
      </c>
      <c r="K967" t="str">
        <f t="shared" si="119"/>
        <v xml:space="preserve">2155 </v>
      </c>
      <c r="L967" t="str">
        <f t="shared" si="120"/>
        <v>Plat12</v>
      </c>
      <c r="M967" s="8" t="str">
        <f t="shared" si="121"/>
        <v>12</v>
      </c>
      <c r="N967" t="s">
        <v>2975</v>
      </c>
      <c r="O967" t="s">
        <v>2978</v>
      </c>
      <c r="P967" t="s">
        <v>1298</v>
      </c>
      <c r="Q967" t="s">
        <v>2979</v>
      </c>
      <c r="R967" t="s">
        <v>2980</v>
      </c>
      <c r="S967" t="s">
        <v>2981</v>
      </c>
      <c r="T967" t="s">
        <v>2982</v>
      </c>
      <c r="U967" t="s">
        <v>1254</v>
      </c>
      <c r="V967" t="s">
        <v>2983</v>
      </c>
      <c r="W967" t="s">
        <v>2993</v>
      </c>
      <c r="X967" t="s">
        <v>2994</v>
      </c>
      <c r="Y967" t="s">
        <v>2995</v>
      </c>
      <c r="Z967" t="s">
        <v>2996</v>
      </c>
      <c r="AA967" t="s">
        <v>2997</v>
      </c>
      <c r="AB967" t="s">
        <v>2998</v>
      </c>
      <c r="AC967" t="s">
        <v>1097</v>
      </c>
    </row>
    <row r="968" spans="2:29" ht="15" customHeight="1" x14ac:dyDescent="0.25">
      <c r="B968" s="3" t="s">
        <v>2829</v>
      </c>
      <c r="C968" s="1" t="s">
        <v>902</v>
      </c>
      <c r="D968" s="2" t="s">
        <v>1079</v>
      </c>
      <c r="E968" s="1" t="s">
        <v>2148</v>
      </c>
      <c r="F968" s="1" t="s">
        <v>1051</v>
      </c>
      <c r="G968" s="1"/>
      <c r="H968" s="1" t="s">
        <v>1046</v>
      </c>
      <c r="I968" s="13" t="str">
        <f t="shared" si="117"/>
        <v>2O</v>
      </c>
      <c r="J968" t="str">
        <f t="shared" si="118"/>
        <v xml:space="preserve">2155 </v>
      </c>
      <c r="K968" t="str">
        <f t="shared" si="119"/>
        <v/>
      </c>
      <c r="L968" t="str">
        <f t="shared" si="120"/>
        <v>Plat11</v>
      </c>
      <c r="M968" s="8" t="str">
        <f t="shared" si="121"/>
        <v>11</v>
      </c>
      <c r="O968"/>
    </row>
    <row r="969" spans="2:29" ht="15" customHeight="1" x14ac:dyDescent="0.25">
      <c r="B969" s="3" t="s">
        <v>795</v>
      </c>
      <c r="C969" s="1" t="s">
        <v>2830</v>
      </c>
      <c r="D969" s="2" t="s">
        <v>1372</v>
      </c>
      <c r="E969" s="1" t="s">
        <v>1156</v>
      </c>
      <c r="F969" s="2" t="s">
        <v>1237</v>
      </c>
      <c r="G969" s="1" t="s">
        <v>902</v>
      </c>
      <c r="H969" s="1" t="s">
        <v>1046</v>
      </c>
      <c r="I969" s="13" t="str">
        <f t="shared" si="117"/>
        <v>1F</v>
      </c>
      <c r="J969" t="str">
        <f t="shared" si="118"/>
        <v>2154½</v>
      </c>
      <c r="K969" t="str">
        <f t="shared" si="119"/>
        <v xml:space="preserve">2155 </v>
      </c>
      <c r="L969" t="str">
        <f t="shared" si="120"/>
        <v>Plat10</v>
      </c>
      <c r="M969" s="8" t="str">
        <f t="shared" si="121"/>
        <v>10</v>
      </c>
      <c r="N969" t="s">
        <v>1044</v>
      </c>
      <c r="O969" t="s">
        <v>2999</v>
      </c>
      <c r="P969" t="s">
        <v>1473</v>
      </c>
      <c r="Q969" t="s">
        <v>3001</v>
      </c>
      <c r="R969" t="s">
        <v>3043</v>
      </c>
      <c r="S969" t="s">
        <v>3044</v>
      </c>
      <c r="T969" t="s">
        <v>3045</v>
      </c>
      <c r="U969" t="s">
        <v>1237</v>
      </c>
    </row>
    <row r="970" spans="2:29" ht="15" customHeight="1" x14ac:dyDescent="0.25">
      <c r="B970" s="3" t="s">
        <v>2052</v>
      </c>
      <c r="C970" s="1" t="s">
        <v>2831</v>
      </c>
      <c r="D970" s="2" t="s">
        <v>1372</v>
      </c>
      <c r="E970" s="1" t="s">
        <v>1043</v>
      </c>
      <c r="F970" s="2" t="s">
        <v>1044</v>
      </c>
      <c r="G970" s="1" t="s">
        <v>2832</v>
      </c>
      <c r="H970" s="1" t="s">
        <v>1046</v>
      </c>
      <c r="I970" s="13" t="str">
        <f t="shared" si="117"/>
        <v>2W</v>
      </c>
      <c r="J970" t="str">
        <f t="shared" si="118"/>
        <v>2156½</v>
      </c>
      <c r="K970" t="str">
        <f t="shared" si="119"/>
        <v>2158½</v>
      </c>
      <c r="L970" t="str">
        <f t="shared" si="120"/>
        <v>Plat 8</v>
      </c>
      <c r="M970" s="8" t="str">
        <f t="shared" si="121"/>
        <v xml:space="preserve"> 8</v>
      </c>
      <c r="N970" s="4" t="s">
        <v>3012</v>
      </c>
      <c r="O970" s="4" t="s">
        <v>3013</v>
      </c>
      <c r="P970" s="4" t="s">
        <v>1181</v>
      </c>
      <c r="Q970" s="4" t="s">
        <v>3014</v>
      </c>
      <c r="R970" s="4" t="s">
        <v>3015</v>
      </c>
      <c r="S970" s="4" t="s">
        <v>3016</v>
      </c>
      <c r="T970" s="4" t="s">
        <v>3004</v>
      </c>
      <c r="U970" s="4" t="s">
        <v>1161</v>
      </c>
      <c r="V970" s="4" t="s">
        <v>3017</v>
      </c>
      <c r="W970" s="4" t="s">
        <v>3018</v>
      </c>
      <c r="X970" s="4" t="s">
        <v>1044</v>
      </c>
    </row>
    <row r="971" spans="2:29" ht="15" customHeight="1" x14ac:dyDescent="0.25">
      <c r="B971" s="3" t="s">
        <v>2032</v>
      </c>
      <c r="C971" s="1" t="s">
        <v>2833</v>
      </c>
      <c r="D971" s="2" t="s">
        <v>1044</v>
      </c>
      <c r="E971" s="1" t="s">
        <v>1054</v>
      </c>
      <c r="F971" s="2" t="s">
        <v>1372</v>
      </c>
      <c r="G971" s="1" t="s">
        <v>910</v>
      </c>
      <c r="H971" s="1" t="s">
        <v>1046</v>
      </c>
      <c r="I971" s="13" t="str">
        <f t="shared" si="117"/>
        <v>2W</v>
      </c>
      <c r="J971" t="str">
        <f t="shared" si="118"/>
        <v xml:space="preserve">2157 </v>
      </c>
      <c r="K971" t="str">
        <f t="shared" si="119"/>
        <v xml:space="preserve">2159 </v>
      </c>
      <c r="L971" t="str">
        <f t="shared" si="120"/>
        <v>Plat 5</v>
      </c>
      <c r="M971" s="8" t="str">
        <f t="shared" si="121"/>
        <v xml:space="preserve"> 5</v>
      </c>
      <c r="N971" s="4" t="s">
        <v>1372</v>
      </c>
      <c r="O971"/>
    </row>
    <row r="972" spans="2:29" ht="15" customHeight="1" x14ac:dyDescent="0.25">
      <c r="B972" s="3" t="s">
        <v>1643</v>
      </c>
      <c r="C972" s="1" t="s">
        <v>2834</v>
      </c>
      <c r="D972" s="2" t="s">
        <v>1074</v>
      </c>
      <c r="E972" s="1" t="s">
        <v>1075</v>
      </c>
      <c r="F972" s="1" t="s">
        <v>1051</v>
      </c>
      <c r="G972" s="1"/>
      <c r="H972" s="1" t="s">
        <v>1040</v>
      </c>
      <c r="I972" s="13" t="str">
        <f t="shared" si="117"/>
        <v>2N</v>
      </c>
      <c r="J972" t="str">
        <f t="shared" si="118"/>
        <v xml:space="preserve">2159 </v>
      </c>
      <c r="K972" t="str">
        <f t="shared" si="119"/>
        <v/>
      </c>
      <c r="L972" t="str">
        <f t="shared" si="120"/>
        <v>Plat 2</v>
      </c>
      <c r="M972" s="8" t="str">
        <f t="shared" si="121"/>
        <v xml:space="preserve"> 2</v>
      </c>
      <c r="O972"/>
    </row>
    <row r="973" spans="2:29" ht="15" customHeight="1" x14ac:dyDescent="0.25">
      <c r="B973" s="3" t="s">
        <v>2835</v>
      </c>
      <c r="C973" s="1"/>
      <c r="D973" s="1" t="s">
        <v>1037</v>
      </c>
      <c r="E973" s="1" t="s">
        <v>1038</v>
      </c>
      <c r="F973" s="2" t="s">
        <v>1039</v>
      </c>
      <c r="G973" s="1" t="s">
        <v>2836</v>
      </c>
      <c r="H973" s="1" t="s">
        <v>1040</v>
      </c>
      <c r="I973" s="13" t="str">
        <f t="shared" si="117"/>
        <v>2Y</v>
      </c>
      <c r="J973" t="str">
        <f t="shared" si="118"/>
        <v/>
      </c>
      <c r="K973" t="str">
        <f t="shared" si="119"/>
        <v xml:space="preserve">2200 </v>
      </c>
      <c r="L973" t="str">
        <f t="shared" si="120"/>
        <v>Plat 1</v>
      </c>
      <c r="M973" s="8" t="str">
        <f t="shared" si="121"/>
        <v xml:space="preserve"> 1</v>
      </c>
      <c r="N973" s="4" t="s">
        <v>3010</v>
      </c>
      <c r="O973" s="15" t="s">
        <v>3011</v>
      </c>
    </row>
    <row r="974" spans="2:29" ht="15" customHeight="1" x14ac:dyDescent="0.25">
      <c r="B974" s="3" t="s">
        <v>1440</v>
      </c>
      <c r="C974" s="1" t="s">
        <v>907</v>
      </c>
      <c r="D974" s="2" t="s">
        <v>1372</v>
      </c>
      <c r="E974" s="1" t="s">
        <v>1156</v>
      </c>
      <c r="F974" s="2" t="s">
        <v>1058</v>
      </c>
      <c r="G974" s="1" t="s">
        <v>908</v>
      </c>
      <c r="H974" s="1" t="s">
        <v>1046</v>
      </c>
      <c r="I974" s="13" t="str">
        <f t="shared" si="117"/>
        <v>1K</v>
      </c>
      <c r="J974" t="str">
        <f t="shared" si="118"/>
        <v xml:space="preserve">2158 </v>
      </c>
      <c r="K974" t="str">
        <f t="shared" si="119"/>
        <v xml:space="preserve">2202 </v>
      </c>
      <c r="L974" t="str">
        <f t="shared" si="120"/>
        <v>Plat10</v>
      </c>
      <c r="M974" s="8" t="str">
        <f t="shared" si="121"/>
        <v>10</v>
      </c>
      <c r="N974" s="4" t="s">
        <v>1044</v>
      </c>
      <c r="O974" s="4" t="s">
        <v>3019</v>
      </c>
      <c r="P974" s="4" t="s">
        <v>3020</v>
      </c>
      <c r="Q974" s="4" t="s">
        <v>3021</v>
      </c>
      <c r="R974" s="4" t="s">
        <v>3022</v>
      </c>
      <c r="S974" s="4" t="s">
        <v>3023</v>
      </c>
      <c r="T974" s="4" t="s">
        <v>3024</v>
      </c>
      <c r="U974" s="4" t="s">
        <v>3025</v>
      </c>
      <c r="V974" s="4" t="s">
        <v>1058</v>
      </c>
    </row>
    <row r="975" spans="2:29" ht="15" customHeight="1" x14ac:dyDescent="0.25">
      <c r="B975" s="3" t="s">
        <v>2837</v>
      </c>
      <c r="C975" s="1" t="s">
        <v>2838</v>
      </c>
      <c r="D975" s="2" t="s">
        <v>1039</v>
      </c>
      <c r="E975" s="1" t="s">
        <v>1050</v>
      </c>
      <c r="F975" s="1" t="s">
        <v>1051</v>
      </c>
      <c r="G975" s="1"/>
      <c r="H975" s="1" t="s">
        <v>1040</v>
      </c>
      <c r="I975" s="13" t="str">
        <f t="shared" si="117"/>
        <v>2L</v>
      </c>
      <c r="J975" t="str">
        <f t="shared" si="118"/>
        <v xml:space="preserve">2204 </v>
      </c>
      <c r="K975" t="str">
        <f t="shared" si="119"/>
        <v/>
      </c>
      <c r="L975" t="str">
        <f t="shared" si="120"/>
        <v>Plat 1</v>
      </c>
      <c r="M975" s="8" t="str">
        <f t="shared" si="121"/>
        <v xml:space="preserve"> 1</v>
      </c>
      <c r="O975"/>
    </row>
    <row r="976" spans="2:29" ht="15" customHeight="1" x14ac:dyDescent="0.25">
      <c r="B976" s="3" t="s">
        <v>2839</v>
      </c>
      <c r="C976" s="1" t="s">
        <v>911</v>
      </c>
      <c r="D976" s="2" t="s">
        <v>1058</v>
      </c>
      <c r="E976" s="1" t="s">
        <v>1054</v>
      </c>
      <c r="F976" s="2" t="s">
        <v>1372</v>
      </c>
      <c r="G976" s="1" t="s">
        <v>913</v>
      </c>
      <c r="H976" s="1" t="s">
        <v>1046</v>
      </c>
      <c r="I976" s="13" t="str">
        <f t="shared" si="117"/>
        <v>1K</v>
      </c>
      <c r="J976" t="str">
        <f t="shared" si="118"/>
        <v xml:space="preserve">2203 </v>
      </c>
      <c r="K976" t="str">
        <f t="shared" si="119"/>
        <v xml:space="preserve">2205 </v>
      </c>
      <c r="L976" t="str">
        <f t="shared" si="120"/>
        <v>Plat 5</v>
      </c>
      <c r="M976" s="8" t="str">
        <f t="shared" si="121"/>
        <v xml:space="preserve"> 5</v>
      </c>
      <c r="N976" s="4" t="s">
        <v>1372</v>
      </c>
      <c r="O976"/>
    </row>
    <row r="977" spans="2:29" ht="15" customHeight="1" x14ac:dyDescent="0.25">
      <c r="B977" s="3" t="s">
        <v>2840</v>
      </c>
      <c r="C977" s="1" t="s">
        <v>2841</v>
      </c>
      <c r="D977" s="2" t="s">
        <v>1372</v>
      </c>
      <c r="E977" s="1" t="s">
        <v>1156</v>
      </c>
      <c r="F977" s="2" t="s">
        <v>3005</v>
      </c>
      <c r="G977" s="1" t="s">
        <v>2842</v>
      </c>
      <c r="H977" s="1" t="s">
        <v>1046</v>
      </c>
      <c r="I977" s="13" t="str">
        <f t="shared" si="117"/>
        <v>1A</v>
      </c>
      <c r="J977" t="str">
        <f t="shared" si="118"/>
        <v>2203½</v>
      </c>
      <c r="K977" t="str">
        <f t="shared" si="119"/>
        <v>2205½</v>
      </c>
      <c r="L977" t="str">
        <f t="shared" si="120"/>
        <v>Plat10</v>
      </c>
      <c r="M977" s="8" t="str">
        <f t="shared" si="121"/>
        <v>10</v>
      </c>
      <c r="O977"/>
    </row>
    <row r="978" spans="2:29" ht="15" customHeight="1" x14ac:dyDescent="0.25">
      <c r="B978" s="3" t="s">
        <v>1655</v>
      </c>
      <c r="C978" s="1"/>
      <c r="D978" s="1" t="s">
        <v>1037</v>
      </c>
      <c r="E978" s="1" t="s">
        <v>1061</v>
      </c>
      <c r="F978" s="2" t="s">
        <v>1074</v>
      </c>
      <c r="G978" s="1" t="s">
        <v>2843</v>
      </c>
      <c r="H978" s="1" t="s">
        <v>1040</v>
      </c>
      <c r="I978" s="13" t="str">
        <f t="shared" si="117"/>
        <v>2N</v>
      </c>
      <c r="J978" t="str">
        <f t="shared" si="118"/>
        <v/>
      </c>
      <c r="K978" t="str">
        <f t="shared" si="119"/>
        <v xml:space="preserve">2207 </v>
      </c>
      <c r="L978" t="str">
        <f t="shared" si="120"/>
        <v>Plat 2</v>
      </c>
      <c r="M978" s="8" t="str">
        <f t="shared" si="121"/>
        <v xml:space="preserve"> 2</v>
      </c>
      <c r="N978" s="4" t="s">
        <v>3010</v>
      </c>
      <c r="O978" s="15" t="s">
        <v>3011</v>
      </c>
    </row>
    <row r="979" spans="2:29" ht="15" customHeight="1" x14ac:dyDescent="0.25">
      <c r="B979" s="3" t="s">
        <v>2045</v>
      </c>
      <c r="C979" s="1" t="s">
        <v>2843</v>
      </c>
      <c r="D979" s="2" t="s">
        <v>1044</v>
      </c>
      <c r="E979" s="1" t="s">
        <v>1054</v>
      </c>
      <c r="F979" s="2" t="s">
        <v>1372</v>
      </c>
      <c r="G979" s="1" t="s">
        <v>914</v>
      </c>
      <c r="H979" s="1" t="s">
        <v>1046</v>
      </c>
      <c r="I979" s="13" t="str">
        <f t="shared" si="117"/>
        <v>2W</v>
      </c>
      <c r="J979" t="str">
        <f t="shared" si="118"/>
        <v xml:space="preserve">2207 </v>
      </c>
      <c r="K979" t="str">
        <f t="shared" si="119"/>
        <v xml:space="preserve">2209 </v>
      </c>
      <c r="L979" t="str">
        <f t="shared" si="120"/>
        <v>Plat 5</v>
      </c>
      <c r="M979" s="8" t="str">
        <f t="shared" si="121"/>
        <v xml:space="preserve"> 5</v>
      </c>
      <c r="N979" s="4" t="s">
        <v>1372</v>
      </c>
      <c r="O979"/>
    </row>
    <row r="980" spans="2:29" ht="15" customHeight="1" x14ac:dyDescent="0.25">
      <c r="B980" s="3" t="s">
        <v>2844</v>
      </c>
      <c r="C980" s="1" t="s">
        <v>2845</v>
      </c>
      <c r="D980" s="2" t="s">
        <v>1372</v>
      </c>
      <c r="E980" s="1" t="s">
        <v>1156</v>
      </c>
      <c r="F980" s="2" t="s">
        <v>1242</v>
      </c>
      <c r="G980" s="1" t="s">
        <v>2846</v>
      </c>
      <c r="H980" s="1" t="s">
        <v>1046</v>
      </c>
      <c r="I980" s="13" t="str">
        <f t="shared" ref="I980:I997" si="122">LEFT(B980,2)</f>
        <v>1Y</v>
      </c>
      <c r="J980" t="str">
        <f t="shared" ref="J980:J997" si="123">LEFT(C980,5)</f>
        <v>2209½</v>
      </c>
      <c r="K980" t="str">
        <f t="shared" ref="K980:K997" si="124">LEFT(G980,5)</f>
        <v>2210½</v>
      </c>
      <c r="L980" t="str">
        <f t="shared" ref="L980:L997" si="125">LEFT(E980,6)</f>
        <v>Plat10</v>
      </c>
      <c r="M980" s="8" t="str">
        <f t="shared" ref="M980:M997" si="126">RIGHT(L980,2)</f>
        <v>10</v>
      </c>
      <c r="N980" t="s">
        <v>1044</v>
      </c>
      <c r="O980" t="s">
        <v>1473</v>
      </c>
      <c r="P980" t="s">
        <v>3000</v>
      </c>
      <c r="Q980" t="s">
        <v>3001</v>
      </c>
      <c r="R980" t="s">
        <v>3002</v>
      </c>
      <c r="S980" t="s">
        <v>3003</v>
      </c>
      <c r="T980" t="s">
        <v>1091</v>
      </c>
      <c r="U980" t="s">
        <v>3006</v>
      </c>
      <c r="V980" t="s">
        <v>1242</v>
      </c>
    </row>
    <row r="981" spans="2:29" ht="15" customHeight="1" x14ac:dyDescent="0.25">
      <c r="B981" s="3" t="s">
        <v>2847</v>
      </c>
      <c r="C981" s="1" t="s">
        <v>2848</v>
      </c>
      <c r="D981" s="2" t="s">
        <v>1386</v>
      </c>
      <c r="E981" s="1" t="s">
        <v>1054</v>
      </c>
      <c r="F981" s="2" t="s">
        <v>1372</v>
      </c>
      <c r="G981" s="1" t="s">
        <v>2849</v>
      </c>
      <c r="H981" s="1" t="s">
        <v>1046</v>
      </c>
      <c r="I981" s="13" t="str">
        <f t="shared" si="122"/>
        <v>1A</v>
      </c>
      <c r="J981" t="str">
        <f t="shared" si="123"/>
        <v xml:space="preserve">2211 </v>
      </c>
      <c r="K981" t="str">
        <f t="shared" si="124"/>
        <v xml:space="preserve">2213 </v>
      </c>
      <c r="L981" t="str">
        <f t="shared" si="125"/>
        <v>Plat 5</v>
      </c>
      <c r="M981" s="8" t="str">
        <f t="shared" si="126"/>
        <v xml:space="preserve"> 5</v>
      </c>
      <c r="N981" s="4" t="s">
        <v>1372</v>
      </c>
      <c r="O981"/>
    </row>
    <row r="982" spans="2:29" ht="15" customHeight="1" x14ac:dyDescent="0.25">
      <c r="B982" s="3" t="s">
        <v>1195</v>
      </c>
      <c r="C982" s="1" t="s">
        <v>2850</v>
      </c>
      <c r="D982" s="2" t="s">
        <v>1372</v>
      </c>
      <c r="E982" s="1" t="s">
        <v>1043</v>
      </c>
      <c r="F982" s="2" t="s">
        <v>1044</v>
      </c>
      <c r="G982" s="1" t="s">
        <v>2851</v>
      </c>
      <c r="H982" s="1" t="s">
        <v>1046</v>
      </c>
      <c r="I982" s="13" t="str">
        <f t="shared" si="122"/>
        <v>2W</v>
      </c>
      <c r="J982" t="str">
        <f t="shared" si="123"/>
        <v>2208½</v>
      </c>
      <c r="K982" t="str">
        <f t="shared" si="124"/>
        <v>2213½</v>
      </c>
      <c r="L982" t="str">
        <f t="shared" si="125"/>
        <v>Plat 8</v>
      </c>
      <c r="M982" s="8" t="str">
        <f t="shared" si="126"/>
        <v xml:space="preserve"> 8</v>
      </c>
      <c r="N982" s="4" t="s">
        <v>3012</v>
      </c>
      <c r="O982" s="4" t="s">
        <v>3013</v>
      </c>
      <c r="P982" s="4" t="s">
        <v>1181</v>
      </c>
      <c r="Q982" s="4" t="s">
        <v>3014</v>
      </c>
      <c r="R982" s="4" t="s">
        <v>3015</v>
      </c>
      <c r="S982" s="4" t="s">
        <v>3016</v>
      </c>
      <c r="T982" s="4" t="s">
        <v>3004</v>
      </c>
      <c r="U982" s="4" t="s">
        <v>1161</v>
      </c>
      <c r="V982" s="4" t="s">
        <v>3017</v>
      </c>
      <c r="W982" s="4" t="s">
        <v>3018</v>
      </c>
      <c r="X982" s="4" t="s">
        <v>1044</v>
      </c>
    </row>
    <row r="983" spans="2:29" ht="15" customHeight="1" x14ac:dyDescent="0.25">
      <c r="B983" s="3" t="s">
        <v>1673</v>
      </c>
      <c r="C983" s="1" t="s">
        <v>2852</v>
      </c>
      <c r="D983" s="2" t="s">
        <v>1074</v>
      </c>
      <c r="E983" s="1" t="s">
        <v>1075</v>
      </c>
      <c r="F983" s="1" t="s">
        <v>1051</v>
      </c>
      <c r="G983" s="1"/>
      <c r="H983" s="1" t="s">
        <v>1040</v>
      </c>
      <c r="I983" s="13" t="str">
        <f t="shared" si="122"/>
        <v>2N</v>
      </c>
      <c r="J983" t="str">
        <f t="shared" si="123"/>
        <v xml:space="preserve">2214 </v>
      </c>
      <c r="K983" t="str">
        <f t="shared" si="124"/>
        <v/>
      </c>
      <c r="L983" t="str">
        <f t="shared" si="125"/>
        <v>Plat 2</v>
      </c>
      <c r="M983" s="8" t="str">
        <f t="shared" si="126"/>
        <v xml:space="preserve"> 2</v>
      </c>
      <c r="O983"/>
    </row>
    <row r="984" spans="2:29" ht="15" customHeight="1" x14ac:dyDescent="0.25">
      <c r="B984" s="3" t="s">
        <v>2853</v>
      </c>
      <c r="C984" s="1"/>
      <c r="D984" s="1" t="s">
        <v>1037</v>
      </c>
      <c r="E984" s="1" t="s">
        <v>1038</v>
      </c>
      <c r="F984" s="2" t="s">
        <v>1039</v>
      </c>
      <c r="G984" s="1" t="s">
        <v>2854</v>
      </c>
      <c r="H984" s="1" t="s">
        <v>1040</v>
      </c>
      <c r="I984" s="13" t="str">
        <f t="shared" si="122"/>
        <v>2Y</v>
      </c>
      <c r="J984" t="str">
        <f t="shared" si="123"/>
        <v/>
      </c>
      <c r="K984" t="str">
        <f t="shared" si="124"/>
        <v xml:space="preserve">2215 </v>
      </c>
      <c r="L984" t="str">
        <f t="shared" si="125"/>
        <v>Plat 1</v>
      </c>
      <c r="M984" s="8" t="str">
        <f t="shared" si="126"/>
        <v xml:space="preserve"> 1</v>
      </c>
      <c r="N984" s="4" t="s">
        <v>3010</v>
      </c>
      <c r="O984" s="15" t="s">
        <v>3011</v>
      </c>
    </row>
    <row r="985" spans="2:29" ht="15" customHeight="1" x14ac:dyDescent="0.25">
      <c r="B985" s="3" t="s">
        <v>2855</v>
      </c>
      <c r="C985" s="1"/>
      <c r="D985" s="1" t="s">
        <v>1037</v>
      </c>
      <c r="E985" s="1" t="s">
        <v>2148</v>
      </c>
      <c r="F985" s="2" t="s">
        <v>1079</v>
      </c>
      <c r="G985" s="1" t="s">
        <v>2854</v>
      </c>
      <c r="H985" s="1" t="s">
        <v>1046</v>
      </c>
      <c r="I985" s="13" t="str">
        <f t="shared" si="122"/>
        <v>2O</v>
      </c>
      <c r="J985" t="str">
        <f t="shared" si="123"/>
        <v/>
      </c>
      <c r="K985" t="str">
        <f t="shared" si="124"/>
        <v xml:space="preserve">2215 </v>
      </c>
      <c r="L985" t="str">
        <f t="shared" si="125"/>
        <v>Plat11</v>
      </c>
      <c r="M985" s="8" t="str">
        <f t="shared" si="126"/>
        <v>11</v>
      </c>
      <c r="N985" t="s">
        <v>2975</v>
      </c>
      <c r="O985" t="s">
        <v>2976</v>
      </c>
      <c r="P985" t="s">
        <v>2977</v>
      </c>
      <c r="Q985" t="s">
        <v>3040</v>
      </c>
      <c r="R985" t="s">
        <v>3042</v>
      </c>
      <c r="S985" t="s">
        <v>2978</v>
      </c>
      <c r="T985" t="s">
        <v>1298</v>
      </c>
      <c r="U985" t="s">
        <v>3049</v>
      </c>
      <c r="V985" t="s">
        <v>3050</v>
      </c>
      <c r="W985" t="s">
        <v>3051</v>
      </c>
      <c r="X985" t="s">
        <v>1079</v>
      </c>
    </row>
    <row r="986" spans="2:29" ht="15" customHeight="1" x14ac:dyDescent="0.25">
      <c r="B986" s="3" t="s">
        <v>2057</v>
      </c>
      <c r="C986" s="1" t="s">
        <v>922</v>
      </c>
      <c r="D986" s="2" t="s">
        <v>1044</v>
      </c>
      <c r="E986" s="1" t="s">
        <v>1054</v>
      </c>
      <c r="F986" s="2" t="s">
        <v>1372</v>
      </c>
      <c r="G986" s="1" t="s">
        <v>925</v>
      </c>
      <c r="H986" s="1" t="s">
        <v>1046</v>
      </c>
      <c r="I986" s="13" t="str">
        <f t="shared" si="122"/>
        <v>2W</v>
      </c>
      <c r="J986" t="str">
        <f t="shared" si="123"/>
        <v xml:space="preserve">2217 </v>
      </c>
      <c r="K986" t="str">
        <f t="shared" si="124"/>
        <v xml:space="preserve">2219 </v>
      </c>
      <c r="L986" t="str">
        <f t="shared" si="125"/>
        <v>Plat 5</v>
      </c>
      <c r="M986" s="8" t="str">
        <f t="shared" si="126"/>
        <v xml:space="preserve"> 5</v>
      </c>
      <c r="N986" s="4" t="s">
        <v>1372</v>
      </c>
      <c r="O986"/>
    </row>
    <row r="987" spans="2:29" ht="15" customHeight="1" x14ac:dyDescent="0.25">
      <c r="B987" s="3" t="s">
        <v>1686</v>
      </c>
      <c r="C987" s="1"/>
      <c r="D987" s="1" t="s">
        <v>1037</v>
      </c>
      <c r="E987" s="1" t="s">
        <v>1061</v>
      </c>
      <c r="F987" s="2" t="s">
        <v>1074</v>
      </c>
      <c r="G987" s="1" t="s">
        <v>2856</v>
      </c>
      <c r="H987" s="1" t="s">
        <v>1040</v>
      </c>
      <c r="I987" s="13" t="str">
        <f t="shared" si="122"/>
        <v>2N</v>
      </c>
      <c r="J987" t="str">
        <f t="shared" si="123"/>
        <v/>
      </c>
      <c r="K987" t="str">
        <f t="shared" si="124"/>
        <v xml:space="preserve">2222 </v>
      </c>
      <c r="L987" t="str">
        <f t="shared" si="125"/>
        <v>Plat 2</v>
      </c>
      <c r="M987" s="8" t="str">
        <f t="shared" si="126"/>
        <v xml:space="preserve"> 2</v>
      </c>
      <c r="N987" s="4" t="s">
        <v>3010</v>
      </c>
      <c r="O987" s="15" t="s">
        <v>3011</v>
      </c>
    </row>
    <row r="988" spans="2:29" ht="15" customHeight="1" x14ac:dyDescent="0.25">
      <c r="B988" s="3" t="s">
        <v>2857</v>
      </c>
      <c r="C988" s="1" t="s">
        <v>2858</v>
      </c>
      <c r="D988" s="2" t="s">
        <v>1039</v>
      </c>
      <c r="E988" s="1" t="s">
        <v>1050</v>
      </c>
      <c r="F988" s="1" t="s">
        <v>1051</v>
      </c>
      <c r="G988" s="1"/>
      <c r="H988" s="1" t="s">
        <v>1040</v>
      </c>
      <c r="I988" s="13" t="str">
        <f t="shared" si="122"/>
        <v>2L</v>
      </c>
      <c r="J988" t="str">
        <f t="shared" si="123"/>
        <v xml:space="preserve">2222 </v>
      </c>
      <c r="K988" t="str">
        <f t="shared" si="124"/>
        <v/>
      </c>
      <c r="L988" t="str">
        <f t="shared" si="125"/>
        <v>Plat 1</v>
      </c>
      <c r="M988" s="8" t="str">
        <f t="shared" si="126"/>
        <v xml:space="preserve"> 1</v>
      </c>
      <c r="O988"/>
    </row>
    <row r="989" spans="2:29" ht="15" customHeight="1" x14ac:dyDescent="0.25">
      <c r="B989" s="3" t="s">
        <v>1477</v>
      </c>
      <c r="C989" s="1" t="s">
        <v>2859</v>
      </c>
      <c r="D989" s="2" t="s">
        <v>1372</v>
      </c>
      <c r="E989" s="1" t="s">
        <v>1156</v>
      </c>
      <c r="F989" s="2" t="s">
        <v>1058</v>
      </c>
      <c r="G989" s="1" t="s">
        <v>2856</v>
      </c>
      <c r="H989" s="1" t="s">
        <v>1046</v>
      </c>
      <c r="I989" s="13" t="str">
        <f t="shared" si="122"/>
        <v>1K</v>
      </c>
      <c r="J989" t="str">
        <f t="shared" si="123"/>
        <v xml:space="preserve">2218 </v>
      </c>
      <c r="K989" t="str">
        <f t="shared" si="124"/>
        <v xml:space="preserve">2222 </v>
      </c>
      <c r="L989" t="str">
        <f t="shared" si="125"/>
        <v>Plat10</v>
      </c>
      <c r="M989" s="8" t="str">
        <f t="shared" si="126"/>
        <v>10</v>
      </c>
      <c r="N989" s="4" t="s">
        <v>1044</v>
      </c>
      <c r="O989" s="4" t="s">
        <v>3019</v>
      </c>
      <c r="P989" s="4" t="s">
        <v>3020</v>
      </c>
      <c r="Q989" s="4" t="s">
        <v>3021</v>
      </c>
      <c r="R989" s="4" t="s">
        <v>3022</v>
      </c>
      <c r="S989" s="4" t="s">
        <v>3023</v>
      </c>
      <c r="T989" s="4" t="s">
        <v>3024</v>
      </c>
      <c r="U989" s="4" t="s">
        <v>3025</v>
      </c>
      <c r="V989" s="4" t="s">
        <v>1058</v>
      </c>
    </row>
    <row r="990" spans="2:29" ht="15" customHeight="1" x14ac:dyDescent="0.25">
      <c r="B990" s="3" t="s">
        <v>1727</v>
      </c>
      <c r="C990" s="1" t="s">
        <v>2856</v>
      </c>
      <c r="D990" s="2" t="s">
        <v>1058</v>
      </c>
      <c r="E990" s="1" t="s">
        <v>1054</v>
      </c>
      <c r="F990" s="2" t="s">
        <v>1372</v>
      </c>
      <c r="G990" s="1" t="s">
        <v>928</v>
      </c>
      <c r="H990" s="1" t="s">
        <v>1046</v>
      </c>
      <c r="I990" s="13" t="str">
        <f t="shared" si="122"/>
        <v>1K</v>
      </c>
      <c r="J990" t="str">
        <f t="shared" si="123"/>
        <v xml:space="preserve">2222 </v>
      </c>
      <c r="K990" t="str">
        <f t="shared" si="124"/>
        <v xml:space="preserve">2224 </v>
      </c>
      <c r="L990" t="str">
        <f t="shared" si="125"/>
        <v>Plat 5</v>
      </c>
      <c r="M990" s="8" t="str">
        <f t="shared" si="126"/>
        <v xml:space="preserve"> 5</v>
      </c>
      <c r="N990" s="4" t="s">
        <v>1372</v>
      </c>
      <c r="O990"/>
    </row>
    <row r="991" spans="2:29" ht="15" customHeight="1" x14ac:dyDescent="0.25">
      <c r="B991" s="3" t="s">
        <v>2860</v>
      </c>
      <c r="C991" s="1" t="s">
        <v>2861</v>
      </c>
      <c r="D991" s="2" t="s">
        <v>1372</v>
      </c>
      <c r="E991" s="1" t="s">
        <v>1156</v>
      </c>
      <c r="F991" s="2" t="s">
        <v>1185</v>
      </c>
      <c r="G991" s="1" t="s">
        <v>2862</v>
      </c>
      <c r="H991" s="1" t="s">
        <v>1046</v>
      </c>
      <c r="I991" s="13" t="str">
        <f t="shared" si="122"/>
        <v>1N</v>
      </c>
      <c r="J991" t="str">
        <f t="shared" si="123"/>
        <v>2222½</v>
      </c>
      <c r="K991" t="str">
        <f t="shared" si="124"/>
        <v>2224½</v>
      </c>
      <c r="L991" t="str">
        <f t="shared" si="125"/>
        <v>Plat10</v>
      </c>
      <c r="M991" s="8" t="str">
        <f t="shared" si="126"/>
        <v>10</v>
      </c>
      <c r="N991" t="s">
        <v>1044</v>
      </c>
      <c r="O991" t="s">
        <v>2999</v>
      </c>
      <c r="P991" t="s">
        <v>1473</v>
      </c>
      <c r="Q991" t="s">
        <v>3001</v>
      </c>
      <c r="R991" t="s">
        <v>3003</v>
      </c>
      <c r="S991" t="s">
        <v>1091</v>
      </c>
      <c r="T991" t="s">
        <v>3031</v>
      </c>
      <c r="U991" t="s">
        <v>3046</v>
      </c>
      <c r="V991" t="s">
        <v>3047</v>
      </c>
    </row>
    <row r="992" spans="2:29" ht="15" customHeight="1" x14ac:dyDescent="0.25">
      <c r="B992" s="3" t="s">
        <v>2863</v>
      </c>
      <c r="C992" s="1" t="s">
        <v>923</v>
      </c>
      <c r="D992" s="2" t="s">
        <v>1372</v>
      </c>
      <c r="E992" s="1" t="s">
        <v>2272</v>
      </c>
      <c r="F992" s="2" t="s">
        <v>1097</v>
      </c>
      <c r="G992" s="1" t="s">
        <v>2864</v>
      </c>
      <c r="H992" s="1" t="s">
        <v>1046</v>
      </c>
      <c r="I992" s="13" t="str">
        <f t="shared" si="122"/>
        <v>2H</v>
      </c>
      <c r="J992" t="str">
        <f t="shared" si="123"/>
        <v xml:space="preserve">2221 </v>
      </c>
      <c r="K992" t="str">
        <f t="shared" si="124"/>
        <v xml:space="preserve">2225 </v>
      </c>
      <c r="L992" t="str">
        <f t="shared" si="125"/>
        <v>Plat12</v>
      </c>
      <c r="M992" s="8" t="str">
        <f t="shared" si="126"/>
        <v>12</v>
      </c>
      <c r="N992" t="s">
        <v>2975</v>
      </c>
      <c r="O992" t="s">
        <v>2978</v>
      </c>
      <c r="P992" t="s">
        <v>1298</v>
      </c>
      <c r="Q992" t="s">
        <v>2979</v>
      </c>
      <c r="R992" t="s">
        <v>2980</v>
      </c>
      <c r="S992" t="s">
        <v>2981</v>
      </c>
      <c r="T992" t="s">
        <v>2982</v>
      </c>
      <c r="U992" t="s">
        <v>1254</v>
      </c>
      <c r="V992" t="s">
        <v>2983</v>
      </c>
      <c r="W992" t="s">
        <v>2993</v>
      </c>
      <c r="X992" t="s">
        <v>2994</v>
      </c>
      <c r="Y992" t="s">
        <v>2995</v>
      </c>
      <c r="Z992" t="s">
        <v>2996</v>
      </c>
      <c r="AA992" t="s">
        <v>2997</v>
      </c>
      <c r="AB992" t="s">
        <v>2998</v>
      </c>
      <c r="AC992" t="s">
        <v>1097</v>
      </c>
    </row>
    <row r="993" spans="2:24" ht="15" customHeight="1" x14ac:dyDescent="0.25">
      <c r="B993" s="3" t="s">
        <v>2865</v>
      </c>
      <c r="C993" s="1" t="s">
        <v>2864</v>
      </c>
      <c r="D993" s="2" t="s">
        <v>1079</v>
      </c>
      <c r="E993" s="1" t="s">
        <v>2148</v>
      </c>
      <c r="F993" s="1" t="s">
        <v>1051</v>
      </c>
      <c r="G993" s="1"/>
      <c r="H993" s="1" t="s">
        <v>1046</v>
      </c>
      <c r="I993" s="13" t="str">
        <f t="shared" si="122"/>
        <v>2O</v>
      </c>
      <c r="J993" t="str">
        <f t="shared" si="123"/>
        <v xml:space="preserve">2225 </v>
      </c>
      <c r="K993" t="str">
        <f t="shared" si="124"/>
        <v/>
      </c>
      <c r="L993" t="str">
        <f t="shared" si="125"/>
        <v>Plat11</v>
      </c>
      <c r="M993" s="8" t="str">
        <f t="shared" si="126"/>
        <v>11</v>
      </c>
      <c r="O993"/>
    </row>
    <row r="994" spans="2:24" ht="15" customHeight="1" x14ac:dyDescent="0.25">
      <c r="B994" s="3" t="s">
        <v>2866</v>
      </c>
      <c r="C994" s="1" t="s">
        <v>931</v>
      </c>
      <c r="D994" s="2" t="s">
        <v>1185</v>
      </c>
      <c r="E994" s="1" t="s">
        <v>1054</v>
      </c>
      <c r="F994" s="2" t="s">
        <v>1372</v>
      </c>
      <c r="G994" s="1" t="s">
        <v>929</v>
      </c>
      <c r="H994" s="1" t="s">
        <v>1046</v>
      </c>
      <c r="I994" s="13" t="str">
        <f t="shared" si="122"/>
        <v>1N</v>
      </c>
      <c r="J994" t="str">
        <f t="shared" si="123"/>
        <v xml:space="preserve">2226 </v>
      </c>
      <c r="K994" t="str">
        <f t="shared" si="124"/>
        <v xml:space="preserve">2228 </v>
      </c>
      <c r="L994" t="str">
        <f t="shared" si="125"/>
        <v>Plat 5</v>
      </c>
      <c r="M994" s="8" t="str">
        <f t="shared" si="126"/>
        <v xml:space="preserve"> 5</v>
      </c>
      <c r="N994" s="4" t="s">
        <v>1372</v>
      </c>
      <c r="O994"/>
    </row>
    <row r="995" spans="2:24" ht="15" customHeight="1" x14ac:dyDescent="0.25">
      <c r="B995" s="3" t="s">
        <v>1222</v>
      </c>
      <c r="C995" s="1" t="s">
        <v>2867</v>
      </c>
      <c r="D995" s="2" t="s">
        <v>1372</v>
      </c>
      <c r="E995" s="1" t="s">
        <v>1043</v>
      </c>
      <c r="F995" s="2" t="s">
        <v>1044</v>
      </c>
      <c r="G995" s="1" t="s">
        <v>2868</v>
      </c>
      <c r="H995" s="1" t="s">
        <v>1046</v>
      </c>
      <c r="I995" s="13" t="str">
        <f t="shared" si="122"/>
        <v>2W</v>
      </c>
      <c r="J995" t="str">
        <f t="shared" si="123"/>
        <v>2223½</v>
      </c>
      <c r="K995" t="str">
        <f t="shared" si="124"/>
        <v>2228½</v>
      </c>
      <c r="L995" t="str">
        <f t="shared" si="125"/>
        <v>Plat 8</v>
      </c>
      <c r="M995" s="8" t="str">
        <f t="shared" si="126"/>
        <v xml:space="preserve"> 8</v>
      </c>
      <c r="N995" s="4" t="s">
        <v>3012</v>
      </c>
      <c r="O995" s="4" t="s">
        <v>3013</v>
      </c>
      <c r="P995" s="4" t="s">
        <v>1181</v>
      </c>
      <c r="Q995" s="4" t="s">
        <v>3014</v>
      </c>
      <c r="R995" s="4" t="s">
        <v>3015</v>
      </c>
      <c r="S995" s="4" t="s">
        <v>3016</v>
      </c>
      <c r="T995" s="4" t="s">
        <v>3004</v>
      </c>
      <c r="U995" s="4" t="s">
        <v>1161</v>
      </c>
      <c r="V995" s="4" t="s">
        <v>3017</v>
      </c>
      <c r="W995" s="4" t="s">
        <v>3018</v>
      </c>
      <c r="X995" s="4" t="s">
        <v>1044</v>
      </c>
    </row>
    <row r="996" spans="2:24" ht="15" customHeight="1" x14ac:dyDescent="0.25">
      <c r="B996" s="3" t="s">
        <v>1694</v>
      </c>
      <c r="C996" s="1" t="s">
        <v>2869</v>
      </c>
      <c r="D996" s="2" t="s">
        <v>1074</v>
      </c>
      <c r="E996" s="1" t="s">
        <v>1075</v>
      </c>
      <c r="F996" s="1" t="s">
        <v>1051</v>
      </c>
      <c r="G996" s="1"/>
      <c r="H996" s="1" t="s">
        <v>1040</v>
      </c>
      <c r="I996" s="13" t="str">
        <f t="shared" si="122"/>
        <v>2N</v>
      </c>
      <c r="J996" t="str">
        <f t="shared" si="123"/>
        <v xml:space="preserve">2229 </v>
      </c>
      <c r="K996" t="str">
        <f t="shared" si="124"/>
        <v/>
      </c>
      <c r="L996" t="str">
        <f t="shared" si="125"/>
        <v>Plat 2</v>
      </c>
      <c r="M996" s="8" t="str">
        <f t="shared" si="126"/>
        <v xml:space="preserve"> 2</v>
      </c>
      <c r="O996"/>
    </row>
    <row r="997" spans="2:24" ht="15" customHeight="1" x14ac:dyDescent="0.25">
      <c r="B997" s="3" t="s">
        <v>2870</v>
      </c>
      <c r="C997" s="1"/>
      <c r="D997" s="1" t="s">
        <v>1037</v>
      </c>
      <c r="E997" s="1" t="s">
        <v>1038</v>
      </c>
      <c r="F997" s="2" t="s">
        <v>1039</v>
      </c>
      <c r="G997" s="1" t="s">
        <v>932</v>
      </c>
      <c r="H997" s="1" t="s">
        <v>1040</v>
      </c>
      <c r="I997" s="13" t="str">
        <f t="shared" si="122"/>
        <v>2Y</v>
      </c>
      <c r="J997" t="str">
        <f t="shared" si="123"/>
        <v/>
      </c>
      <c r="K997" t="str">
        <f t="shared" si="124"/>
        <v xml:space="preserve">2230 </v>
      </c>
      <c r="L997" t="str">
        <f t="shared" si="125"/>
        <v>Plat 1</v>
      </c>
      <c r="M997" s="8" t="str">
        <f t="shared" si="126"/>
        <v xml:space="preserve"> 1</v>
      </c>
      <c r="N997" s="4" t="s">
        <v>3010</v>
      </c>
      <c r="O997" s="15" t="s">
        <v>3011</v>
      </c>
    </row>
    <row r="998" spans="2:24" ht="15" customHeight="1" x14ac:dyDescent="0.25">
      <c r="B998" s="3" t="s">
        <v>2078</v>
      </c>
      <c r="C998" s="1" t="s">
        <v>2875</v>
      </c>
      <c r="D998" s="2" t="s">
        <v>1044</v>
      </c>
      <c r="E998" s="1" t="s">
        <v>1054</v>
      </c>
      <c r="F998" s="2" t="s">
        <v>1372</v>
      </c>
      <c r="G998" s="1" t="s">
        <v>2876</v>
      </c>
      <c r="H998" s="1" t="s">
        <v>1046</v>
      </c>
      <c r="I998" s="13" t="str">
        <f t="shared" ref="I998:I1055" si="127">LEFT(B998,2)</f>
        <v>2W</v>
      </c>
      <c r="J998" t="str">
        <f t="shared" ref="J998:J1055" si="128">LEFT(C998,5)</f>
        <v xml:space="preserve">2232 </v>
      </c>
      <c r="K998" t="str">
        <f t="shared" ref="K998:K1055" si="129">LEFT(G998,5)</f>
        <v xml:space="preserve">2234 </v>
      </c>
      <c r="L998" t="str">
        <f t="shared" ref="L998:L1055" si="130">LEFT(E998,6)</f>
        <v>Plat 5</v>
      </c>
      <c r="M998" s="8" t="str">
        <f t="shared" ref="M998:M1055" si="131">RIGHT(L998,2)</f>
        <v xml:space="preserve"> 5</v>
      </c>
      <c r="N998" s="4" t="s">
        <v>1372</v>
      </c>
      <c r="O998"/>
    </row>
    <row r="999" spans="2:24" ht="15" customHeight="1" x14ac:dyDescent="0.25">
      <c r="B999" s="3" t="s">
        <v>2877</v>
      </c>
      <c r="C999" s="1" t="s">
        <v>934</v>
      </c>
      <c r="D999" s="2" t="s">
        <v>1372</v>
      </c>
      <c r="E999" s="1" t="s">
        <v>2272</v>
      </c>
      <c r="F999" s="2" t="s">
        <v>1254</v>
      </c>
      <c r="G999" s="1" t="s">
        <v>935</v>
      </c>
      <c r="H999" s="1" t="s">
        <v>1046</v>
      </c>
      <c r="I999" s="13" t="str">
        <f t="shared" si="127"/>
        <v>2S</v>
      </c>
      <c r="J999" t="str">
        <f t="shared" si="128"/>
        <v xml:space="preserve">2231 </v>
      </c>
      <c r="K999" t="str">
        <f t="shared" si="129"/>
        <v xml:space="preserve">2235 </v>
      </c>
      <c r="L999" t="str">
        <f t="shared" si="130"/>
        <v>Plat12</v>
      </c>
      <c r="M999" s="8" t="str">
        <f t="shared" si="131"/>
        <v>12</v>
      </c>
      <c r="N999" t="s">
        <v>2975</v>
      </c>
      <c r="O999" t="s">
        <v>3042</v>
      </c>
      <c r="P999" t="s">
        <v>2978</v>
      </c>
      <c r="Q999" t="s">
        <v>1298</v>
      </c>
      <c r="R999" t="s">
        <v>2980</v>
      </c>
      <c r="S999" t="s">
        <v>2982</v>
      </c>
      <c r="T999" t="s">
        <v>1254</v>
      </c>
    </row>
    <row r="1000" spans="2:24" ht="15" customHeight="1" x14ac:dyDescent="0.25">
      <c r="B1000" s="3" t="s">
        <v>2878</v>
      </c>
      <c r="C1000" s="1" t="s">
        <v>2879</v>
      </c>
      <c r="D1000" s="2" t="s">
        <v>1039</v>
      </c>
      <c r="E1000" s="1" t="s">
        <v>1050</v>
      </c>
      <c r="F1000" s="1" t="s">
        <v>1051</v>
      </c>
      <c r="G1000" s="1"/>
      <c r="H1000" s="1" t="s">
        <v>1040</v>
      </c>
      <c r="I1000" s="13" t="str">
        <f t="shared" si="127"/>
        <v>2L</v>
      </c>
      <c r="J1000" t="str">
        <f t="shared" si="128"/>
        <v xml:space="preserve">2235 </v>
      </c>
      <c r="K1000" t="str">
        <f t="shared" si="129"/>
        <v/>
      </c>
      <c r="L1000" t="str">
        <f t="shared" si="130"/>
        <v>Plat 1</v>
      </c>
      <c r="M1000" s="8" t="str">
        <f t="shared" si="131"/>
        <v xml:space="preserve"> 1</v>
      </c>
      <c r="O1000"/>
    </row>
    <row r="1001" spans="2:24" ht="15" customHeight="1" x14ac:dyDescent="0.25">
      <c r="B1001" s="3" t="s">
        <v>1707</v>
      </c>
      <c r="C1001" s="1"/>
      <c r="D1001" s="1" t="s">
        <v>1037</v>
      </c>
      <c r="E1001" s="1" t="s">
        <v>1061</v>
      </c>
      <c r="F1001" s="2" t="s">
        <v>1074</v>
      </c>
      <c r="G1001" s="1" t="s">
        <v>938</v>
      </c>
      <c r="H1001" s="1" t="s">
        <v>1040</v>
      </c>
      <c r="I1001" s="13" t="str">
        <f t="shared" si="127"/>
        <v>2N</v>
      </c>
      <c r="J1001" t="str">
        <f t="shared" si="128"/>
        <v/>
      </c>
      <c r="K1001" t="str">
        <f t="shared" si="129"/>
        <v xml:space="preserve">2237 </v>
      </c>
      <c r="L1001" t="str">
        <f t="shared" si="130"/>
        <v>Plat 2</v>
      </c>
      <c r="M1001" s="8" t="str">
        <f t="shared" si="131"/>
        <v xml:space="preserve"> 2</v>
      </c>
      <c r="N1001" s="4" t="s">
        <v>3010</v>
      </c>
      <c r="O1001" s="15" t="s">
        <v>3011</v>
      </c>
    </row>
    <row r="1002" spans="2:24" ht="15" customHeight="1" x14ac:dyDescent="0.25">
      <c r="B1002" s="3" t="s">
        <v>1529</v>
      </c>
      <c r="C1002" s="1" t="s">
        <v>937</v>
      </c>
      <c r="D1002" s="2" t="s">
        <v>1372</v>
      </c>
      <c r="E1002" s="1" t="s">
        <v>1156</v>
      </c>
      <c r="F1002" s="2" t="s">
        <v>1058</v>
      </c>
      <c r="G1002" s="1" t="s">
        <v>938</v>
      </c>
      <c r="H1002" s="1" t="s">
        <v>1046</v>
      </c>
      <c r="I1002" s="13" t="str">
        <f t="shared" si="127"/>
        <v>1K</v>
      </c>
      <c r="J1002" t="str">
        <f t="shared" si="128"/>
        <v xml:space="preserve">2233 </v>
      </c>
      <c r="K1002" t="str">
        <f t="shared" si="129"/>
        <v xml:space="preserve">2237 </v>
      </c>
      <c r="L1002" t="str">
        <f t="shared" si="130"/>
        <v>Plat10</v>
      </c>
      <c r="M1002" s="8" t="str">
        <f t="shared" si="131"/>
        <v>10</v>
      </c>
      <c r="N1002" s="4" t="s">
        <v>1044</v>
      </c>
      <c r="O1002" s="4" t="s">
        <v>3019</v>
      </c>
      <c r="P1002" s="4" t="s">
        <v>3020</v>
      </c>
      <c r="Q1002" s="4" t="s">
        <v>3021</v>
      </c>
      <c r="R1002" s="4" t="s">
        <v>3022</v>
      </c>
      <c r="S1002" s="4" t="s">
        <v>3023</v>
      </c>
      <c r="T1002" s="4" t="s">
        <v>3024</v>
      </c>
      <c r="U1002" s="4" t="s">
        <v>3025</v>
      </c>
      <c r="V1002" s="4" t="s">
        <v>1058</v>
      </c>
    </row>
    <row r="1003" spans="2:24" ht="15" customHeight="1" x14ac:dyDescent="0.25">
      <c r="B1003" s="3" t="s">
        <v>1220</v>
      </c>
      <c r="C1003" s="1" t="s">
        <v>940</v>
      </c>
      <c r="D1003" s="2" t="s">
        <v>1304</v>
      </c>
      <c r="E1003" s="1" t="s">
        <v>1054</v>
      </c>
      <c r="F1003" s="2" t="s">
        <v>1372</v>
      </c>
      <c r="G1003" s="1" t="s">
        <v>2880</v>
      </c>
      <c r="H1003" s="1" t="s">
        <v>1046</v>
      </c>
      <c r="I1003" s="13" t="str">
        <f t="shared" si="127"/>
        <v>1F</v>
      </c>
      <c r="J1003" t="str">
        <f t="shared" si="128"/>
        <v xml:space="preserve">2238 </v>
      </c>
      <c r="K1003" t="str">
        <f t="shared" si="129"/>
        <v xml:space="preserve">2240 </v>
      </c>
      <c r="L1003" t="str">
        <f t="shared" si="130"/>
        <v>Plat 5</v>
      </c>
      <c r="M1003" s="8" t="str">
        <f t="shared" si="131"/>
        <v xml:space="preserve"> 5</v>
      </c>
      <c r="N1003" s="4" t="s">
        <v>1372</v>
      </c>
      <c r="O1003"/>
    </row>
    <row r="1004" spans="2:24" ht="15" customHeight="1" x14ac:dyDescent="0.25">
      <c r="B1004" s="3" t="s">
        <v>2881</v>
      </c>
      <c r="C1004" s="1" t="s">
        <v>2882</v>
      </c>
      <c r="D1004" s="2" t="s">
        <v>1372</v>
      </c>
      <c r="E1004" s="1" t="s">
        <v>1156</v>
      </c>
      <c r="F1004" s="2" t="s">
        <v>1066</v>
      </c>
      <c r="G1004" s="1" t="s">
        <v>2880</v>
      </c>
      <c r="H1004" s="1" t="s">
        <v>1046</v>
      </c>
      <c r="I1004" s="13" t="str">
        <f t="shared" si="127"/>
        <v>1P</v>
      </c>
      <c r="J1004" t="str">
        <f t="shared" si="128"/>
        <v>2237½</v>
      </c>
      <c r="K1004" t="str">
        <f t="shared" si="129"/>
        <v xml:space="preserve">2240 </v>
      </c>
      <c r="L1004" t="str">
        <f t="shared" si="130"/>
        <v>Plat10</v>
      </c>
      <c r="M1004" s="8" t="str">
        <f t="shared" si="131"/>
        <v>10</v>
      </c>
      <c r="N1004" t="s">
        <v>1473</v>
      </c>
      <c r="O1004" t="s">
        <v>1091</v>
      </c>
      <c r="P1004" t="s">
        <v>3006</v>
      </c>
      <c r="Q1004" t="s">
        <v>1242</v>
      </c>
      <c r="R1004" t="s">
        <v>1501</v>
      </c>
      <c r="S1004" t="s">
        <v>3052</v>
      </c>
      <c r="T1004" t="s">
        <v>1066</v>
      </c>
    </row>
    <row r="1005" spans="2:24" ht="15" customHeight="1" x14ac:dyDescent="0.25">
      <c r="B1005" s="3" t="s">
        <v>1231</v>
      </c>
      <c r="C1005" s="1" t="s">
        <v>2883</v>
      </c>
      <c r="D1005" s="2" t="s">
        <v>1372</v>
      </c>
      <c r="E1005" s="1" t="s">
        <v>1043</v>
      </c>
      <c r="F1005" s="2" t="s">
        <v>1044</v>
      </c>
      <c r="G1005" s="1" t="s">
        <v>2884</v>
      </c>
      <c r="H1005" s="1" t="s">
        <v>1046</v>
      </c>
      <c r="I1005" s="13" t="str">
        <f t="shared" si="127"/>
        <v>2W</v>
      </c>
      <c r="J1005" t="str">
        <f t="shared" si="128"/>
        <v>2238½</v>
      </c>
      <c r="K1005" t="str">
        <f t="shared" si="129"/>
        <v>2243½</v>
      </c>
      <c r="L1005" t="str">
        <f t="shared" si="130"/>
        <v>Plat 8</v>
      </c>
      <c r="M1005" s="8" t="str">
        <f t="shared" si="131"/>
        <v xml:space="preserve"> 8</v>
      </c>
      <c r="N1005" s="4" t="s">
        <v>3012</v>
      </c>
      <c r="O1005" s="4" t="s">
        <v>3013</v>
      </c>
      <c r="P1005" s="4" t="s">
        <v>1181</v>
      </c>
      <c r="Q1005" s="4" t="s">
        <v>3014</v>
      </c>
      <c r="R1005" s="4" t="s">
        <v>3015</v>
      </c>
      <c r="S1005" s="4" t="s">
        <v>3016</v>
      </c>
      <c r="T1005" s="4" t="s">
        <v>3004</v>
      </c>
      <c r="U1005" s="4" t="s">
        <v>1161</v>
      </c>
      <c r="V1005" s="4" t="s">
        <v>3017</v>
      </c>
      <c r="W1005" s="4" t="s">
        <v>3018</v>
      </c>
      <c r="X1005" s="4" t="s">
        <v>1044</v>
      </c>
    </row>
    <row r="1006" spans="2:24" ht="15" customHeight="1" x14ac:dyDescent="0.25">
      <c r="B1006" s="3" t="s">
        <v>1764</v>
      </c>
      <c r="C1006" s="1" t="s">
        <v>941</v>
      </c>
      <c r="D1006" s="2" t="s">
        <v>1058</v>
      </c>
      <c r="E1006" s="1" t="s">
        <v>1054</v>
      </c>
      <c r="F1006" s="2" t="s">
        <v>1372</v>
      </c>
      <c r="G1006" s="1" t="s">
        <v>2885</v>
      </c>
      <c r="H1006" s="1" t="s">
        <v>1046</v>
      </c>
      <c r="I1006" s="13" t="str">
        <f t="shared" si="127"/>
        <v>1K</v>
      </c>
      <c r="J1006" t="str">
        <f t="shared" si="128"/>
        <v xml:space="preserve">2242 </v>
      </c>
      <c r="K1006" t="str">
        <f t="shared" si="129"/>
        <v xml:space="preserve">2244 </v>
      </c>
      <c r="L1006" t="str">
        <f t="shared" si="130"/>
        <v>Plat 5</v>
      </c>
      <c r="M1006" s="8" t="str">
        <f t="shared" si="131"/>
        <v xml:space="preserve"> 5</v>
      </c>
      <c r="N1006" s="4" t="s">
        <v>1372</v>
      </c>
      <c r="O1006"/>
    </row>
    <row r="1007" spans="2:24" ht="15" customHeight="1" x14ac:dyDescent="0.25">
      <c r="B1007" s="3" t="s">
        <v>1717</v>
      </c>
      <c r="C1007" s="1" t="s">
        <v>2886</v>
      </c>
      <c r="D1007" s="2" t="s">
        <v>1074</v>
      </c>
      <c r="E1007" s="1" t="s">
        <v>1075</v>
      </c>
      <c r="F1007" s="1" t="s">
        <v>1051</v>
      </c>
      <c r="G1007" s="1"/>
      <c r="H1007" s="1" t="s">
        <v>1040</v>
      </c>
      <c r="I1007" s="13" t="str">
        <f t="shared" si="127"/>
        <v>2N</v>
      </c>
      <c r="J1007" t="str">
        <f t="shared" si="128"/>
        <v xml:space="preserve">2244 </v>
      </c>
      <c r="K1007" t="str">
        <f t="shared" si="129"/>
        <v/>
      </c>
      <c r="L1007" t="str">
        <f t="shared" si="130"/>
        <v>Plat 2</v>
      </c>
      <c r="M1007" s="8" t="str">
        <f t="shared" si="131"/>
        <v xml:space="preserve"> 2</v>
      </c>
      <c r="O1007"/>
    </row>
    <row r="1008" spans="2:24" ht="15" customHeight="1" x14ac:dyDescent="0.25">
      <c r="B1008" s="3" t="s">
        <v>843</v>
      </c>
      <c r="C1008" s="1" t="s">
        <v>2887</v>
      </c>
      <c r="D1008" s="2" t="s">
        <v>1372</v>
      </c>
      <c r="E1008" s="1" t="s">
        <v>1156</v>
      </c>
      <c r="F1008" s="2" t="s">
        <v>1091</v>
      </c>
      <c r="G1008" s="1" t="s">
        <v>2888</v>
      </c>
      <c r="H1008" s="1" t="s">
        <v>1046</v>
      </c>
      <c r="I1008" s="13" t="str">
        <f t="shared" si="127"/>
        <v>1F</v>
      </c>
      <c r="J1008" t="str">
        <f t="shared" si="128"/>
        <v>2242½</v>
      </c>
      <c r="K1008" t="str">
        <f t="shared" si="129"/>
        <v>2244½</v>
      </c>
      <c r="L1008" t="str">
        <f t="shared" si="130"/>
        <v>Plat10</v>
      </c>
      <c r="M1008" s="8" t="str">
        <f t="shared" si="131"/>
        <v>10</v>
      </c>
      <c r="N1008" s="4" t="s">
        <v>1044</v>
      </c>
      <c r="O1008" s="4" t="s">
        <v>2999</v>
      </c>
      <c r="P1008" s="4" t="s">
        <v>1473</v>
      </c>
      <c r="Q1008" s="4" t="s">
        <v>3000</v>
      </c>
      <c r="R1008" s="4" t="s">
        <v>3001</v>
      </c>
      <c r="S1008" s="4" t="s">
        <v>3002</v>
      </c>
      <c r="T1008" s="4" t="s">
        <v>3003</v>
      </c>
      <c r="U1008" s="4" t="s">
        <v>1091</v>
      </c>
    </row>
    <row r="1009" spans="2:29" ht="15" customHeight="1" x14ac:dyDescent="0.25">
      <c r="B1009" s="3" t="s">
        <v>2889</v>
      </c>
      <c r="C1009" s="1"/>
      <c r="D1009" s="1" t="s">
        <v>1037</v>
      </c>
      <c r="E1009" s="1" t="s">
        <v>1038</v>
      </c>
      <c r="F1009" s="2" t="s">
        <v>1039</v>
      </c>
      <c r="G1009" s="1" t="s">
        <v>943</v>
      </c>
      <c r="H1009" s="1" t="s">
        <v>1040</v>
      </c>
      <c r="I1009" s="13" t="str">
        <f t="shared" si="127"/>
        <v>2Y</v>
      </c>
      <c r="J1009" t="str">
        <f t="shared" si="128"/>
        <v/>
      </c>
      <c r="K1009" t="str">
        <f t="shared" si="129"/>
        <v xml:space="preserve">2245 </v>
      </c>
      <c r="L1009" t="str">
        <f t="shared" si="130"/>
        <v>Plat 1</v>
      </c>
      <c r="M1009" s="8" t="str">
        <f t="shared" si="131"/>
        <v xml:space="preserve"> 1</v>
      </c>
      <c r="N1009" s="4" t="s">
        <v>3010</v>
      </c>
      <c r="O1009" s="15" t="s">
        <v>3011</v>
      </c>
    </row>
    <row r="1010" spans="2:29" ht="15" customHeight="1" x14ac:dyDescent="0.25">
      <c r="B1010" s="3" t="s">
        <v>2890</v>
      </c>
      <c r="C1010" s="1"/>
      <c r="D1010" s="1" t="s">
        <v>1037</v>
      </c>
      <c r="E1010" s="1" t="s">
        <v>2148</v>
      </c>
      <c r="F1010" s="2" t="s">
        <v>1079</v>
      </c>
      <c r="G1010" s="1" t="s">
        <v>943</v>
      </c>
      <c r="H1010" s="1" t="s">
        <v>1046</v>
      </c>
      <c r="I1010" s="13" t="str">
        <f t="shared" si="127"/>
        <v>2O</v>
      </c>
      <c r="J1010" t="str">
        <f t="shared" si="128"/>
        <v/>
      </c>
      <c r="K1010" t="str">
        <f t="shared" si="129"/>
        <v xml:space="preserve">2245 </v>
      </c>
      <c r="L1010" t="str">
        <f t="shared" si="130"/>
        <v>Plat11</v>
      </c>
      <c r="M1010" s="8" t="str">
        <f t="shared" si="131"/>
        <v>11</v>
      </c>
      <c r="N1010" t="s">
        <v>2975</v>
      </c>
      <c r="O1010" t="s">
        <v>2976</v>
      </c>
      <c r="P1010" t="s">
        <v>2977</v>
      </c>
      <c r="Q1010" t="s">
        <v>3040</v>
      </c>
      <c r="R1010" t="s">
        <v>3042</v>
      </c>
      <c r="S1010" t="s">
        <v>2978</v>
      </c>
      <c r="T1010" t="s">
        <v>1298</v>
      </c>
      <c r="U1010" t="s">
        <v>3049</v>
      </c>
      <c r="V1010" t="s">
        <v>3050</v>
      </c>
      <c r="W1010" t="s">
        <v>3051</v>
      </c>
      <c r="X1010" t="s">
        <v>1079</v>
      </c>
    </row>
    <row r="1011" spans="2:29" ht="15" customHeight="1" x14ac:dyDescent="0.25">
      <c r="B1011" s="3" t="s">
        <v>2281</v>
      </c>
      <c r="C1011" s="1"/>
      <c r="D1011" s="1" t="s">
        <v>1037</v>
      </c>
      <c r="E1011" s="1" t="s">
        <v>1054</v>
      </c>
      <c r="F1011" s="2" t="s">
        <v>1372</v>
      </c>
      <c r="G1011" s="1" t="s">
        <v>2891</v>
      </c>
      <c r="H1011" s="1" t="s">
        <v>1046</v>
      </c>
      <c r="I1011" s="13" t="str">
        <f t="shared" si="127"/>
        <v>2C</v>
      </c>
      <c r="J1011" t="str">
        <f t="shared" si="128"/>
        <v/>
      </c>
      <c r="K1011" t="str">
        <f t="shared" si="129"/>
        <v xml:space="preserve">2248 </v>
      </c>
      <c r="L1011" t="str">
        <f t="shared" si="130"/>
        <v>Plat 5</v>
      </c>
      <c r="M1011" s="8" t="str">
        <f t="shared" si="131"/>
        <v xml:space="preserve"> 5</v>
      </c>
      <c r="N1011" s="4" t="s">
        <v>1372</v>
      </c>
      <c r="O1011"/>
    </row>
    <row r="1012" spans="2:29" ht="15" customHeight="1" x14ac:dyDescent="0.25">
      <c r="B1012" s="3" t="s">
        <v>2892</v>
      </c>
      <c r="C1012" s="1" t="s">
        <v>2893</v>
      </c>
      <c r="D1012" s="2" t="s">
        <v>1039</v>
      </c>
      <c r="E1012" s="1" t="s">
        <v>1050</v>
      </c>
      <c r="F1012" s="1" t="s">
        <v>1051</v>
      </c>
      <c r="G1012" s="1"/>
      <c r="H1012" s="1" t="s">
        <v>1040</v>
      </c>
      <c r="I1012" s="13" t="str">
        <f t="shared" si="127"/>
        <v>2L</v>
      </c>
      <c r="J1012" t="str">
        <f t="shared" si="128"/>
        <v xml:space="preserve">2249 </v>
      </c>
      <c r="K1012" t="str">
        <f t="shared" si="129"/>
        <v/>
      </c>
      <c r="L1012" t="str">
        <f t="shared" si="130"/>
        <v>Plat 1</v>
      </c>
      <c r="M1012" s="8" t="str">
        <f t="shared" si="131"/>
        <v xml:space="preserve"> 1</v>
      </c>
      <c r="O1012"/>
    </row>
    <row r="1013" spans="2:29" ht="15" customHeight="1" x14ac:dyDescent="0.25">
      <c r="B1013" s="3" t="s">
        <v>1732</v>
      </c>
      <c r="C1013" s="1"/>
      <c r="D1013" s="1" t="s">
        <v>1037</v>
      </c>
      <c r="E1013" s="1" t="s">
        <v>1061</v>
      </c>
      <c r="F1013" s="2" t="s">
        <v>1074</v>
      </c>
      <c r="G1013" s="1" t="s">
        <v>952</v>
      </c>
      <c r="H1013" s="1" t="s">
        <v>1040</v>
      </c>
      <c r="I1013" s="13" t="str">
        <f t="shared" si="127"/>
        <v>2N</v>
      </c>
      <c r="J1013" t="str">
        <f t="shared" si="128"/>
        <v/>
      </c>
      <c r="K1013" t="str">
        <f t="shared" si="129"/>
        <v xml:space="preserve">2252 </v>
      </c>
      <c r="L1013" t="str">
        <f t="shared" si="130"/>
        <v>Plat 2</v>
      </c>
      <c r="M1013" s="8" t="str">
        <f t="shared" si="131"/>
        <v xml:space="preserve"> 2</v>
      </c>
      <c r="N1013" s="4" t="s">
        <v>3010</v>
      </c>
      <c r="O1013" s="15" t="s">
        <v>3011</v>
      </c>
    </row>
    <row r="1014" spans="2:29" ht="15" customHeight="1" x14ac:dyDescent="0.25">
      <c r="B1014" s="3" t="s">
        <v>1580</v>
      </c>
      <c r="C1014" s="1" t="s">
        <v>2891</v>
      </c>
      <c r="D1014" s="2" t="s">
        <v>1372</v>
      </c>
      <c r="E1014" s="1" t="s">
        <v>1156</v>
      </c>
      <c r="F1014" s="2" t="s">
        <v>1058</v>
      </c>
      <c r="G1014" s="1" t="s">
        <v>952</v>
      </c>
      <c r="H1014" s="1" t="s">
        <v>1046</v>
      </c>
      <c r="I1014" s="13" t="str">
        <f t="shared" si="127"/>
        <v>1K</v>
      </c>
      <c r="J1014" t="str">
        <f t="shared" si="128"/>
        <v xml:space="preserve">2248 </v>
      </c>
      <c r="K1014" t="str">
        <f t="shared" si="129"/>
        <v xml:space="preserve">2252 </v>
      </c>
      <c r="L1014" t="str">
        <f t="shared" si="130"/>
        <v>Plat10</v>
      </c>
      <c r="M1014" s="8" t="str">
        <f t="shared" si="131"/>
        <v>10</v>
      </c>
      <c r="N1014" s="4" t="s">
        <v>1044</v>
      </c>
      <c r="O1014" s="4" t="s">
        <v>3019</v>
      </c>
      <c r="P1014" s="4" t="s">
        <v>3020</v>
      </c>
      <c r="Q1014" s="4" t="s">
        <v>3021</v>
      </c>
      <c r="R1014" s="4" t="s">
        <v>3022</v>
      </c>
      <c r="S1014" s="4" t="s">
        <v>3023</v>
      </c>
      <c r="T1014" s="4" t="s">
        <v>3024</v>
      </c>
      <c r="U1014" s="4" t="s">
        <v>3025</v>
      </c>
      <c r="V1014" s="4" t="s">
        <v>1058</v>
      </c>
    </row>
    <row r="1015" spans="2:29" ht="15" customHeight="1" x14ac:dyDescent="0.25">
      <c r="B1015" s="3" t="s">
        <v>2087</v>
      </c>
      <c r="C1015" s="1" t="s">
        <v>2894</v>
      </c>
      <c r="D1015" s="2" t="s">
        <v>1044</v>
      </c>
      <c r="E1015" s="1" t="s">
        <v>1054</v>
      </c>
      <c r="F1015" s="2" t="s">
        <v>1372</v>
      </c>
      <c r="G1015" s="1" t="s">
        <v>952</v>
      </c>
      <c r="H1015" s="1" t="s">
        <v>1046</v>
      </c>
      <c r="I1015" s="13" t="str">
        <f t="shared" si="127"/>
        <v>2W</v>
      </c>
      <c r="J1015" t="str">
        <f t="shared" si="128"/>
        <v xml:space="preserve">2250 </v>
      </c>
      <c r="K1015" t="str">
        <f t="shared" si="129"/>
        <v xml:space="preserve">2252 </v>
      </c>
      <c r="L1015" t="str">
        <f t="shared" si="130"/>
        <v>Plat 5</v>
      </c>
      <c r="M1015" s="8" t="str">
        <f t="shared" si="131"/>
        <v xml:space="preserve"> 5</v>
      </c>
      <c r="N1015" s="4" t="s">
        <v>1372</v>
      </c>
      <c r="O1015"/>
    </row>
    <row r="1016" spans="2:29" ht="15" customHeight="1" x14ac:dyDescent="0.25">
      <c r="B1016" s="3" t="s">
        <v>1246</v>
      </c>
      <c r="C1016" s="1" t="s">
        <v>2895</v>
      </c>
      <c r="D1016" s="2" t="s">
        <v>1372</v>
      </c>
      <c r="E1016" s="1" t="s">
        <v>1043</v>
      </c>
      <c r="F1016" s="2" t="s">
        <v>1044</v>
      </c>
      <c r="G1016" s="1" t="s">
        <v>2896</v>
      </c>
      <c r="H1016" s="1" t="s">
        <v>1046</v>
      </c>
      <c r="I1016" s="13" t="str">
        <f t="shared" si="127"/>
        <v>2W</v>
      </c>
      <c r="J1016" t="str">
        <f t="shared" si="128"/>
        <v>2248½</v>
      </c>
      <c r="K1016" t="str">
        <f t="shared" si="129"/>
        <v>2253½</v>
      </c>
      <c r="L1016" t="str">
        <f t="shared" si="130"/>
        <v>Plat 8</v>
      </c>
      <c r="M1016" s="8" t="str">
        <f t="shared" si="131"/>
        <v xml:space="preserve"> 8</v>
      </c>
      <c r="N1016" s="4" t="s">
        <v>3012</v>
      </c>
      <c r="O1016" s="4" t="s">
        <v>3013</v>
      </c>
      <c r="P1016" s="4" t="s">
        <v>1181</v>
      </c>
      <c r="Q1016" s="4" t="s">
        <v>3014</v>
      </c>
      <c r="R1016" s="4" t="s">
        <v>3015</v>
      </c>
      <c r="S1016" s="4" t="s">
        <v>3016</v>
      </c>
      <c r="T1016" s="4" t="s">
        <v>3004</v>
      </c>
      <c r="U1016" s="4" t="s">
        <v>1161</v>
      </c>
      <c r="V1016" s="4" t="s">
        <v>3017</v>
      </c>
      <c r="W1016" s="4" t="s">
        <v>3018</v>
      </c>
      <c r="X1016" s="4" t="s">
        <v>1044</v>
      </c>
    </row>
    <row r="1017" spans="2:29" ht="15" customHeight="1" x14ac:dyDescent="0.25">
      <c r="B1017" s="3" t="s">
        <v>2897</v>
      </c>
      <c r="C1017" s="1" t="s">
        <v>2898</v>
      </c>
      <c r="D1017" s="2" t="s">
        <v>1372</v>
      </c>
      <c r="E1017" s="1" t="s">
        <v>1156</v>
      </c>
      <c r="F1017" s="2" t="s">
        <v>1185</v>
      </c>
      <c r="G1017" s="1" t="s">
        <v>2899</v>
      </c>
      <c r="H1017" s="1" t="s">
        <v>1046</v>
      </c>
      <c r="I1017" s="13" t="str">
        <f t="shared" si="127"/>
        <v>1N</v>
      </c>
      <c r="J1017" t="str">
        <f t="shared" si="128"/>
        <v>2252½</v>
      </c>
      <c r="K1017" t="str">
        <f t="shared" si="129"/>
        <v>2254½</v>
      </c>
      <c r="L1017" t="str">
        <f t="shared" si="130"/>
        <v>Plat10</v>
      </c>
      <c r="M1017" s="8" t="str">
        <f t="shared" si="131"/>
        <v>10</v>
      </c>
      <c r="N1017" t="s">
        <v>1044</v>
      </c>
      <c r="O1017" t="s">
        <v>2999</v>
      </c>
      <c r="P1017" t="s">
        <v>1473</v>
      </c>
      <c r="Q1017" t="s">
        <v>3001</v>
      </c>
      <c r="R1017" t="s">
        <v>3003</v>
      </c>
      <c r="S1017" t="s">
        <v>1091</v>
      </c>
      <c r="T1017" t="s">
        <v>3031</v>
      </c>
      <c r="U1017" t="s">
        <v>3046</v>
      </c>
      <c r="V1017" t="s">
        <v>3047</v>
      </c>
    </row>
    <row r="1018" spans="2:29" ht="15" customHeight="1" x14ac:dyDescent="0.25">
      <c r="B1018" s="3" t="s">
        <v>2900</v>
      </c>
      <c r="C1018" s="1" t="s">
        <v>949</v>
      </c>
      <c r="D1018" s="2" t="s">
        <v>1372</v>
      </c>
      <c r="E1018" s="1" t="s">
        <v>2272</v>
      </c>
      <c r="F1018" s="2" t="s">
        <v>1097</v>
      </c>
      <c r="G1018" s="1" t="s">
        <v>950</v>
      </c>
      <c r="H1018" s="1" t="s">
        <v>1046</v>
      </c>
      <c r="I1018" s="13" t="str">
        <f t="shared" si="127"/>
        <v>2H</v>
      </c>
      <c r="J1018" t="str">
        <f t="shared" si="128"/>
        <v xml:space="preserve">2251 </v>
      </c>
      <c r="K1018" t="str">
        <f t="shared" si="129"/>
        <v xml:space="preserve">2255 </v>
      </c>
      <c r="L1018" t="str">
        <f t="shared" si="130"/>
        <v>Plat12</v>
      </c>
      <c r="M1018" s="8" t="str">
        <f t="shared" si="131"/>
        <v>12</v>
      </c>
      <c r="N1018" t="s">
        <v>2975</v>
      </c>
      <c r="O1018" t="s">
        <v>2978</v>
      </c>
      <c r="P1018" t="s">
        <v>1298</v>
      </c>
      <c r="Q1018" t="s">
        <v>2979</v>
      </c>
      <c r="R1018" t="s">
        <v>2980</v>
      </c>
      <c r="S1018" t="s">
        <v>2981</v>
      </c>
      <c r="T1018" t="s">
        <v>2982</v>
      </c>
      <c r="U1018" t="s">
        <v>1254</v>
      </c>
      <c r="V1018" t="s">
        <v>2983</v>
      </c>
      <c r="W1018" t="s">
        <v>2993</v>
      </c>
      <c r="X1018" t="s">
        <v>2994</v>
      </c>
      <c r="Y1018" t="s">
        <v>2995</v>
      </c>
      <c r="Z1018" t="s">
        <v>2996</v>
      </c>
      <c r="AA1018" t="s">
        <v>2997</v>
      </c>
      <c r="AB1018" t="s">
        <v>2998</v>
      </c>
      <c r="AC1018" t="s">
        <v>1097</v>
      </c>
    </row>
    <row r="1019" spans="2:29" ht="15" customHeight="1" x14ac:dyDescent="0.25">
      <c r="B1019" s="3" t="s">
        <v>2901</v>
      </c>
      <c r="C1019" s="1" t="s">
        <v>950</v>
      </c>
      <c r="D1019" s="2" t="s">
        <v>1079</v>
      </c>
      <c r="E1019" s="1" t="s">
        <v>2148</v>
      </c>
      <c r="F1019" s="1" t="s">
        <v>1051</v>
      </c>
      <c r="G1019" s="1"/>
      <c r="H1019" s="1" t="s">
        <v>1046</v>
      </c>
      <c r="I1019" s="13" t="str">
        <f t="shared" si="127"/>
        <v>2O</v>
      </c>
      <c r="J1019" t="str">
        <f t="shared" si="128"/>
        <v xml:space="preserve">2255 </v>
      </c>
      <c r="K1019" t="str">
        <f t="shared" si="129"/>
        <v/>
      </c>
      <c r="L1019" t="str">
        <f t="shared" si="130"/>
        <v>Plat11</v>
      </c>
      <c r="M1019" s="8" t="str">
        <f t="shared" si="131"/>
        <v>11</v>
      </c>
      <c r="O1019"/>
    </row>
    <row r="1020" spans="2:29" ht="15" customHeight="1" x14ac:dyDescent="0.25">
      <c r="B1020" s="3" t="s">
        <v>2902</v>
      </c>
      <c r="C1020" s="1" t="s">
        <v>953</v>
      </c>
      <c r="D1020" s="2" t="s">
        <v>1237</v>
      </c>
      <c r="E1020" s="1" t="s">
        <v>1054</v>
      </c>
      <c r="F1020" s="2" t="s">
        <v>1372</v>
      </c>
      <c r="G1020" s="1" t="s">
        <v>958</v>
      </c>
      <c r="H1020" s="1" t="s">
        <v>1046</v>
      </c>
      <c r="I1020" s="13" t="str">
        <f t="shared" si="127"/>
        <v>1F</v>
      </c>
      <c r="J1020" t="str">
        <f t="shared" si="128"/>
        <v xml:space="preserve">2256 </v>
      </c>
      <c r="K1020" t="str">
        <f t="shared" si="129"/>
        <v xml:space="preserve">2258 </v>
      </c>
      <c r="L1020" t="str">
        <f t="shared" si="130"/>
        <v>Plat 5</v>
      </c>
      <c r="M1020" s="8" t="str">
        <f t="shared" si="131"/>
        <v xml:space="preserve"> 5</v>
      </c>
      <c r="N1020" s="4" t="s">
        <v>1372</v>
      </c>
      <c r="O1020"/>
    </row>
    <row r="1021" spans="2:29" ht="15" customHeight="1" x14ac:dyDescent="0.25">
      <c r="B1021" s="3" t="s">
        <v>1745</v>
      </c>
      <c r="C1021" s="1" t="s">
        <v>2903</v>
      </c>
      <c r="D1021" s="2" t="s">
        <v>1074</v>
      </c>
      <c r="E1021" s="1" t="s">
        <v>1075</v>
      </c>
      <c r="F1021" s="1" t="s">
        <v>1051</v>
      </c>
      <c r="G1021" s="1"/>
      <c r="H1021" s="1" t="s">
        <v>1040</v>
      </c>
      <c r="I1021" s="13" t="str">
        <f t="shared" si="127"/>
        <v>2N</v>
      </c>
      <c r="J1021" t="str">
        <f t="shared" si="128"/>
        <v xml:space="preserve">2259 </v>
      </c>
      <c r="K1021" t="str">
        <f t="shared" si="129"/>
        <v/>
      </c>
      <c r="L1021" t="str">
        <f t="shared" si="130"/>
        <v>Plat 2</v>
      </c>
      <c r="M1021" s="8" t="str">
        <f t="shared" si="131"/>
        <v xml:space="preserve"> 2</v>
      </c>
      <c r="O1021"/>
    </row>
    <row r="1022" spans="2:29" ht="15" customHeight="1" x14ac:dyDescent="0.25">
      <c r="B1022" s="3" t="s">
        <v>2904</v>
      </c>
      <c r="C1022" s="1"/>
      <c r="D1022" s="1" t="s">
        <v>1037</v>
      </c>
      <c r="E1022" s="1" t="s">
        <v>1038</v>
      </c>
      <c r="F1022" s="2" t="s">
        <v>1039</v>
      </c>
      <c r="G1022" s="1" t="s">
        <v>959</v>
      </c>
      <c r="H1022" s="1" t="s">
        <v>1040</v>
      </c>
      <c r="I1022" s="13" t="str">
        <f t="shared" si="127"/>
        <v>2Y</v>
      </c>
      <c r="J1022" t="str">
        <f t="shared" si="128"/>
        <v/>
      </c>
      <c r="K1022" t="str">
        <f t="shared" si="129"/>
        <v xml:space="preserve">2302 </v>
      </c>
      <c r="L1022" t="str">
        <f t="shared" si="130"/>
        <v>Plat 1</v>
      </c>
      <c r="M1022" s="8" t="str">
        <f t="shared" si="131"/>
        <v xml:space="preserve"> 1</v>
      </c>
      <c r="N1022" s="4" t="s">
        <v>3010</v>
      </c>
      <c r="O1022" s="15" t="s">
        <v>3011</v>
      </c>
    </row>
    <row r="1023" spans="2:29" ht="15" customHeight="1" x14ac:dyDescent="0.25">
      <c r="B1023" s="3" t="s">
        <v>1269</v>
      </c>
      <c r="C1023" s="1" t="s">
        <v>2905</v>
      </c>
      <c r="D1023" s="2" t="s">
        <v>1372</v>
      </c>
      <c r="E1023" s="1" t="s">
        <v>1043</v>
      </c>
      <c r="F1023" s="2" t="s">
        <v>1044</v>
      </c>
      <c r="G1023" s="1" t="s">
        <v>2906</v>
      </c>
      <c r="H1023" s="1" t="s">
        <v>1046</v>
      </c>
      <c r="I1023" s="13" t="str">
        <f t="shared" si="127"/>
        <v>2W</v>
      </c>
      <c r="J1023" t="str">
        <f t="shared" si="128"/>
        <v>2258½</v>
      </c>
      <c r="K1023" t="str">
        <f t="shared" si="129"/>
        <v>2303½</v>
      </c>
      <c r="L1023" t="str">
        <f t="shared" si="130"/>
        <v>Plat 8</v>
      </c>
      <c r="M1023" s="8" t="str">
        <f t="shared" si="131"/>
        <v xml:space="preserve"> 8</v>
      </c>
      <c r="N1023" s="4" t="s">
        <v>3012</v>
      </c>
      <c r="O1023" s="4" t="s">
        <v>3013</v>
      </c>
      <c r="P1023" s="4" t="s">
        <v>1181</v>
      </c>
      <c r="Q1023" s="4" t="s">
        <v>3014</v>
      </c>
      <c r="R1023" s="4" t="s">
        <v>3015</v>
      </c>
      <c r="S1023" s="4" t="s">
        <v>3016</v>
      </c>
      <c r="T1023" s="4" t="s">
        <v>3004</v>
      </c>
      <c r="U1023" s="4" t="s">
        <v>1161</v>
      </c>
      <c r="V1023" s="4" t="s">
        <v>3017</v>
      </c>
      <c r="W1023" s="4" t="s">
        <v>3018</v>
      </c>
      <c r="X1023" s="4" t="s">
        <v>1044</v>
      </c>
    </row>
    <row r="1024" spans="2:29" ht="15" customHeight="1" x14ac:dyDescent="0.25">
      <c r="B1024" s="3" t="s">
        <v>2104</v>
      </c>
      <c r="C1024" s="1" t="s">
        <v>959</v>
      </c>
      <c r="D1024" s="2" t="s">
        <v>1044</v>
      </c>
      <c r="E1024" s="1" t="s">
        <v>1054</v>
      </c>
      <c r="F1024" s="2" t="s">
        <v>1372</v>
      </c>
      <c r="G1024" s="1" t="s">
        <v>2907</v>
      </c>
      <c r="H1024" s="1" t="s">
        <v>1046</v>
      </c>
      <c r="I1024" s="13" t="str">
        <f t="shared" si="127"/>
        <v>2W</v>
      </c>
      <c r="J1024" t="str">
        <f t="shared" si="128"/>
        <v xml:space="preserve">2302 </v>
      </c>
      <c r="K1024" t="str">
        <f t="shared" si="129"/>
        <v xml:space="preserve">2304 </v>
      </c>
      <c r="L1024" t="str">
        <f t="shared" si="130"/>
        <v>Plat 5</v>
      </c>
      <c r="M1024" s="8" t="str">
        <f t="shared" si="131"/>
        <v xml:space="preserve"> 5</v>
      </c>
      <c r="N1024" s="4" t="s">
        <v>1372</v>
      </c>
      <c r="O1024"/>
    </row>
    <row r="1025" spans="2:24" ht="15" customHeight="1" x14ac:dyDescent="0.25">
      <c r="B1025" s="3" t="s">
        <v>2908</v>
      </c>
      <c r="C1025" s="1" t="s">
        <v>2909</v>
      </c>
      <c r="D1025" s="2" t="s">
        <v>1039</v>
      </c>
      <c r="E1025" s="1" t="s">
        <v>1050</v>
      </c>
      <c r="F1025" s="1" t="s">
        <v>1051</v>
      </c>
      <c r="G1025" s="1"/>
      <c r="H1025" s="1" t="s">
        <v>1040</v>
      </c>
      <c r="I1025" s="13" t="str">
        <f t="shared" si="127"/>
        <v>2L</v>
      </c>
      <c r="J1025" t="str">
        <f t="shared" si="128"/>
        <v>2304½</v>
      </c>
      <c r="K1025" t="str">
        <f t="shared" si="129"/>
        <v/>
      </c>
      <c r="L1025" t="str">
        <f t="shared" si="130"/>
        <v>Plat 1</v>
      </c>
      <c r="M1025" s="8" t="str">
        <f t="shared" si="131"/>
        <v xml:space="preserve"> 1</v>
      </c>
      <c r="O1025"/>
    </row>
    <row r="1026" spans="2:24" ht="15" customHeight="1" x14ac:dyDescent="0.25">
      <c r="B1026" s="3" t="s">
        <v>2910</v>
      </c>
      <c r="C1026" s="1" t="s">
        <v>961</v>
      </c>
      <c r="D1026" s="2" t="s">
        <v>1372</v>
      </c>
      <c r="E1026" s="1" t="s">
        <v>2272</v>
      </c>
      <c r="F1026" s="2" t="s">
        <v>1254</v>
      </c>
      <c r="G1026" s="1" t="s">
        <v>962</v>
      </c>
      <c r="H1026" s="1" t="s">
        <v>1046</v>
      </c>
      <c r="I1026" s="13" t="str">
        <f t="shared" si="127"/>
        <v>2S</v>
      </c>
      <c r="J1026" t="str">
        <f t="shared" si="128"/>
        <v xml:space="preserve">2301 </v>
      </c>
      <c r="K1026" t="str">
        <f t="shared" si="129"/>
        <v xml:space="preserve">2305 </v>
      </c>
      <c r="L1026" t="str">
        <f t="shared" si="130"/>
        <v>Plat12</v>
      </c>
      <c r="M1026" s="8" t="str">
        <f t="shared" si="131"/>
        <v>12</v>
      </c>
      <c r="N1026" t="s">
        <v>2975</v>
      </c>
      <c r="O1026" t="s">
        <v>3039</v>
      </c>
      <c r="P1026" t="s">
        <v>3040</v>
      </c>
      <c r="Q1026" t="s">
        <v>2978</v>
      </c>
      <c r="R1026" t="s">
        <v>1298</v>
      </c>
      <c r="S1026" t="s">
        <v>2979</v>
      </c>
      <c r="T1026" t="s">
        <v>2980</v>
      </c>
      <c r="U1026" t="s">
        <v>2981</v>
      </c>
      <c r="V1026" t="s">
        <v>2982</v>
      </c>
      <c r="W1026" t="s">
        <v>1254</v>
      </c>
    </row>
    <row r="1027" spans="2:24" ht="15" customHeight="1" x14ac:dyDescent="0.25">
      <c r="B1027" s="3" t="s">
        <v>1621</v>
      </c>
      <c r="C1027" s="1" t="s">
        <v>2911</v>
      </c>
      <c r="D1027" s="2" t="s">
        <v>1372</v>
      </c>
      <c r="E1027" s="1" t="s">
        <v>1156</v>
      </c>
      <c r="F1027" s="2" t="s">
        <v>1058</v>
      </c>
      <c r="G1027" s="1" t="s">
        <v>2912</v>
      </c>
      <c r="H1027" s="1" t="s">
        <v>1046</v>
      </c>
      <c r="I1027" s="13" t="str">
        <f t="shared" si="127"/>
        <v>1K</v>
      </c>
      <c r="J1027" t="str">
        <f t="shared" si="128"/>
        <v xml:space="preserve">2303 </v>
      </c>
      <c r="K1027" t="str">
        <f t="shared" si="129"/>
        <v xml:space="preserve">2307 </v>
      </c>
      <c r="L1027" t="str">
        <f t="shared" si="130"/>
        <v>Plat10</v>
      </c>
      <c r="M1027" s="8" t="str">
        <f t="shared" si="131"/>
        <v>10</v>
      </c>
      <c r="N1027" s="4" t="s">
        <v>1044</v>
      </c>
      <c r="O1027" s="4" t="s">
        <v>3019</v>
      </c>
      <c r="P1027" s="4" t="s">
        <v>3020</v>
      </c>
      <c r="Q1027" s="4" t="s">
        <v>3021</v>
      </c>
      <c r="R1027" s="4" t="s">
        <v>3022</v>
      </c>
      <c r="S1027" s="4" t="s">
        <v>3023</v>
      </c>
      <c r="T1027" s="4" t="s">
        <v>3024</v>
      </c>
      <c r="U1027" s="4" t="s">
        <v>3025</v>
      </c>
      <c r="V1027" s="4" t="s">
        <v>1058</v>
      </c>
    </row>
    <row r="1028" spans="2:24" ht="15" customHeight="1" x14ac:dyDescent="0.25">
      <c r="B1028" s="3" t="s">
        <v>1755</v>
      </c>
      <c r="C1028" s="1"/>
      <c r="D1028" s="1" t="s">
        <v>1037</v>
      </c>
      <c r="E1028" s="1" t="s">
        <v>1061</v>
      </c>
      <c r="F1028" s="2" t="s">
        <v>1074</v>
      </c>
      <c r="G1028" s="1" t="s">
        <v>2912</v>
      </c>
      <c r="H1028" s="1" t="s">
        <v>1040</v>
      </c>
      <c r="I1028" s="13" t="str">
        <f t="shared" si="127"/>
        <v>2N</v>
      </c>
      <c r="J1028" t="str">
        <f t="shared" si="128"/>
        <v/>
      </c>
      <c r="K1028" t="str">
        <f t="shared" si="129"/>
        <v xml:space="preserve">2307 </v>
      </c>
      <c r="L1028" t="str">
        <f t="shared" si="130"/>
        <v>Plat 2</v>
      </c>
      <c r="M1028" s="8" t="str">
        <f t="shared" si="131"/>
        <v xml:space="preserve"> 2</v>
      </c>
      <c r="N1028" s="4" t="s">
        <v>3010</v>
      </c>
      <c r="O1028" s="15" t="s">
        <v>3011</v>
      </c>
    </row>
    <row r="1029" spans="2:24" ht="15" customHeight="1" x14ac:dyDescent="0.25">
      <c r="B1029" s="3" t="s">
        <v>2913</v>
      </c>
      <c r="C1029" s="1" t="s">
        <v>964</v>
      </c>
      <c r="D1029" s="2" t="s">
        <v>1058</v>
      </c>
      <c r="E1029" s="1" t="s">
        <v>1054</v>
      </c>
      <c r="F1029" s="2" t="s">
        <v>1372</v>
      </c>
      <c r="G1029" s="1" t="s">
        <v>2914</v>
      </c>
      <c r="H1029" s="1" t="s">
        <v>1046</v>
      </c>
      <c r="I1029" s="13" t="str">
        <f t="shared" si="127"/>
        <v>1K</v>
      </c>
      <c r="J1029" t="str">
        <f t="shared" si="128"/>
        <v xml:space="preserve">2306 </v>
      </c>
      <c r="K1029" t="str">
        <f t="shared" si="129"/>
        <v xml:space="preserve">2308 </v>
      </c>
      <c r="L1029" t="str">
        <f t="shared" si="130"/>
        <v>Plat 5</v>
      </c>
      <c r="M1029" s="8" t="str">
        <f t="shared" si="131"/>
        <v xml:space="preserve"> 5</v>
      </c>
      <c r="N1029" s="4" t="s">
        <v>1372</v>
      </c>
      <c r="O1029"/>
    </row>
    <row r="1030" spans="2:24" ht="15" customHeight="1" x14ac:dyDescent="0.25">
      <c r="B1030" s="3" t="s">
        <v>2915</v>
      </c>
      <c r="C1030" s="1">
        <v>2308</v>
      </c>
      <c r="D1030" s="2" t="s">
        <v>1372</v>
      </c>
      <c r="E1030" s="1" t="s">
        <v>1156</v>
      </c>
      <c r="F1030" s="2" t="s">
        <v>1066</v>
      </c>
      <c r="G1030" s="1" t="s">
        <v>2916</v>
      </c>
      <c r="H1030" s="1" t="s">
        <v>1046</v>
      </c>
      <c r="I1030" s="13" t="str">
        <f t="shared" si="127"/>
        <v>1P</v>
      </c>
      <c r="J1030" t="str">
        <f t="shared" si="128"/>
        <v>2308</v>
      </c>
      <c r="K1030" t="str">
        <f t="shared" si="129"/>
        <v>2310½</v>
      </c>
      <c r="L1030" t="str">
        <f t="shared" si="130"/>
        <v>Plat10</v>
      </c>
      <c r="M1030" s="8" t="str">
        <f t="shared" si="131"/>
        <v>10</v>
      </c>
      <c r="N1030" t="s">
        <v>1473</v>
      </c>
      <c r="O1030" t="s">
        <v>1091</v>
      </c>
      <c r="P1030" t="s">
        <v>3006</v>
      </c>
      <c r="Q1030" t="s">
        <v>1242</v>
      </c>
      <c r="R1030" t="s">
        <v>1501</v>
      </c>
      <c r="S1030" t="s">
        <v>3052</v>
      </c>
      <c r="T1030" t="s">
        <v>1066</v>
      </c>
    </row>
    <row r="1031" spans="2:24" ht="15" customHeight="1" x14ac:dyDescent="0.25">
      <c r="B1031" s="3" t="s">
        <v>2917</v>
      </c>
      <c r="C1031" s="1" t="s">
        <v>967</v>
      </c>
      <c r="D1031" s="2" t="s">
        <v>1304</v>
      </c>
      <c r="E1031" s="1" t="s">
        <v>1054</v>
      </c>
      <c r="F1031" s="2" t="s">
        <v>1372</v>
      </c>
      <c r="G1031" s="1" t="s">
        <v>2918</v>
      </c>
      <c r="H1031" s="1" t="s">
        <v>1046</v>
      </c>
      <c r="I1031" s="13" t="str">
        <f t="shared" si="127"/>
        <v>1F</v>
      </c>
      <c r="J1031" t="str">
        <f t="shared" si="128"/>
        <v xml:space="preserve">2310 </v>
      </c>
      <c r="K1031" t="str">
        <f t="shared" si="129"/>
        <v xml:space="preserve">2312 </v>
      </c>
      <c r="L1031" t="str">
        <f t="shared" si="130"/>
        <v>Plat 5</v>
      </c>
      <c r="M1031" s="8" t="str">
        <f t="shared" si="131"/>
        <v xml:space="preserve"> 5</v>
      </c>
      <c r="N1031" s="4" t="s">
        <v>1372</v>
      </c>
      <c r="O1031"/>
    </row>
    <row r="1032" spans="2:24" ht="15" customHeight="1" x14ac:dyDescent="0.25">
      <c r="B1032" s="3" t="s">
        <v>1289</v>
      </c>
      <c r="C1032" s="1" t="s">
        <v>2919</v>
      </c>
      <c r="D1032" s="2" t="s">
        <v>1372</v>
      </c>
      <c r="E1032" s="1" t="s">
        <v>1043</v>
      </c>
      <c r="F1032" s="2" t="s">
        <v>1044</v>
      </c>
      <c r="G1032" s="1" t="s">
        <v>2920</v>
      </c>
      <c r="H1032" s="1" t="s">
        <v>1046</v>
      </c>
      <c r="I1032" s="13" t="str">
        <f t="shared" si="127"/>
        <v>2W</v>
      </c>
      <c r="J1032" t="str">
        <f t="shared" si="128"/>
        <v>2308½</v>
      </c>
      <c r="K1032" t="str">
        <f t="shared" si="129"/>
        <v>2313½</v>
      </c>
      <c r="L1032" t="str">
        <f t="shared" si="130"/>
        <v>Plat 8</v>
      </c>
      <c r="M1032" s="8" t="str">
        <f t="shared" si="131"/>
        <v xml:space="preserve"> 8</v>
      </c>
      <c r="N1032" s="4" t="s">
        <v>3012</v>
      </c>
      <c r="O1032" s="4" t="s">
        <v>3013</v>
      </c>
      <c r="P1032" s="4" t="s">
        <v>1181</v>
      </c>
      <c r="Q1032" s="4" t="s">
        <v>3014</v>
      </c>
      <c r="R1032" s="4" t="s">
        <v>3015</v>
      </c>
      <c r="S1032" s="4" t="s">
        <v>3016</v>
      </c>
      <c r="T1032" s="4" t="s">
        <v>3004</v>
      </c>
      <c r="U1032" s="4" t="s">
        <v>1161</v>
      </c>
      <c r="V1032" s="4" t="s">
        <v>3017</v>
      </c>
      <c r="W1032" s="4" t="s">
        <v>3018</v>
      </c>
      <c r="X1032" s="4" t="s">
        <v>1044</v>
      </c>
    </row>
    <row r="1033" spans="2:24" ht="15" customHeight="1" x14ac:dyDescent="0.25">
      <c r="B1033" s="3" t="s">
        <v>1768</v>
      </c>
      <c r="C1033" s="1" t="s">
        <v>2921</v>
      </c>
      <c r="D1033" s="2" t="s">
        <v>1074</v>
      </c>
      <c r="E1033" s="1" t="s">
        <v>1075</v>
      </c>
      <c r="F1033" s="1" t="s">
        <v>1051</v>
      </c>
      <c r="G1033" s="1"/>
      <c r="H1033" s="1" t="s">
        <v>1040</v>
      </c>
      <c r="I1033" s="13" t="str">
        <f t="shared" si="127"/>
        <v>2N</v>
      </c>
      <c r="J1033" t="str">
        <f t="shared" si="128"/>
        <v xml:space="preserve">2314 </v>
      </c>
      <c r="K1033" t="str">
        <f t="shared" si="129"/>
        <v/>
      </c>
      <c r="L1033" t="str">
        <f t="shared" si="130"/>
        <v>Plat 2</v>
      </c>
      <c r="M1033" s="8" t="str">
        <f t="shared" si="131"/>
        <v xml:space="preserve"> 2</v>
      </c>
      <c r="O1033"/>
    </row>
    <row r="1034" spans="2:24" ht="15" customHeight="1" x14ac:dyDescent="0.25">
      <c r="B1034" s="3" t="s">
        <v>2922</v>
      </c>
      <c r="C1034" s="1"/>
      <c r="D1034" s="1" t="s">
        <v>1037</v>
      </c>
      <c r="E1034" s="1" t="s">
        <v>1038</v>
      </c>
      <c r="F1034" s="2" t="s">
        <v>1039</v>
      </c>
      <c r="G1034" s="1" t="s">
        <v>971</v>
      </c>
      <c r="H1034" s="1" t="s">
        <v>1040</v>
      </c>
      <c r="I1034" s="13" t="str">
        <f t="shared" si="127"/>
        <v>2Y</v>
      </c>
      <c r="J1034" t="str">
        <f t="shared" si="128"/>
        <v/>
      </c>
      <c r="K1034" t="str">
        <f t="shared" si="129"/>
        <v xml:space="preserve">2315 </v>
      </c>
      <c r="L1034" t="str">
        <f t="shared" si="130"/>
        <v>Plat 1</v>
      </c>
      <c r="M1034" s="8" t="str">
        <f t="shared" si="131"/>
        <v xml:space="preserve"> 1</v>
      </c>
      <c r="N1034" s="4" t="s">
        <v>3010</v>
      </c>
      <c r="O1034" s="15" t="s">
        <v>3011</v>
      </c>
    </row>
    <row r="1035" spans="2:24" ht="15" customHeight="1" x14ac:dyDescent="0.25">
      <c r="B1035" s="3" t="s">
        <v>2923</v>
      </c>
      <c r="C1035" s="1"/>
      <c r="D1035" s="1" t="s">
        <v>1037</v>
      </c>
      <c r="E1035" s="1" t="s">
        <v>2148</v>
      </c>
      <c r="F1035" s="2" t="s">
        <v>1079</v>
      </c>
      <c r="G1035" s="1" t="s">
        <v>971</v>
      </c>
      <c r="H1035" s="1" t="s">
        <v>1046</v>
      </c>
      <c r="I1035" s="13" t="str">
        <f t="shared" si="127"/>
        <v>2O</v>
      </c>
      <c r="J1035" t="str">
        <f t="shared" si="128"/>
        <v/>
      </c>
      <c r="K1035" t="str">
        <f t="shared" si="129"/>
        <v xml:space="preserve">2315 </v>
      </c>
      <c r="L1035" t="str">
        <f t="shared" si="130"/>
        <v>Plat11</v>
      </c>
      <c r="M1035" s="8" t="str">
        <f t="shared" si="131"/>
        <v>11</v>
      </c>
      <c r="N1035" t="s">
        <v>2975</v>
      </c>
      <c r="O1035" t="s">
        <v>2976</v>
      </c>
      <c r="P1035" t="s">
        <v>2977</v>
      </c>
      <c r="Q1035" t="s">
        <v>3040</v>
      </c>
      <c r="R1035" t="s">
        <v>3042</v>
      </c>
      <c r="S1035" t="s">
        <v>2978</v>
      </c>
      <c r="T1035" t="s">
        <v>1298</v>
      </c>
      <c r="U1035" t="s">
        <v>3049</v>
      </c>
      <c r="V1035" t="s">
        <v>3050</v>
      </c>
      <c r="W1035" t="s">
        <v>3051</v>
      </c>
      <c r="X1035" t="s">
        <v>1079</v>
      </c>
    </row>
    <row r="1036" spans="2:24" ht="15" customHeight="1" x14ac:dyDescent="0.25">
      <c r="B1036" s="3" t="s">
        <v>879</v>
      </c>
      <c r="C1036" s="1" t="s">
        <v>2924</v>
      </c>
      <c r="D1036" s="2" t="s">
        <v>1372</v>
      </c>
      <c r="E1036" s="1" t="s">
        <v>1156</v>
      </c>
      <c r="F1036" s="2" t="s">
        <v>1091</v>
      </c>
      <c r="G1036" s="1" t="s">
        <v>2925</v>
      </c>
      <c r="H1036" s="1" t="s">
        <v>1046</v>
      </c>
      <c r="I1036" s="13" t="str">
        <f t="shared" si="127"/>
        <v>1F</v>
      </c>
      <c r="J1036" t="str">
        <f t="shared" si="128"/>
        <v>2314½</v>
      </c>
      <c r="K1036" t="str">
        <f t="shared" si="129"/>
        <v>2317½</v>
      </c>
      <c r="L1036" t="str">
        <f t="shared" si="130"/>
        <v>Plat10</v>
      </c>
      <c r="M1036" s="8" t="str">
        <f t="shared" si="131"/>
        <v>10</v>
      </c>
      <c r="N1036" s="4" t="s">
        <v>1044</v>
      </c>
      <c r="O1036" s="4" t="s">
        <v>2999</v>
      </c>
      <c r="P1036" s="4" t="s">
        <v>1473</v>
      </c>
      <c r="Q1036" s="4" t="s">
        <v>3000</v>
      </c>
      <c r="R1036" s="4" t="s">
        <v>3001</v>
      </c>
      <c r="S1036" s="4" t="s">
        <v>3002</v>
      </c>
      <c r="T1036" s="4" t="s">
        <v>3003</v>
      </c>
      <c r="U1036" s="4" t="s">
        <v>1091</v>
      </c>
    </row>
    <row r="1037" spans="2:24" ht="15" customHeight="1" x14ac:dyDescent="0.25">
      <c r="B1037" s="3" t="s">
        <v>1216</v>
      </c>
      <c r="C1037" s="1" t="s">
        <v>976</v>
      </c>
      <c r="D1037" s="2" t="s">
        <v>1044</v>
      </c>
      <c r="E1037" s="1" t="s">
        <v>1054</v>
      </c>
      <c r="F1037" s="2" t="s">
        <v>1372</v>
      </c>
      <c r="G1037" s="1" t="s">
        <v>2926</v>
      </c>
      <c r="H1037" s="1" t="s">
        <v>1046</v>
      </c>
      <c r="I1037" s="13" t="str">
        <f t="shared" si="127"/>
        <v>2W</v>
      </c>
      <c r="J1037" t="str">
        <f t="shared" si="128"/>
        <v xml:space="preserve">2317 </v>
      </c>
      <c r="K1037" t="str">
        <f t="shared" si="129"/>
        <v xml:space="preserve">2319 </v>
      </c>
      <c r="L1037" t="str">
        <f t="shared" si="130"/>
        <v>Plat 5</v>
      </c>
      <c r="M1037" s="8" t="str">
        <f t="shared" si="131"/>
        <v xml:space="preserve"> 5</v>
      </c>
      <c r="N1037" s="4" t="s">
        <v>1372</v>
      </c>
      <c r="O1037"/>
    </row>
    <row r="1038" spans="2:24" ht="15" customHeight="1" x14ac:dyDescent="0.25">
      <c r="B1038" s="3" t="s">
        <v>2927</v>
      </c>
      <c r="C1038" s="1" t="s">
        <v>2928</v>
      </c>
      <c r="D1038" s="2" t="s">
        <v>1039</v>
      </c>
      <c r="E1038" s="1" t="s">
        <v>1050</v>
      </c>
      <c r="F1038" s="1" t="s">
        <v>1051</v>
      </c>
      <c r="G1038" s="1"/>
      <c r="H1038" s="1" t="s">
        <v>1040</v>
      </c>
      <c r="I1038" s="13" t="str">
        <f t="shared" si="127"/>
        <v>2L</v>
      </c>
      <c r="J1038" t="str">
        <f t="shared" si="128"/>
        <v xml:space="preserve">2319 </v>
      </c>
      <c r="K1038" t="str">
        <f t="shared" si="129"/>
        <v/>
      </c>
      <c r="L1038" t="str">
        <f t="shared" si="130"/>
        <v>Plat 1</v>
      </c>
      <c r="M1038" s="8" t="str">
        <f t="shared" si="131"/>
        <v xml:space="preserve"> 1</v>
      </c>
      <c r="O1038"/>
    </row>
    <row r="1039" spans="2:24" ht="15" customHeight="1" x14ac:dyDescent="0.25">
      <c r="B1039" s="3" t="s">
        <v>1779</v>
      </c>
      <c r="C1039" s="1"/>
      <c r="D1039" s="1" t="s">
        <v>1037</v>
      </c>
      <c r="E1039" s="1" t="s">
        <v>1061</v>
      </c>
      <c r="F1039" s="2" t="s">
        <v>1074</v>
      </c>
      <c r="G1039" s="1" t="s">
        <v>982</v>
      </c>
      <c r="H1039" s="1" t="s">
        <v>1040</v>
      </c>
      <c r="I1039" s="13" t="str">
        <f t="shared" si="127"/>
        <v>2N</v>
      </c>
      <c r="J1039" t="str">
        <f t="shared" si="128"/>
        <v/>
      </c>
      <c r="K1039" t="str">
        <f t="shared" si="129"/>
        <v xml:space="preserve">2322 </v>
      </c>
      <c r="L1039" t="str">
        <f t="shared" si="130"/>
        <v>Plat 2</v>
      </c>
      <c r="M1039" s="8" t="str">
        <f t="shared" si="131"/>
        <v xml:space="preserve"> 2</v>
      </c>
      <c r="N1039" s="4" t="s">
        <v>3010</v>
      </c>
      <c r="O1039" s="15" t="s">
        <v>3011</v>
      </c>
    </row>
    <row r="1040" spans="2:24" ht="15" customHeight="1" x14ac:dyDescent="0.25">
      <c r="B1040" s="3" t="s">
        <v>1671</v>
      </c>
      <c r="C1040" s="1" t="s">
        <v>2929</v>
      </c>
      <c r="D1040" s="2" t="s">
        <v>1372</v>
      </c>
      <c r="E1040" s="1" t="s">
        <v>1156</v>
      </c>
      <c r="F1040" s="2" t="s">
        <v>1058</v>
      </c>
      <c r="G1040" s="1" t="s">
        <v>982</v>
      </c>
      <c r="H1040" s="1" t="s">
        <v>1046</v>
      </c>
      <c r="I1040" s="13" t="str">
        <f t="shared" si="127"/>
        <v>1K</v>
      </c>
      <c r="J1040" t="str">
        <f t="shared" si="128"/>
        <v xml:space="preserve">2318 </v>
      </c>
      <c r="K1040" t="str">
        <f t="shared" si="129"/>
        <v xml:space="preserve">2322 </v>
      </c>
      <c r="L1040" t="str">
        <f t="shared" si="130"/>
        <v>Plat10</v>
      </c>
      <c r="M1040" s="8" t="str">
        <f t="shared" si="131"/>
        <v>10</v>
      </c>
      <c r="N1040" s="4" t="s">
        <v>1044</v>
      </c>
      <c r="O1040" s="4" t="s">
        <v>3019</v>
      </c>
      <c r="P1040" s="4" t="s">
        <v>3020</v>
      </c>
      <c r="Q1040" s="4" t="s">
        <v>3021</v>
      </c>
      <c r="R1040" s="4" t="s">
        <v>3022</v>
      </c>
      <c r="S1040" s="4" t="s">
        <v>3023</v>
      </c>
      <c r="T1040" s="4" t="s">
        <v>3024</v>
      </c>
      <c r="U1040" s="4" t="s">
        <v>3025</v>
      </c>
      <c r="V1040" s="4" t="s">
        <v>1058</v>
      </c>
    </row>
    <row r="1041" spans="2:29" ht="15" customHeight="1" x14ac:dyDescent="0.25">
      <c r="B1041" s="3" t="s">
        <v>1310</v>
      </c>
      <c r="C1041" s="1" t="s">
        <v>2930</v>
      </c>
      <c r="D1041" s="2" t="s">
        <v>1372</v>
      </c>
      <c r="E1041" s="1" t="s">
        <v>1043</v>
      </c>
      <c r="F1041" s="2" t="s">
        <v>1044</v>
      </c>
      <c r="G1041" s="1" t="s">
        <v>2931</v>
      </c>
      <c r="H1041" s="1" t="s">
        <v>1046</v>
      </c>
      <c r="I1041" s="13" t="str">
        <f t="shared" si="127"/>
        <v>2W</v>
      </c>
      <c r="J1041" t="str">
        <f t="shared" si="128"/>
        <v>2318½</v>
      </c>
      <c r="K1041" t="str">
        <f t="shared" si="129"/>
        <v>2323½</v>
      </c>
      <c r="L1041" t="str">
        <f t="shared" si="130"/>
        <v>Plat 8</v>
      </c>
      <c r="M1041" s="8" t="str">
        <f t="shared" si="131"/>
        <v xml:space="preserve"> 8</v>
      </c>
      <c r="N1041" s="4" t="s">
        <v>3012</v>
      </c>
      <c r="O1041" s="4" t="s">
        <v>3013</v>
      </c>
      <c r="P1041" s="4" t="s">
        <v>1181</v>
      </c>
      <c r="Q1041" s="4" t="s">
        <v>3014</v>
      </c>
      <c r="R1041" s="4" t="s">
        <v>3015</v>
      </c>
      <c r="S1041" s="4" t="s">
        <v>3016</v>
      </c>
      <c r="T1041" s="4" t="s">
        <v>3004</v>
      </c>
      <c r="U1041" s="4" t="s">
        <v>1161</v>
      </c>
      <c r="V1041" s="4" t="s">
        <v>3017</v>
      </c>
      <c r="W1041" s="4" t="s">
        <v>3018</v>
      </c>
      <c r="X1041" s="4" t="s">
        <v>1044</v>
      </c>
    </row>
    <row r="1042" spans="2:29" ht="15" customHeight="1" x14ac:dyDescent="0.25">
      <c r="B1042" s="3" t="s">
        <v>1818</v>
      </c>
      <c r="C1042" s="1" t="s">
        <v>982</v>
      </c>
      <c r="D1042" s="2" t="s">
        <v>1058</v>
      </c>
      <c r="E1042" s="1" t="s">
        <v>1054</v>
      </c>
      <c r="F1042" s="2" t="s">
        <v>1372</v>
      </c>
      <c r="G1042" s="1" t="s">
        <v>2932</v>
      </c>
      <c r="H1042" s="1" t="s">
        <v>1046</v>
      </c>
      <c r="I1042" s="13" t="str">
        <f t="shared" si="127"/>
        <v>1K</v>
      </c>
      <c r="J1042" t="str">
        <f t="shared" si="128"/>
        <v xml:space="preserve">2322 </v>
      </c>
      <c r="K1042" t="str">
        <f t="shared" si="129"/>
        <v xml:space="preserve">2324 </v>
      </c>
      <c r="L1042" t="str">
        <f t="shared" si="130"/>
        <v>Plat 5</v>
      </c>
      <c r="M1042" s="8" t="str">
        <f t="shared" si="131"/>
        <v xml:space="preserve"> 5</v>
      </c>
      <c r="N1042" s="4" t="s">
        <v>1372</v>
      </c>
      <c r="O1042"/>
    </row>
    <row r="1043" spans="2:29" ht="15" customHeight="1" x14ac:dyDescent="0.25">
      <c r="B1043" s="3" t="s">
        <v>2933</v>
      </c>
      <c r="C1043" s="1" t="s">
        <v>980</v>
      </c>
      <c r="D1043" s="2" t="s">
        <v>1079</v>
      </c>
      <c r="E1043" s="1" t="s">
        <v>2148</v>
      </c>
      <c r="F1043" s="1" t="s">
        <v>1051</v>
      </c>
      <c r="G1043" s="1"/>
      <c r="H1043" s="1" t="s">
        <v>1046</v>
      </c>
      <c r="I1043" s="13" t="str">
        <f t="shared" si="127"/>
        <v>2O</v>
      </c>
      <c r="J1043" t="str">
        <f t="shared" si="128"/>
        <v xml:space="preserve">2325 </v>
      </c>
      <c r="K1043" t="str">
        <f t="shared" si="129"/>
        <v/>
      </c>
      <c r="L1043" t="str">
        <f t="shared" si="130"/>
        <v>Plat11</v>
      </c>
      <c r="M1043" s="8" t="str">
        <f t="shared" si="131"/>
        <v>11</v>
      </c>
      <c r="O1043"/>
    </row>
    <row r="1044" spans="2:29" ht="15" customHeight="1" x14ac:dyDescent="0.25">
      <c r="B1044" s="3" t="s">
        <v>2934</v>
      </c>
      <c r="C1044" s="1" t="s">
        <v>977</v>
      </c>
      <c r="D1044" s="2" t="s">
        <v>1372</v>
      </c>
      <c r="E1044" s="1" t="s">
        <v>2272</v>
      </c>
      <c r="F1044" s="2" t="s">
        <v>1097</v>
      </c>
      <c r="G1044" s="1" t="s">
        <v>980</v>
      </c>
      <c r="H1044" s="1" t="s">
        <v>1046</v>
      </c>
      <c r="I1044" s="13" t="str">
        <f t="shared" si="127"/>
        <v>2H</v>
      </c>
      <c r="J1044" t="str">
        <f t="shared" si="128"/>
        <v xml:space="preserve">2321 </v>
      </c>
      <c r="K1044" t="str">
        <f t="shared" si="129"/>
        <v xml:space="preserve">2325 </v>
      </c>
      <c r="L1044" t="str">
        <f t="shared" si="130"/>
        <v>Plat12</v>
      </c>
      <c r="M1044" s="8" t="str">
        <f t="shared" si="131"/>
        <v>12</v>
      </c>
      <c r="N1044" t="s">
        <v>2975</v>
      </c>
      <c r="O1044" t="s">
        <v>2978</v>
      </c>
      <c r="P1044" t="s">
        <v>1298</v>
      </c>
      <c r="Q1044" t="s">
        <v>2979</v>
      </c>
      <c r="R1044" t="s">
        <v>2980</v>
      </c>
      <c r="S1044" t="s">
        <v>2981</v>
      </c>
      <c r="T1044" t="s">
        <v>2982</v>
      </c>
      <c r="U1044" t="s">
        <v>1254</v>
      </c>
      <c r="V1044" t="s">
        <v>2983</v>
      </c>
      <c r="W1044" t="s">
        <v>2993</v>
      </c>
      <c r="X1044" t="s">
        <v>2994</v>
      </c>
      <c r="Y1044" t="s">
        <v>2995</v>
      </c>
      <c r="Z1044" t="s">
        <v>2996</v>
      </c>
      <c r="AA1044" t="s">
        <v>2997</v>
      </c>
      <c r="AB1044" t="s">
        <v>2998</v>
      </c>
      <c r="AC1044" t="s">
        <v>1097</v>
      </c>
    </row>
    <row r="1045" spans="2:29" ht="15" customHeight="1" x14ac:dyDescent="0.25">
      <c r="B1045" s="3" t="s">
        <v>2935</v>
      </c>
      <c r="C1045" s="1" t="s">
        <v>2936</v>
      </c>
      <c r="D1045" s="2" t="s">
        <v>1372</v>
      </c>
      <c r="E1045" s="1" t="s">
        <v>1156</v>
      </c>
      <c r="F1045" s="2" t="s">
        <v>1185</v>
      </c>
      <c r="G1045" s="1" t="s">
        <v>980</v>
      </c>
      <c r="H1045" s="1" t="s">
        <v>1046</v>
      </c>
      <c r="I1045" s="13" t="str">
        <f t="shared" si="127"/>
        <v>1N</v>
      </c>
      <c r="J1045" t="str">
        <f t="shared" si="128"/>
        <v>2323½</v>
      </c>
      <c r="K1045" t="str">
        <f t="shared" si="129"/>
        <v xml:space="preserve">2325 </v>
      </c>
      <c r="L1045" t="str">
        <f t="shared" si="130"/>
        <v>Plat10</v>
      </c>
      <c r="M1045" s="8" t="str">
        <f t="shared" si="131"/>
        <v>10</v>
      </c>
      <c r="N1045" t="s">
        <v>1044</v>
      </c>
      <c r="O1045" t="s">
        <v>2999</v>
      </c>
      <c r="P1045" t="s">
        <v>1473</v>
      </c>
      <c r="Q1045" t="s">
        <v>3001</v>
      </c>
      <c r="R1045" t="s">
        <v>3003</v>
      </c>
      <c r="S1045" t="s">
        <v>1091</v>
      </c>
      <c r="T1045" t="s">
        <v>3031</v>
      </c>
      <c r="U1045" t="s">
        <v>3046</v>
      </c>
      <c r="V1045" t="s">
        <v>3047</v>
      </c>
    </row>
    <row r="1046" spans="2:29" ht="15" customHeight="1" x14ac:dyDescent="0.25">
      <c r="B1046" s="3" t="s">
        <v>2937</v>
      </c>
      <c r="C1046" s="1" t="s">
        <v>983</v>
      </c>
      <c r="D1046" s="2" t="s">
        <v>1185</v>
      </c>
      <c r="E1046" s="1" t="s">
        <v>1054</v>
      </c>
      <c r="F1046" s="2" t="s">
        <v>1372</v>
      </c>
      <c r="G1046" s="1" t="s">
        <v>2938</v>
      </c>
      <c r="H1046" s="1" t="s">
        <v>1046</v>
      </c>
      <c r="I1046" s="13" t="str">
        <f t="shared" si="127"/>
        <v>1N</v>
      </c>
      <c r="J1046" t="str">
        <f t="shared" si="128"/>
        <v xml:space="preserve">2326 </v>
      </c>
      <c r="K1046" t="str">
        <f t="shared" si="129"/>
        <v xml:space="preserve">2328 </v>
      </c>
      <c r="L1046" t="str">
        <f t="shared" si="130"/>
        <v>Plat 5</v>
      </c>
      <c r="M1046" s="8" t="str">
        <f t="shared" si="131"/>
        <v xml:space="preserve"> 5</v>
      </c>
      <c r="N1046" s="4" t="s">
        <v>1372</v>
      </c>
      <c r="O1046"/>
    </row>
    <row r="1047" spans="2:29" ht="15" customHeight="1" x14ac:dyDescent="0.25">
      <c r="B1047" s="3" t="s">
        <v>1787</v>
      </c>
      <c r="C1047" s="1" t="s">
        <v>2939</v>
      </c>
      <c r="D1047" s="2" t="s">
        <v>1074</v>
      </c>
      <c r="E1047" s="1" t="s">
        <v>1075</v>
      </c>
      <c r="F1047" s="1" t="s">
        <v>1051</v>
      </c>
      <c r="G1047" s="1"/>
      <c r="H1047" s="1" t="s">
        <v>1040</v>
      </c>
      <c r="I1047" s="13" t="str">
        <f t="shared" si="127"/>
        <v>2N</v>
      </c>
      <c r="J1047" t="str">
        <f t="shared" si="128"/>
        <v xml:space="preserve">2329 </v>
      </c>
      <c r="K1047" t="str">
        <f t="shared" si="129"/>
        <v/>
      </c>
      <c r="L1047" t="str">
        <f t="shared" si="130"/>
        <v>Plat 2</v>
      </c>
      <c r="M1047" s="8" t="str">
        <f t="shared" si="131"/>
        <v xml:space="preserve"> 2</v>
      </c>
      <c r="O1047"/>
    </row>
    <row r="1048" spans="2:29" ht="15" customHeight="1" x14ac:dyDescent="0.25">
      <c r="B1048" s="3" t="s">
        <v>2940</v>
      </c>
      <c r="C1048" s="1"/>
      <c r="D1048" s="1" t="s">
        <v>1037</v>
      </c>
      <c r="E1048" s="1" t="s">
        <v>1038</v>
      </c>
      <c r="F1048" s="2" t="s">
        <v>1039</v>
      </c>
      <c r="G1048" s="1" t="s">
        <v>985</v>
      </c>
      <c r="H1048" s="1" t="s">
        <v>1040</v>
      </c>
      <c r="I1048" s="13" t="str">
        <f t="shared" si="127"/>
        <v>2Y</v>
      </c>
      <c r="J1048" t="str">
        <f t="shared" si="128"/>
        <v/>
      </c>
      <c r="K1048" t="str">
        <f t="shared" si="129"/>
        <v xml:space="preserve">2330 </v>
      </c>
      <c r="L1048" t="str">
        <f t="shared" si="130"/>
        <v>Plat 1</v>
      </c>
      <c r="M1048" s="8" t="str">
        <f t="shared" si="131"/>
        <v xml:space="preserve"> 1</v>
      </c>
      <c r="N1048" s="4" t="s">
        <v>3010</v>
      </c>
      <c r="O1048" s="15" t="s">
        <v>3011</v>
      </c>
    </row>
    <row r="1049" spans="2:29" ht="15" customHeight="1" x14ac:dyDescent="0.25">
      <c r="B1049" s="3" t="s">
        <v>2334</v>
      </c>
      <c r="C1049" s="1"/>
      <c r="D1049" s="1" t="s">
        <v>1037</v>
      </c>
      <c r="E1049" s="1" t="s">
        <v>1054</v>
      </c>
      <c r="F1049" s="2" t="s">
        <v>1372</v>
      </c>
      <c r="G1049" s="1" t="s">
        <v>2941</v>
      </c>
      <c r="H1049" s="1" t="s">
        <v>1046</v>
      </c>
      <c r="I1049" s="13" t="str">
        <f t="shared" si="127"/>
        <v>2C</v>
      </c>
      <c r="J1049" t="str">
        <f t="shared" si="128"/>
        <v/>
      </c>
      <c r="K1049" t="str">
        <f t="shared" si="129"/>
        <v xml:space="preserve">2332 </v>
      </c>
      <c r="L1049" t="str">
        <f t="shared" si="130"/>
        <v>Plat 5</v>
      </c>
      <c r="M1049" s="8" t="str">
        <f t="shared" si="131"/>
        <v xml:space="preserve"> 5</v>
      </c>
      <c r="N1049" s="4" t="s">
        <v>1372</v>
      </c>
      <c r="O1049"/>
    </row>
    <row r="1050" spans="2:29" ht="15" customHeight="1" x14ac:dyDescent="0.25">
      <c r="B1050" s="3" t="s">
        <v>1326</v>
      </c>
      <c r="C1050" s="1" t="s">
        <v>2942</v>
      </c>
      <c r="D1050" s="2" t="s">
        <v>1372</v>
      </c>
      <c r="E1050" s="1" t="s">
        <v>1043</v>
      </c>
      <c r="F1050" s="2" t="s">
        <v>1044</v>
      </c>
      <c r="G1050" s="1" t="s">
        <v>2943</v>
      </c>
      <c r="H1050" s="1" t="s">
        <v>1046</v>
      </c>
      <c r="I1050" s="13" t="str">
        <f t="shared" si="127"/>
        <v>2W</v>
      </c>
      <c r="J1050" t="str">
        <f t="shared" si="128"/>
        <v>2328½</v>
      </c>
      <c r="K1050" t="str">
        <f t="shared" si="129"/>
        <v>2333½</v>
      </c>
      <c r="L1050" t="str">
        <f t="shared" si="130"/>
        <v>Plat 8</v>
      </c>
      <c r="M1050" s="8" t="str">
        <f t="shared" si="131"/>
        <v xml:space="preserve"> 8</v>
      </c>
      <c r="N1050" s="4" t="s">
        <v>3012</v>
      </c>
      <c r="O1050" s="4" t="s">
        <v>3013</v>
      </c>
      <c r="P1050" s="4" t="s">
        <v>1181</v>
      </c>
      <c r="Q1050" s="4" t="s">
        <v>3014</v>
      </c>
      <c r="R1050" s="4" t="s">
        <v>3015</v>
      </c>
      <c r="S1050" s="4" t="s">
        <v>3016</v>
      </c>
      <c r="T1050" s="4" t="s">
        <v>3004</v>
      </c>
      <c r="U1050" s="4" t="s">
        <v>1161</v>
      </c>
      <c r="V1050" s="4" t="s">
        <v>3017</v>
      </c>
      <c r="W1050" s="4" t="s">
        <v>3018</v>
      </c>
      <c r="X1050" s="4" t="s">
        <v>1044</v>
      </c>
    </row>
    <row r="1051" spans="2:29" ht="15" customHeight="1" x14ac:dyDescent="0.25">
      <c r="B1051" s="3" t="s">
        <v>2944</v>
      </c>
      <c r="C1051" s="1" t="s">
        <v>2945</v>
      </c>
      <c r="D1051" s="2" t="s">
        <v>1039</v>
      </c>
      <c r="E1051" s="1" t="s">
        <v>1050</v>
      </c>
      <c r="F1051" s="1" t="s">
        <v>1051</v>
      </c>
      <c r="G1051" s="1"/>
      <c r="H1051" s="1" t="s">
        <v>1040</v>
      </c>
      <c r="I1051" s="13" t="str">
        <f t="shared" si="127"/>
        <v>2L</v>
      </c>
      <c r="J1051" t="str">
        <f t="shared" si="128"/>
        <v xml:space="preserve">2334 </v>
      </c>
      <c r="K1051" t="str">
        <f t="shared" si="129"/>
        <v/>
      </c>
      <c r="L1051" t="str">
        <f t="shared" si="130"/>
        <v>Plat 1</v>
      </c>
      <c r="M1051" s="8" t="str">
        <f t="shared" si="131"/>
        <v xml:space="preserve"> 1</v>
      </c>
      <c r="O1051"/>
    </row>
    <row r="1052" spans="2:29" ht="15" customHeight="1" x14ac:dyDescent="0.25">
      <c r="B1052" s="3" t="s">
        <v>2946</v>
      </c>
      <c r="C1052" s="1" t="s">
        <v>990</v>
      </c>
      <c r="D1052" s="2" t="s">
        <v>1372</v>
      </c>
      <c r="E1052" s="1" t="s">
        <v>2272</v>
      </c>
      <c r="F1052" s="2" t="s">
        <v>1254</v>
      </c>
      <c r="G1052" s="1" t="s">
        <v>991</v>
      </c>
      <c r="H1052" s="1" t="s">
        <v>1046</v>
      </c>
      <c r="I1052" s="13" t="str">
        <f t="shared" si="127"/>
        <v>2S</v>
      </c>
      <c r="J1052" t="str">
        <f t="shared" si="128"/>
        <v xml:space="preserve">2331 </v>
      </c>
      <c r="K1052" t="str">
        <f t="shared" si="129"/>
        <v xml:space="preserve">2335 </v>
      </c>
      <c r="L1052" t="str">
        <f t="shared" si="130"/>
        <v>Plat12</v>
      </c>
      <c r="M1052" s="8" t="str">
        <f t="shared" si="131"/>
        <v>12</v>
      </c>
      <c r="N1052" t="s">
        <v>2975</v>
      </c>
      <c r="O1052" t="s">
        <v>3042</v>
      </c>
      <c r="P1052" t="s">
        <v>2978</v>
      </c>
      <c r="Q1052" t="s">
        <v>1298</v>
      </c>
      <c r="R1052" t="s">
        <v>2980</v>
      </c>
      <c r="S1052" t="s">
        <v>2982</v>
      </c>
      <c r="T1052" t="s">
        <v>1254</v>
      </c>
    </row>
    <row r="1053" spans="2:29" ht="15" customHeight="1" x14ac:dyDescent="0.25">
      <c r="B1053" s="3" t="s">
        <v>1234</v>
      </c>
      <c r="C1053" s="1" t="s">
        <v>2947</v>
      </c>
      <c r="D1053" s="2" t="s">
        <v>1044</v>
      </c>
      <c r="E1053" s="1" t="s">
        <v>1054</v>
      </c>
      <c r="F1053" s="2" t="s">
        <v>1372</v>
      </c>
      <c r="G1053" s="1" t="s">
        <v>996</v>
      </c>
      <c r="H1053" s="1" t="s">
        <v>1046</v>
      </c>
      <c r="I1053" s="13" t="str">
        <f t="shared" si="127"/>
        <v>2W</v>
      </c>
      <c r="J1053" t="str">
        <f t="shared" si="128"/>
        <v xml:space="preserve">2334 </v>
      </c>
      <c r="K1053" t="str">
        <f t="shared" si="129"/>
        <v xml:space="preserve">2336 </v>
      </c>
      <c r="L1053" t="str">
        <f t="shared" si="130"/>
        <v>Plat 5</v>
      </c>
      <c r="M1053" s="8" t="str">
        <f t="shared" si="131"/>
        <v xml:space="preserve"> 5</v>
      </c>
      <c r="N1053" s="4" t="s">
        <v>1372</v>
      </c>
      <c r="O1053"/>
    </row>
    <row r="1054" spans="2:29" ht="15" customHeight="1" x14ac:dyDescent="0.25">
      <c r="B1054" s="3" t="s">
        <v>1702</v>
      </c>
      <c r="C1054" s="1" t="s">
        <v>2948</v>
      </c>
      <c r="D1054" s="2" t="s">
        <v>1372</v>
      </c>
      <c r="E1054" s="1" t="s">
        <v>1156</v>
      </c>
      <c r="F1054" s="2" t="s">
        <v>1058</v>
      </c>
      <c r="G1054" s="1" t="s">
        <v>2949</v>
      </c>
      <c r="H1054" s="1" t="s">
        <v>1046</v>
      </c>
      <c r="I1054" s="13" t="str">
        <f t="shared" si="127"/>
        <v>1K</v>
      </c>
      <c r="J1054" t="str">
        <f t="shared" si="128"/>
        <v xml:space="preserve">2333 </v>
      </c>
      <c r="K1054" t="str">
        <f t="shared" si="129"/>
        <v xml:space="preserve">2337 </v>
      </c>
      <c r="L1054" t="str">
        <f t="shared" si="130"/>
        <v>Plat10</v>
      </c>
      <c r="M1054" s="8" t="str">
        <f t="shared" si="131"/>
        <v>10</v>
      </c>
      <c r="N1054" s="4" t="s">
        <v>1044</v>
      </c>
      <c r="O1054" s="4" t="s">
        <v>3019</v>
      </c>
      <c r="P1054" s="4" t="s">
        <v>3020</v>
      </c>
      <c r="Q1054" s="4" t="s">
        <v>3021</v>
      </c>
      <c r="R1054" s="4" t="s">
        <v>3022</v>
      </c>
      <c r="S1054" s="4" t="s">
        <v>3023</v>
      </c>
      <c r="T1054" s="4" t="s">
        <v>3024</v>
      </c>
      <c r="U1054" s="4" t="s">
        <v>3025</v>
      </c>
      <c r="V1054" s="4" t="s">
        <v>1058</v>
      </c>
    </row>
    <row r="1055" spans="2:29" ht="15" customHeight="1" x14ac:dyDescent="0.25">
      <c r="B1055" s="3" t="s">
        <v>1802</v>
      </c>
      <c r="C1055" s="1"/>
      <c r="D1055" s="1" t="s">
        <v>1037</v>
      </c>
      <c r="E1055" s="1" t="s">
        <v>1061</v>
      </c>
      <c r="F1055" s="2" t="s">
        <v>1074</v>
      </c>
      <c r="G1055" s="1" t="s">
        <v>999</v>
      </c>
      <c r="H1055" s="1" t="s">
        <v>1040</v>
      </c>
      <c r="I1055" s="13" t="str">
        <f t="shared" si="127"/>
        <v>2N</v>
      </c>
      <c r="J1055" t="str">
        <f t="shared" si="128"/>
        <v/>
      </c>
      <c r="K1055" t="str">
        <f t="shared" si="129"/>
        <v xml:space="preserve">2338 </v>
      </c>
      <c r="L1055" t="str">
        <f t="shared" si="130"/>
        <v>Plat 2</v>
      </c>
      <c r="M1055" s="8" t="str">
        <f t="shared" si="131"/>
        <v xml:space="preserve"> 2</v>
      </c>
      <c r="N1055" s="4" t="s">
        <v>3010</v>
      </c>
      <c r="O1055" s="15" t="s">
        <v>3011</v>
      </c>
    </row>
    <row r="1056" spans="2:29" ht="15" customHeight="1" x14ac:dyDescent="0.25">
      <c r="B1056" s="3" t="s">
        <v>2950</v>
      </c>
      <c r="C1056" s="1" t="s">
        <v>999</v>
      </c>
      <c r="D1056" s="2" t="s">
        <v>1242</v>
      </c>
      <c r="E1056" s="1" t="s">
        <v>1054</v>
      </c>
      <c r="F1056" s="2" t="s">
        <v>1372</v>
      </c>
      <c r="G1056" s="1" t="s">
        <v>997</v>
      </c>
      <c r="H1056" s="1" t="s">
        <v>1046</v>
      </c>
      <c r="I1056" s="13" t="str">
        <f t="shared" ref="I1056:I1073" si="132">LEFT(B1056,2)</f>
        <v>1Y</v>
      </c>
      <c r="J1056" t="str">
        <f t="shared" ref="J1056:J1073" si="133">LEFT(C1056,5)</f>
        <v xml:space="preserve">2338 </v>
      </c>
      <c r="K1056" t="str">
        <f t="shared" ref="K1056:K1073" si="134">LEFT(G1056,5)</f>
        <v xml:space="preserve">2340 </v>
      </c>
      <c r="L1056" t="str">
        <f t="shared" ref="L1056:L1073" si="135">LEFT(E1056,6)</f>
        <v>Plat 5</v>
      </c>
      <c r="M1056" s="8" t="str">
        <f t="shared" ref="M1056:M1073" si="136">RIGHT(L1056,2)</f>
        <v xml:space="preserve"> 5</v>
      </c>
      <c r="N1056" s="4" t="s">
        <v>1372</v>
      </c>
      <c r="O1056"/>
    </row>
    <row r="1057" spans="2:29" ht="15" customHeight="1" x14ac:dyDescent="0.25">
      <c r="B1057" s="3" t="s">
        <v>2951</v>
      </c>
      <c r="C1057" s="1" t="s">
        <v>2952</v>
      </c>
      <c r="D1057" s="2" t="s">
        <v>1372</v>
      </c>
      <c r="E1057" s="1" t="s">
        <v>1156</v>
      </c>
      <c r="F1057" s="2" t="s">
        <v>1066</v>
      </c>
      <c r="G1057" s="1" t="s">
        <v>997</v>
      </c>
      <c r="H1057" s="1" t="s">
        <v>1046</v>
      </c>
      <c r="I1057" s="13" t="str">
        <f t="shared" si="132"/>
        <v>1P</v>
      </c>
      <c r="J1057" t="str">
        <f t="shared" si="133"/>
        <v>2337½</v>
      </c>
      <c r="K1057" t="str">
        <f t="shared" si="134"/>
        <v xml:space="preserve">2340 </v>
      </c>
      <c r="L1057" t="str">
        <f t="shared" si="135"/>
        <v>Plat10</v>
      </c>
      <c r="M1057" s="8" t="str">
        <f t="shared" si="136"/>
        <v>10</v>
      </c>
      <c r="N1057" t="s">
        <v>1473</v>
      </c>
      <c r="O1057" t="s">
        <v>1091</v>
      </c>
      <c r="P1057" t="s">
        <v>3006</v>
      </c>
      <c r="Q1057" t="s">
        <v>1242</v>
      </c>
      <c r="R1057" t="s">
        <v>1501</v>
      </c>
      <c r="S1057" t="s">
        <v>3052</v>
      </c>
      <c r="T1057" t="s">
        <v>1066</v>
      </c>
    </row>
    <row r="1058" spans="2:29" ht="15" customHeight="1" x14ac:dyDescent="0.25">
      <c r="B1058" s="3" t="s">
        <v>1342</v>
      </c>
      <c r="C1058" s="1" t="s">
        <v>2953</v>
      </c>
      <c r="D1058" s="2" t="s">
        <v>1372</v>
      </c>
      <c r="E1058" s="1" t="s">
        <v>1043</v>
      </c>
      <c r="F1058" s="2" t="s">
        <v>1044</v>
      </c>
      <c r="G1058" s="1" t="s">
        <v>2954</v>
      </c>
      <c r="H1058" s="1" t="s">
        <v>1046</v>
      </c>
      <c r="I1058" s="13" t="str">
        <f t="shared" si="132"/>
        <v>2W</v>
      </c>
      <c r="J1058" t="str">
        <f t="shared" si="133"/>
        <v>2338½</v>
      </c>
      <c r="K1058" t="str">
        <f t="shared" si="134"/>
        <v>2343½</v>
      </c>
      <c r="L1058" t="str">
        <f t="shared" si="135"/>
        <v>Plat 8</v>
      </c>
      <c r="M1058" s="8" t="str">
        <f t="shared" si="136"/>
        <v xml:space="preserve"> 8</v>
      </c>
      <c r="N1058" s="4" t="s">
        <v>3012</v>
      </c>
      <c r="O1058" s="4" t="s">
        <v>3013</v>
      </c>
      <c r="P1058" s="4" t="s">
        <v>1181</v>
      </c>
      <c r="Q1058" s="4" t="s">
        <v>3014</v>
      </c>
      <c r="R1058" s="4" t="s">
        <v>3015</v>
      </c>
      <c r="S1058" s="4" t="s">
        <v>3016</v>
      </c>
      <c r="T1058" s="4" t="s">
        <v>3004</v>
      </c>
      <c r="U1058" s="4" t="s">
        <v>1161</v>
      </c>
      <c r="V1058" s="4" t="s">
        <v>3017</v>
      </c>
      <c r="W1058" s="4" t="s">
        <v>3018</v>
      </c>
      <c r="X1058" s="4" t="s">
        <v>1044</v>
      </c>
    </row>
    <row r="1059" spans="2:29" ht="15" customHeight="1" x14ac:dyDescent="0.25">
      <c r="B1059" s="3" t="s">
        <v>2955</v>
      </c>
      <c r="C1059" s="1" t="s">
        <v>1000</v>
      </c>
      <c r="D1059" s="2" t="s">
        <v>1058</v>
      </c>
      <c r="E1059" s="1" t="s">
        <v>1054</v>
      </c>
      <c r="F1059" s="2" t="s">
        <v>1372</v>
      </c>
      <c r="G1059" s="1" t="s">
        <v>2956</v>
      </c>
      <c r="H1059" s="1" t="s">
        <v>1046</v>
      </c>
      <c r="I1059" s="13" t="str">
        <f t="shared" si="132"/>
        <v>1K</v>
      </c>
      <c r="J1059" t="str">
        <f t="shared" si="133"/>
        <v xml:space="preserve">2342 </v>
      </c>
      <c r="K1059" t="str">
        <f t="shared" si="134"/>
        <v xml:space="preserve">2344 </v>
      </c>
      <c r="L1059" t="str">
        <f t="shared" si="135"/>
        <v>Plat 5</v>
      </c>
      <c r="M1059" s="8" t="str">
        <f t="shared" si="136"/>
        <v xml:space="preserve"> 5</v>
      </c>
      <c r="N1059" s="4" t="s">
        <v>1372</v>
      </c>
      <c r="O1059"/>
    </row>
    <row r="1060" spans="2:29" ht="15" customHeight="1" x14ac:dyDescent="0.25">
      <c r="B1060" s="3" t="s">
        <v>1810</v>
      </c>
      <c r="C1060" s="1" t="s">
        <v>2957</v>
      </c>
      <c r="D1060" s="2" t="s">
        <v>1074</v>
      </c>
      <c r="E1060" s="1" t="s">
        <v>1075</v>
      </c>
      <c r="F1060" s="1" t="s">
        <v>1051</v>
      </c>
      <c r="G1060" s="1"/>
      <c r="H1060" s="1" t="s">
        <v>1040</v>
      </c>
      <c r="I1060" s="13" t="str">
        <f t="shared" si="132"/>
        <v>2N</v>
      </c>
      <c r="J1060" t="str">
        <f t="shared" si="133"/>
        <v xml:space="preserve">2344 </v>
      </c>
      <c r="K1060" t="str">
        <f t="shared" si="134"/>
        <v/>
      </c>
      <c r="L1060" t="str">
        <f t="shared" si="135"/>
        <v>Plat 2</v>
      </c>
      <c r="M1060" s="8" t="str">
        <f t="shared" si="136"/>
        <v xml:space="preserve"> 2</v>
      </c>
      <c r="O1060"/>
    </row>
    <row r="1061" spans="2:29" ht="15" customHeight="1" x14ac:dyDescent="0.25">
      <c r="B1061" s="3" t="s">
        <v>2958</v>
      </c>
      <c r="C1061" s="1"/>
      <c r="D1061" s="1" t="s">
        <v>1037</v>
      </c>
      <c r="E1061" s="1" t="s">
        <v>2148</v>
      </c>
      <c r="F1061" s="2" t="s">
        <v>1079</v>
      </c>
      <c r="G1061" s="1" t="s">
        <v>1002</v>
      </c>
      <c r="H1061" s="1" t="s">
        <v>1046</v>
      </c>
      <c r="I1061" s="13" t="str">
        <f t="shared" si="132"/>
        <v>2O</v>
      </c>
      <c r="J1061" t="str">
        <f t="shared" si="133"/>
        <v/>
      </c>
      <c r="K1061" t="str">
        <f t="shared" si="134"/>
        <v xml:space="preserve">2345 </v>
      </c>
      <c r="L1061" t="str">
        <f t="shared" si="135"/>
        <v>Plat11</v>
      </c>
      <c r="M1061" s="8" t="str">
        <f t="shared" si="136"/>
        <v>11</v>
      </c>
      <c r="N1061" t="s">
        <v>2975</v>
      </c>
      <c r="O1061" t="s">
        <v>3039</v>
      </c>
      <c r="P1061" t="s">
        <v>2976</v>
      </c>
      <c r="Q1061" t="s">
        <v>2977</v>
      </c>
      <c r="R1061" t="s">
        <v>3040</v>
      </c>
      <c r="S1061" t="s">
        <v>3042</v>
      </c>
      <c r="T1061" t="s">
        <v>2978</v>
      </c>
      <c r="U1061" t="s">
        <v>1298</v>
      </c>
      <c r="V1061" t="s">
        <v>3049</v>
      </c>
      <c r="W1061" t="s">
        <v>3050</v>
      </c>
      <c r="X1061" t="s">
        <v>3051</v>
      </c>
      <c r="Y1061" t="s">
        <v>1079</v>
      </c>
    </row>
    <row r="1062" spans="2:29" ht="15" customHeight="1" x14ac:dyDescent="0.25">
      <c r="B1062" s="3" t="s">
        <v>891</v>
      </c>
      <c r="C1062" s="1" t="s">
        <v>2959</v>
      </c>
      <c r="D1062" s="2" t="s">
        <v>1372</v>
      </c>
      <c r="E1062" s="1" t="s">
        <v>1156</v>
      </c>
      <c r="F1062" s="2" t="s">
        <v>1091</v>
      </c>
      <c r="G1062" s="1" t="s">
        <v>1002</v>
      </c>
      <c r="H1062" s="1" t="s">
        <v>1046</v>
      </c>
      <c r="I1062" s="13" t="str">
        <f t="shared" si="132"/>
        <v>1F</v>
      </c>
      <c r="J1062" t="str">
        <f t="shared" si="133"/>
        <v>2342½</v>
      </c>
      <c r="K1062" t="str">
        <f t="shared" si="134"/>
        <v xml:space="preserve">2345 </v>
      </c>
      <c r="L1062" t="str">
        <f t="shared" si="135"/>
        <v>Plat10</v>
      </c>
      <c r="M1062" s="8" t="str">
        <f t="shared" si="136"/>
        <v>10</v>
      </c>
      <c r="N1062" s="4" t="s">
        <v>1044</v>
      </c>
      <c r="O1062" s="4" t="s">
        <v>2999</v>
      </c>
      <c r="P1062" s="4" t="s">
        <v>1473</v>
      </c>
      <c r="Q1062" s="4" t="s">
        <v>3000</v>
      </c>
      <c r="R1062" s="4" t="s">
        <v>3001</v>
      </c>
      <c r="S1062" s="4" t="s">
        <v>3002</v>
      </c>
      <c r="T1062" s="4" t="s">
        <v>3003</v>
      </c>
      <c r="U1062" s="4" t="s">
        <v>1091</v>
      </c>
    </row>
    <row r="1063" spans="2:29" ht="15" customHeight="1" x14ac:dyDescent="0.25">
      <c r="B1063" s="3" t="s">
        <v>2960</v>
      </c>
      <c r="C1063" s="1"/>
      <c r="D1063" s="1" t="s">
        <v>1037</v>
      </c>
      <c r="E1063" s="1" t="s">
        <v>1038</v>
      </c>
      <c r="F1063" s="2" t="s">
        <v>1039</v>
      </c>
      <c r="G1063" s="1" t="s">
        <v>1002</v>
      </c>
      <c r="H1063" s="1" t="s">
        <v>1040</v>
      </c>
      <c r="I1063" s="13" t="str">
        <f t="shared" si="132"/>
        <v>2Y</v>
      </c>
      <c r="J1063" t="str">
        <f t="shared" si="133"/>
        <v/>
      </c>
      <c r="K1063" t="str">
        <f t="shared" si="134"/>
        <v xml:space="preserve">2345 </v>
      </c>
      <c r="L1063" t="str">
        <f t="shared" si="135"/>
        <v>Plat 1</v>
      </c>
      <c r="M1063" s="8" t="str">
        <f t="shared" si="136"/>
        <v xml:space="preserve"> 1</v>
      </c>
      <c r="N1063" s="4" t="s">
        <v>3010</v>
      </c>
      <c r="O1063" s="15" t="s">
        <v>3011</v>
      </c>
    </row>
    <row r="1064" spans="2:29" ht="15" customHeight="1" x14ac:dyDescent="0.25">
      <c r="B1064" s="3" t="s">
        <v>2961</v>
      </c>
      <c r="C1064" s="1" t="s">
        <v>2962</v>
      </c>
      <c r="D1064" s="2" t="s">
        <v>1039</v>
      </c>
      <c r="E1064" s="1" t="s">
        <v>1050</v>
      </c>
      <c r="F1064" s="1" t="s">
        <v>1051</v>
      </c>
      <c r="G1064" s="1"/>
      <c r="H1064" s="1" t="s">
        <v>1040</v>
      </c>
      <c r="I1064" s="13" t="str">
        <f t="shared" si="132"/>
        <v>2L</v>
      </c>
      <c r="J1064" t="str">
        <f t="shared" si="133"/>
        <v xml:space="preserve">2349 </v>
      </c>
      <c r="K1064" t="str">
        <f t="shared" si="134"/>
        <v/>
      </c>
      <c r="L1064" t="str">
        <f t="shared" si="135"/>
        <v>Plat 1</v>
      </c>
      <c r="M1064" s="8" t="str">
        <f t="shared" si="136"/>
        <v xml:space="preserve"> 1</v>
      </c>
      <c r="O1064"/>
    </row>
    <row r="1065" spans="2:29" ht="15" customHeight="1" x14ac:dyDescent="0.25">
      <c r="B1065" s="3" t="s">
        <v>1272</v>
      </c>
      <c r="C1065" s="1" t="s">
        <v>2963</v>
      </c>
      <c r="D1065" s="2" t="s">
        <v>1044</v>
      </c>
      <c r="E1065" s="1" t="s">
        <v>1054</v>
      </c>
      <c r="F1065" s="2" t="s">
        <v>1372</v>
      </c>
      <c r="G1065" s="1" t="s">
        <v>1007</v>
      </c>
      <c r="H1065" s="1" t="s">
        <v>1046</v>
      </c>
      <c r="I1065" s="13" t="str">
        <f t="shared" si="132"/>
        <v>2W</v>
      </c>
      <c r="J1065" t="str">
        <f t="shared" si="133"/>
        <v xml:space="preserve">2348 </v>
      </c>
      <c r="K1065" t="str">
        <f t="shared" si="134"/>
        <v xml:space="preserve">2350 </v>
      </c>
      <c r="L1065" t="str">
        <f t="shared" si="135"/>
        <v>Plat 5</v>
      </c>
      <c r="M1065" s="8" t="str">
        <f t="shared" si="136"/>
        <v xml:space="preserve"> 5</v>
      </c>
      <c r="N1065" s="4" t="s">
        <v>1372</v>
      </c>
      <c r="O1065"/>
    </row>
    <row r="1066" spans="2:29" ht="15" customHeight="1" x14ac:dyDescent="0.25">
      <c r="B1066" s="3" t="s">
        <v>1820</v>
      </c>
      <c r="C1066" s="1"/>
      <c r="D1066" s="1" t="s">
        <v>1037</v>
      </c>
      <c r="E1066" s="1" t="s">
        <v>1061</v>
      </c>
      <c r="F1066" s="2" t="s">
        <v>1074</v>
      </c>
      <c r="G1066" s="1" t="s">
        <v>2964</v>
      </c>
      <c r="H1066" s="1" t="s">
        <v>1040</v>
      </c>
      <c r="I1066" s="13" t="str">
        <f t="shared" si="132"/>
        <v>2N</v>
      </c>
      <c r="J1066" t="str">
        <f t="shared" si="133"/>
        <v/>
      </c>
      <c r="K1066" t="str">
        <f t="shared" si="134"/>
        <v xml:space="preserve">2352 </v>
      </c>
      <c r="L1066" t="str">
        <f t="shared" si="135"/>
        <v>Plat 2</v>
      </c>
      <c r="M1066" s="8" t="str">
        <f t="shared" si="136"/>
        <v xml:space="preserve"> 2</v>
      </c>
      <c r="N1066" s="4" t="s">
        <v>3010</v>
      </c>
      <c r="O1066" s="15" t="s">
        <v>3011</v>
      </c>
    </row>
    <row r="1067" spans="2:29" ht="15" customHeight="1" x14ac:dyDescent="0.25">
      <c r="B1067" s="3" t="s">
        <v>2965</v>
      </c>
      <c r="C1067" s="1" t="s">
        <v>2963</v>
      </c>
      <c r="D1067" s="2" t="s">
        <v>1372</v>
      </c>
      <c r="E1067" s="1" t="s">
        <v>1156</v>
      </c>
      <c r="F1067" s="2" t="s">
        <v>1058</v>
      </c>
      <c r="G1067" s="1" t="s">
        <v>2964</v>
      </c>
      <c r="H1067" s="1" t="s">
        <v>1046</v>
      </c>
      <c r="I1067" s="13" t="str">
        <f t="shared" si="132"/>
        <v>1K</v>
      </c>
      <c r="J1067" t="str">
        <f t="shared" si="133"/>
        <v xml:space="preserve">2348 </v>
      </c>
      <c r="K1067" t="str">
        <f t="shared" si="134"/>
        <v xml:space="preserve">2352 </v>
      </c>
      <c r="L1067" t="str">
        <f t="shared" si="135"/>
        <v>Plat10</v>
      </c>
      <c r="M1067" s="8" t="str">
        <f t="shared" si="136"/>
        <v>10</v>
      </c>
      <c r="N1067" s="4" t="s">
        <v>1044</v>
      </c>
      <c r="O1067" s="4" t="s">
        <v>3019</v>
      </c>
      <c r="P1067" s="4" t="s">
        <v>3020</v>
      </c>
      <c r="Q1067" s="4" t="s">
        <v>3021</v>
      </c>
      <c r="R1067" s="4" t="s">
        <v>3022</v>
      </c>
      <c r="S1067" s="4" t="s">
        <v>3023</v>
      </c>
      <c r="T1067" s="4" t="s">
        <v>3024</v>
      </c>
      <c r="U1067" s="4" t="s">
        <v>3025</v>
      </c>
      <c r="V1067" s="4" t="s">
        <v>1058</v>
      </c>
    </row>
    <row r="1068" spans="2:29" ht="15" customHeight="1" x14ac:dyDescent="0.25">
      <c r="B1068" s="3" t="s">
        <v>1364</v>
      </c>
      <c r="C1068" s="1" t="s">
        <v>2966</v>
      </c>
      <c r="D1068" s="2" t="s">
        <v>1372</v>
      </c>
      <c r="E1068" s="1" t="s">
        <v>1043</v>
      </c>
      <c r="F1068" s="2" t="s">
        <v>1044</v>
      </c>
      <c r="G1068" s="1" t="s">
        <v>2967</v>
      </c>
      <c r="H1068" s="1" t="s">
        <v>1046</v>
      </c>
      <c r="I1068" s="13" t="str">
        <f t="shared" si="132"/>
        <v>2W</v>
      </c>
      <c r="J1068" t="str">
        <f t="shared" si="133"/>
        <v>2348½</v>
      </c>
      <c r="K1068" t="str">
        <f t="shared" si="134"/>
        <v>2353½</v>
      </c>
      <c r="L1068" t="str">
        <f t="shared" si="135"/>
        <v>Plat 8</v>
      </c>
      <c r="M1068" s="8" t="str">
        <f t="shared" si="136"/>
        <v xml:space="preserve"> 8</v>
      </c>
      <c r="N1068" s="4" t="s">
        <v>3012</v>
      </c>
      <c r="O1068" s="4" t="s">
        <v>3013</v>
      </c>
      <c r="P1068" s="4" t="s">
        <v>1181</v>
      </c>
      <c r="Q1068" s="4" t="s">
        <v>3014</v>
      </c>
      <c r="R1068" s="4" t="s">
        <v>3015</v>
      </c>
      <c r="S1068" s="4" t="s">
        <v>3016</v>
      </c>
      <c r="T1068" s="4" t="s">
        <v>3004</v>
      </c>
      <c r="U1068" s="4" t="s">
        <v>1161</v>
      </c>
      <c r="V1068" s="4" t="s">
        <v>3017</v>
      </c>
      <c r="W1068" s="4" t="s">
        <v>3018</v>
      </c>
      <c r="X1068" s="4" t="s">
        <v>1044</v>
      </c>
    </row>
    <row r="1069" spans="2:29" ht="15" customHeight="1" x14ac:dyDescent="0.25">
      <c r="B1069" s="3" t="s">
        <v>2389</v>
      </c>
      <c r="C1069" s="1"/>
      <c r="D1069" s="1" t="s">
        <v>1037</v>
      </c>
      <c r="E1069" s="1" t="s">
        <v>1054</v>
      </c>
      <c r="F1069" s="2" t="s">
        <v>1372</v>
      </c>
      <c r="G1069" s="1" t="s">
        <v>2968</v>
      </c>
      <c r="H1069" s="1" t="s">
        <v>1046</v>
      </c>
      <c r="I1069" s="13" t="str">
        <f t="shared" si="132"/>
        <v>2C</v>
      </c>
      <c r="J1069" t="str">
        <f t="shared" si="133"/>
        <v/>
      </c>
      <c r="K1069" t="str">
        <f t="shared" si="134"/>
        <v xml:space="preserve">2354 </v>
      </c>
      <c r="L1069" t="str">
        <f t="shared" si="135"/>
        <v>Plat 5</v>
      </c>
      <c r="M1069" s="8" t="str">
        <f t="shared" si="136"/>
        <v xml:space="preserve"> 5</v>
      </c>
      <c r="N1069" s="4" t="s">
        <v>1372</v>
      </c>
      <c r="O1069"/>
    </row>
    <row r="1070" spans="2:29" ht="15" customHeight="1" x14ac:dyDescent="0.25">
      <c r="B1070" s="3" t="s">
        <v>2969</v>
      </c>
      <c r="C1070" s="1" t="s">
        <v>2970</v>
      </c>
      <c r="D1070" s="2" t="s">
        <v>1372</v>
      </c>
      <c r="E1070" s="1" t="s">
        <v>1156</v>
      </c>
      <c r="F1070" s="2" t="s">
        <v>1185</v>
      </c>
      <c r="G1070" s="1" t="s">
        <v>2971</v>
      </c>
      <c r="H1070" s="1" t="s">
        <v>1046</v>
      </c>
      <c r="I1070" s="13" t="str">
        <f t="shared" si="132"/>
        <v>1N</v>
      </c>
      <c r="J1070" t="str">
        <f t="shared" si="133"/>
        <v>2352½</v>
      </c>
      <c r="K1070" t="str">
        <f t="shared" si="134"/>
        <v>2354½</v>
      </c>
      <c r="L1070" t="str">
        <f t="shared" si="135"/>
        <v>Plat10</v>
      </c>
      <c r="M1070" s="8" t="str">
        <f t="shared" si="136"/>
        <v>10</v>
      </c>
      <c r="N1070" t="s">
        <v>1044</v>
      </c>
      <c r="O1070" t="s">
        <v>2999</v>
      </c>
      <c r="P1070" t="s">
        <v>1473</v>
      </c>
      <c r="Q1070" t="s">
        <v>3001</v>
      </c>
      <c r="R1070" t="s">
        <v>3003</v>
      </c>
      <c r="S1070" t="s">
        <v>1091</v>
      </c>
      <c r="T1070" t="s">
        <v>3031</v>
      </c>
      <c r="U1070" t="s">
        <v>3046</v>
      </c>
      <c r="V1070" t="s">
        <v>3047</v>
      </c>
    </row>
    <row r="1071" spans="2:29" ht="15" customHeight="1" x14ac:dyDescent="0.25">
      <c r="B1071" s="3" t="s">
        <v>2972</v>
      </c>
      <c r="C1071" s="1" t="s">
        <v>2964</v>
      </c>
      <c r="D1071" s="2" t="s">
        <v>1372</v>
      </c>
      <c r="E1071" s="1" t="s">
        <v>2272</v>
      </c>
      <c r="F1071" s="2" t="s">
        <v>1097</v>
      </c>
      <c r="G1071" s="1" t="s">
        <v>1013</v>
      </c>
      <c r="H1071" s="1" t="s">
        <v>1046</v>
      </c>
      <c r="I1071" s="13" t="str">
        <f t="shared" si="132"/>
        <v>2H</v>
      </c>
      <c r="J1071" t="str">
        <f t="shared" si="133"/>
        <v xml:space="preserve">2352 </v>
      </c>
      <c r="K1071" t="str">
        <f t="shared" si="134"/>
        <v xml:space="preserve">2355 </v>
      </c>
      <c r="L1071" t="str">
        <f t="shared" si="135"/>
        <v>Plat12</v>
      </c>
      <c r="M1071" s="8" t="str">
        <f t="shared" si="136"/>
        <v>12</v>
      </c>
      <c r="N1071" t="s">
        <v>2975</v>
      </c>
      <c r="O1071" t="s">
        <v>2978</v>
      </c>
      <c r="P1071" t="s">
        <v>1298</v>
      </c>
      <c r="Q1071" t="s">
        <v>2979</v>
      </c>
      <c r="R1071" t="s">
        <v>2980</v>
      </c>
      <c r="S1071" t="s">
        <v>2981</v>
      </c>
      <c r="T1071" t="s">
        <v>2982</v>
      </c>
      <c r="U1071" t="s">
        <v>1254</v>
      </c>
      <c r="V1071" t="s">
        <v>2983</v>
      </c>
      <c r="W1071" t="s">
        <v>2993</v>
      </c>
      <c r="X1071" t="s">
        <v>2994</v>
      </c>
      <c r="Y1071" t="s">
        <v>2995</v>
      </c>
      <c r="Z1071" t="s">
        <v>2996</v>
      </c>
      <c r="AA1071" t="s">
        <v>2997</v>
      </c>
      <c r="AB1071" t="s">
        <v>2998</v>
      </c>
      <c r="AC1071" t="s">
        <v>1097</v>
      </c>
    </row>
    <row r="1072" spans="2:29" ht="15" customHeight="1" x14ac:dyDescent="0.25">
      <c r="B1072" s="3" t="s">
        <v>2973</v>
      </c>
      <c r="C1072" s="1" t="s">
        <v>1013</v>
      </c>
      <c r="D1072" s="2" t="s">
        <v>1079</v>
      </c>
      <c r="E1072" s="1" t="s">
        <v>2148</v>
      </c>
      <c r="F1072" s="1" t="s">
        <v>1051</v>
      </c>
      <c r="G1072" s="1"/>
      <c r="H1072" s="1" t="s">
        <v>1046</v>
      </c>
      <c r="I1072" s="13" t="str">
        <f t="shared" si="132"/>
        <v>2O</v>
      </c>
      <c r="J1072" t="str">
        <f t="shared" si="133"/>
        <v xml:space="preserve">2355 </v>
      </c>
      <c r="K1072" t="str">
        <f t="shared" si="134"/>
        <v/>
      </c>
      <c r="L1072" t="str">
        <f t="shared" si="135"/>
        <v>Plat11</v>
      </c>
      <c r="M1072" s="8" t="str">
        <f t="shared" si="136"/>
        <v>11</v>
      </c>
      <c r="O1072"/>
    </row>
    <row r="1073" spans="2:15" ht="15" customHeight="1" x14ac:dyDescent="0.25">
      <c r="B1073" s="3" t="s">
        <v>1833</v>
      </c>
      <c r="C1073" s="1" t="s">
        <v>2974</v>
      </c>
      <c r="D1073" s="2" t="s">
        <v>1074</v>
      </c>
      <c r="E1073" s="1" t="s">
        <v>1075</v>
      </c>
      <c r="F1073" s="1" t="s">
        <v>1051</v>
      </c>
      <c r="G1073" s="1"/>
      <c r="H1073" s="1" t="s">
        <v>1040</v>
      </c>
      <c r="I1073" s="13" t="str">
        <f t="shared" si="132"/>
        <v>2N</v>
      </c>
      <c r="J1073" t="str">
        <f t="shared" si="133"/>
        <v xml:space="preserve">2359 </v>
      </c>
      <c r="K1073" t="str">
        <f t="shared" si="134"/>
        <v/>
      </c>
      <c r="L1073" t="str">
        <f t="shared" si="135"/>
        <v>Plat 2</v>
      </c>
      <c r="M1073" s="8" t="str">
        <f t="shared" si="136"/>
        <v xml:space="preserve"> 2</v>
      </c>
      <c r="O1073"/>
    </row>
  </sheetData>
  <autoFilter ref="B1:V1073"/>
  <hyperlinks>
    <hyperlink ref="B2" r:id="rId1" display="http://www.opentraintimes.com/schedule/L70552/2012/8/7"/>
    <hyperlink ref="B3" r:id="rId2" display="http://www.opentraintimes.com/schedule/G26336/2012/8/6"/>
    <hyperlink ref="B4" r:id="rId3" display="http://www.opentraintimes.com/schedule/L70309/2012/8/6"/>
    <hyperlink ref="B5" r:id="rId4" display="http://www.opentraintimes.com/schedule/G26100/2012/8/6"/>
    <hyperlink ref="B6" r:id="rId5" display="http://www.opentraintimes.com/schedule/G20940/2012/8/6"/>
    <hyperlink ref="B7" r:id="rId6" display="http://www.opentraintimes.com/schedule/L70421/2012/8/7"/>
    <hyperlink ref="B8" r:id="rId7" display="http://www.opentraintimes.com/schedule/G21055/2012/8/6"/>
    <hyperlink ref="B9" r:id="rId8" display="http://www.opentraintimes.com/schedule/G21844/2012/8/6"/>
    <hyperlink ref="B10" r:id="rId9" display="http://www.opentraintimes.com/schedule/G22547/2012/8/7"/>
    <hyperlink ref="B11" r:id="rId10" display="http://www.opentraintimes.com/schedule/G26366/2012/8/7"/>
    <hyperlink ref="B12" r:id="rId11" display="http://www.opentraintimes.com/schedule/L70403/2012/8/6"/>
    <hyperlink ref="B13" r:id="rId12" display="http://www.opentraintimes.com/schedule/L70315/2012/8/7"/>
    <hyperlink ref="B14" r:id="rId13" display="http://www.opentraintimes.com/schedule/G07386/2012/8/7"/>
    <hyperlink ref="B15" r:id="rId14" display="http://www.opentraintimes.com/schedule/L70310/2012/8/6"/>
    <hyperlink ref="B16" r:id="rId15" display="http://www.opentraintimes.com/schedule/G26130/2012/8/6"/>
    <hyperlink ref="B17" r:id="rId16" display="http://www.opentraintimes.com/schedule/L70425/2012/8/7"/>
    <hyperlink ref="B18" r:id="rId17" display="http://www.opentraintimes.com/schedule/G26395/2012/8/7"/>
    <hyperlink ref="B19" r:id="rId18" display="http://www.opentraintimes.com/schedule/G20741/2012/8/7"/>
    <hyperlink ref="B20" r:id="rId19" display="http://www.opentraintimes.com/schedule/G20955/2012/8/7"/>
    <hyperlink ref="B21" r:id="rId20" display="http://www.opentraintimes.com/schedule/L70407/2012/8/6"/>
    <hyperlink ref="B22" r:id="rId21" display="http://www.opentraintimes.com/schedule/G70935/2012/8/7"/>
    <hyperlink ref="B23" r:id="rId22" display="http://www.opentraintimes.com/schedule/G22551/2012/8/7"/>
    <hyperlink ref="B24" r:id="rId23" display="http://www.opentraintimes.com/schedule/L70317/2012/8/7"/>
    <hyperlink ref="B25" r:id="rId24" display="http://www.opentraintimes.com/schedule/G26424/2012/8/7"/>
    <hyperlink ref="B26" r:id="rId25" display="http://www.opentraintimes.com/schedule/L70311/2012/8/6"/>
    <hyperlink ref="B27" r:id="rId26" display="http://www.opentraintimes.com/schedule/L70429/2012/8/7"/>
    <hyperlink ref="B28" r:id="rId27" display="http://www.opentraintimes.com/schedule/G26162/2012/8/6"/>
    <hyperlink ref="B29" r:id="rId28" display="http://www.opentraintimes.com/schedule/G21847/2012/8/7"/>
    <hyperlink ref="B30" r:id="rId29" display="http://www.opentraintimes.com/schedule/G26452/2012/8/7"/>
    <hyperlink ref="B31" r:id="rId30" display="http://www.opentraintimes.com/schedule/L70411/2012/8/6"/>
    <hyperlink ref="B32" r:id="rId31" display="http://www.opentraintimes.com/schedule/L70411/2012/8/7"/>
    <hyperlink ref="B33" r:id="rId32" display="http://www.opentraintimes.com/schedule/L70319/2012/8/7"/>
    <hyperlink ref="B34" r:id="rId33" display="http://www.opentraintimes.com/schedule/L70312/2012/8/7"/>
    <hyperlink ref="B35" r:id="rId34" display="http://www.opentraintimes.com/schedule/L70312/2012/8/6"/>
    <hyperlink ref="B36" r:id="rId35" display="http://www.opentraintimes.com/schedule/G26196/2012/8/7"/>
    <hyperlink ref="B37" r:id="rId36" display="http://www.opentraintimes.com/schedule/G20960/2012/8/7"/>
    <hyperlink ref="B38" r:id="rId37" display="http://www.opentraintimes.com/schedule/L70433/2012/8/7"/>
    <hyperlink ref="B39" r:id="rId38" display="http://www.opentraintimes.com/schedule/G26477/2012/8/7"/>
    <hyperlink ref="B40" r:id="rId39" display="http://www.opentraintimes.com/schedule/L70415/2012/8/6"/>
    <hyperlink ref="B41" r:id="rId40" display="http://www.opentraintimes.com/schedule/L70321/2012/8/7"/>
    <hyperlink ref="B42" r:id="rId41" display="http://www.opentraintimes.com/schedule/G20747/2012/8/7"/>
    <hyperlink ref="B43" r:id="rId42" display="http://www.opentraintimes.com/schedule/G22554/2012/8/7"/>
    <hyperlink ref="B44" r:id="rId43" display="http://www.opentraintimes.com/schedule/G26507/2012/8/7"/>
    <hyperlink ref="B45" r:id="rId44" display="http://www.opentraintimes.com/schedule/L70313/2012/8/6"/>
    <hyperlink ref="B46" r:id="rId45" display="http://www.opentraintimes.com/schedule/G26225/2012/8/7"/>
    <hyperlink ref="B47" r:id="rId46" display="http://www.opentraintimes.com/schedule/G26536/2012/8/7"/>
    <hyperlink ref="B49" r:id="rId47" display="http://www.opentraintimes.com/schedule/G20967/2012/8/7"/>
    <hyperlink ref="B50" r:id="rId48" display="http://www.opentraintimes.com/schedule/G26560/2012/8/7"/>
    <hyperlink ref="B51" r:id="rId49" display="http://www.opentraintimes.com/schedule/G22557/2012/8/7"/>
    <hyperlink ref="B52" r:id="rId50" display="http://www.opentraintimes.com/schedule/G26580/2012/8/7"/>
    <hyperlink ref="B53" r:id="rId51" display="http://www.opentraintimes.com/schedule/G22560/2012/8/7"/>
    <hyperlink ref="B54" r:id="rId52" display="http://www.opentraintimes.com/schedule/G22470/2012/8/7"/>
    <hyperlink ref="B55" r:id="rId53" display="http://www.opentraintimes.com/schedule/G22563/2012/8/7"/>
    <hyperlink ref="B56" r:id="rId54" display="http://www.opentraintimes.com/schedule/G26618/2012/8/7"/>
    <hyperlink ref="B57" r:id="rId55" display="http://www.opentraintimes.com/schedule/G22484/2012/8/7"/>
    <hyperlink ref="B58" r:id="rId56" display="http://www.opentraintimes.com/schedule/G26656/2012/8/7"/>
    <hyperlink ref="B59" r:id="rId57" display="http://www.opentraintimes.com/schedule/G22494/2012/8/7"/>
    <hyperlink ref="B60" r:id="rId58" display="http://www.opentraintimes.com/schedule/G23961/2012/8/7"/>
    <hyperlink ref="B61" r:id="rId59" display="http://www.opentraintimes.com/schedule/G22305/2012/8/7"/>
    <hyperlink ref="B62" r:id="rId60" display="http://www.opentraintimes.com/schedule/G24196/2012/8/7"/>
    <hyperlink ref="B63" r:id="rId61" display="http://www.opentraintimes.com/schedule/G23966/2012/8/7"/>
    <hyperlink ref="B64" r:id="rId62" display="http://www.opentraintimes.com/schedule/G23971/2012/8/7"/>
    <hyperlink ref="B65" r:id="rId63" display="http://www.opentraintimes.com/schedule/G22920/2012/8/7"/>
    <hyperlink ref="B66" r:id="rId64" display="http://www.opentraintimes.com/schedule/G26010/2012/8/7"/>
    <hyperlink ref="B67" r:id="rId65" display="http://www.opentraintimes.com/schedule/L70325/2012/8/7"/>
    <hyperlink ref="B68" r:id="rId66" display="http://www.opentraintimes.com/schedule/G22313/2012/8/7"/>
    <hyperlink ref="B69" r:id="rId67" display="http://www.opentraintimes.com/schedule/G20809/2012/8/7"/>
    <hyperlink ref="B70" r:id="rId68" display="http://www.opentraintimes.com/schedule/G28974/2012/8/7"/>
    <hyperlink ref="B71" r:id="rId69" display="http://www.opentraintimes.com/schedule/L70479/2012/8/7"/>
    <hyperlink ref="B72" r:id="rId70" display="http://www.opentraintimes.com/schedule/G20803/2012/8/7"/>
    <hyperlink ref="B73" r:id="rId71" display="http://www.opentraintimes.com/schedule/G29118/2012/8/7"/>
    <hyperlink ref="B74" r:id="rId72" display="http://www.opentraintimes.com/schedule/G25997/2012/8/7"/>
    <hyperlink ref="B75" r:id="rId73" display="http://www.opentraintimes.com/schedule/L70332/2012/8/7"/>
    <hyperlink ref="B76" r:id="rId74" display="http://www.opentraintimes.com/schedule/G20530/2012/8/7"/>
    <hyperlink ref="B77" r:id="rId75" display="http://www.opentraintimes.com/schedule/G26044/2012/8/7"/>
    <hyperlink ref="B78" r:id="rId76" display="http://www.opentraintimes.com/schedule/G21338/2012/8/7"/>
    <hyperlink ref="B79" r:id="rId77" display="http://www.opentraintimes.com/schedule/G20815/2012/8/7"/>
    <hyperlink ref="B80" r:id="rId78" display="http://www.opentraintimes.com/schedule/L70480/2012/8/7"/>
    <hyperlink ref="B81" r:id="rId79" display="http://www.opentraintimes.com/schedule/G26074/2012/8/7"/>
    <hyperlink ref="B82" r:id="rId80" display="http://www.opentraintimes.com/schedule/G26027/2012/8/7"/>
    <hyperlink ref="B83" r:id="rId81" display="http://www.opentraintimes.com/schedule/G20537/2012/8/7"/>
    <hyperlink ref="B84" r:id="rId82" display="http://www.opentraintimes.com/schedule/G20811/2012/8/7"/>
    <hyperlink ref="B85" r:id="rId83" display="http://www.opentraintimes.com/schedule/G21853/2012/8/7"/>
    <hyperlink ref="B86" r:id="rId84" display="http://www.opentraintimes.com/schedule/L70336/2012/8/7"/>
    <hyperlink ref="B87" r:id="rId85" display="http://www.opentraintimes.com/schedule/G26108/2012/8/7"/>
    <hyperlink ref="B88" r:id="rId86" display="http://www.opentraintimes.com/schedule/G22322/2012/8/7"/>
    <hyperlink ref="B89" r:id="rId87" display="http://www.opentraintimes.com/schedule/G29132/2012/8/7"/>
    <hyperlink ref="B90" r:id="rId88" display="http://www.opentraintimes.com/schedule/G20826/2012/8/7"/>
    <hyperlink ref="B91" r:id="rId89" display="http://www.opentraintimes.com/schedule/L70322/2012/8/7"/>
    <hyperlink ref="B92" r:id="rId90" display="http://www.opentraintimes.com/schedule/G21547/2012/8/7"/>
    <hyperlink ref="B93" r:id="rId91" display="http://www.opentraintimes.com/schedule/L70481/2012/8/7"/>
    <hyperlink ref="B94" r:id="rId92" display="http://www.opentraintimes.com/schedule/G29133/2012/8/7"/>
    <hyperlink ref="B95" r:id="rId93" display="http://www.opentraintimes.com/schedule/L77162/2012/8/7"/>
    <hyperlink ref="B96" r:id="rId94" display="http://www.opentraintimes.com/schedule/G26139/2012/8/7"/>
    <hyperlink ref="B97" r:id="rId95" display="http://www.opentraintimes.com/schedule/G26059/2012/8/7"/>
    <hyperlink ref="B98" r:id="rId96" display="http://www.opentraintimes.com/schedule/G21335/2012/8/7"/>
    <hyperlink ref="B99" r:id="rId97" display="http://www.opentraintimes.com/schedule/L70340/2012/8/7"/>
    <hyperlink ref="B100" r:id="rId98" display="http://www.opentraintimes.com/schedule/G20817/2012/8/7"/>
    <hyperlink ref="B101" r:id="rId99" display="http://www.opentraintimes.com/schedule/L70241/2012/8/7"/>
    <hyperlink ref="B102" r:id="rId100" display="http://www.opentraintimes.com/schedule/G29943/2012/8/7"/>
    <hyperlink ref="B103" r:id="rId101" display="http://www.opentraintimes.com/schedule/G21535/2012/8/7"/>
    <hyperlink ref="B104" r:id="rId102" display="http://www.opentraintimes.com/schedule/G20013/2012/8/7"/>
    <hyperlink ref="B105" r:id="rId103" display="http://www.opentraintimes.com/schedule/L70482/2012/8/7"/>
    <hyperlink ref="B106" r:id="rId104" display="http://www.opentraintimes.com/schedule/G26168/2012/8/7"/>
    <hyperlink ref="B107" r:id="rId105" display="http://www.opentraintimes.com/schedule/L77163/2012/8/7"/>
    <hyperlink ref="B108" r:id="rId106" display="http://www.opentraintimes.com/schedule/G26091/2012/8/7"/>
    <hyperlink ref="B109" r:id="rId107" display="http://www.opentraintimes.com/schedule/G20838/2012/8/7"/>
    <hyperlink ref="B110" r:id="rId108" display="http://www.opentraintimes.com/schedule/G29134/2012/8/7"/>
    <hyperlink ref="B111" r:id="rId109" display="http://www.opentraintimes.com/schedule/L70344/2012/8/7"/>
    <hyperlink ref="B112" r:id="rId110" display="http://www.opentraintimes.com/schedule/G20543/2012/8/7"/>
    <hyperlink ref="B113" r:id="rId111" display="http://www.opentraintimes.com/schedule/L70326/2012/8/7"/>
    <hyperlink ref="B114" r:id="rId112" display="http://www.opentraintimes.com/schedule/G20545/2012/8/7"/>
    <hyperlink ref="B115" r:id="rId113" display="http://www.opentraintimes.com/schedule/G26201/2012/8/7"/>
    <hyperlink ref="B116" r:id="rId114" display="http://www.opentraintimes.com/schedule/G26123/2012/8/7"/>
    <hyperlink ref="B117" r:id="rId115" display="http://www.opentraintimes.com/schedule/L70483/2012/8/7"/>
    <hyperlink ref="B118" r:id="rId116" display="http://www.opentraintimes.com/schedule/G20830/2012/8/7"/>
    <hyperlink ref="B119" r:id="rId117" display="http://www.opentraintimes.com/schedule/G20841/2012/8/7"/>
    <hyperlink ref="B120" r:id="rId118" display="http://www.opentraintimes.com/schedule/L77161/2012/8/7"/>
    <hyperlink ref="B121" r:id="rId119" display="http://www.opentraintimes.com/schedule/G26155/2012/8/7"/>
    <hyperlink ref="B122" r:id="rId120" display="http://www.opentraintimes.com/schedule/L70348/2012/8/7"/>
    <hyperlink ref="B123" r:id="rId121" display="http://www.opentraintimes.com/schedule/G21342/2012/8/7"/>
    <hyperlink ref="B124" r:id="rId122" display="http://www.opentraintimes.com/schedule/G26231/2012/8/7"/>
    <hyperlink ref="B125" r:id="rId123" display="http://www.opentraintimes.com/schedule/G20550/2012/8/7"/>
    <hyperlink ref="B126" r:id="rId124" display="http://www.opentraintimes.com/schedule/G20780/2012/8/7"/>
    <hyperlink ref="B127" r:id="rId125" display="http://www.opentraintimes.com/schedule/G29513/2012/8/7"/>
    <hyperlink ref="B128" r:id="rId126" display="http://www.opentraintimes.com/schedule/G22331/2012/8/7"/>
    <hyperlink ref="B129" r:id="rId127" display="http://www.opentraintimes.com/schedule/L70330/2012/8/7"/>
    <hyperlink ref="B130" r:id="rId128" display="http://www.opentraintimes.com/schedule/G21864/2012/8/7"/>
    <hyperlink ref="B131" r:id="rId129" display="http://www.opentraintimes.com/schedule/G26186/2012/8/7"/>
    <hyperlink ref="B132" r:id="rId130" display="http://www.opentraintimes.com/schedule/L70484/2012/8/7"/>
    <hyperlink ref="B133" r:id="rId131" display="http://www.opentraintimes.com/schedule/G21543/2012/8/7"/>
    <hyperlink ref="B134" r:id="rId132" display="http://www.opentraintimes.com/schedule/G26264/2012/8/7"/>
    <hyperlink ref="B135" r:id="rId133" display="http://www.opentraintimes.com/schedule/L70242/2012/8/7"/>
    <hyperlink ref="B136" r:id="rId134" display="http://www.opentraintimes.com/schedule/G20853/2012/8/7"/>
    <hyperlink ref="B137" r:id="rId135" display="http://www.opentraintimes.com/schedule/G23992/2012/8/7"/>
    <hyperlink ref="B138" r:id="rId136" display="http://www.opentraintimes.com/schedule/G22344/2012/8/7"/>
    <hyperlink ref="B139" r:id="rId137" display="http://www.opentraintimes.com/schedule/L70352/2012/8/7"/>
    <hyperlink ref="B140" r:id="rId138" display="http://www.opentraintimes.com/schedule/G20555/2012/8/7"/>
    <hyperlink ref="B141" r:id="rId139" display="http://www.opentraintimes.com/schedule/L77134/2012/8/7"/>
    <hyperlink ref="B142" r:id="rId140" display="http://www.opentraintimes.com/schedule/G26217/2012/8/7"/>
    <hyperlink ref="B143" r:id="rId141" display="http://www.opentraintimes.com/schedule/G21347/2012/8/7"/>
    <hyperlink ref="B144" r:id="rId142" display="http://www.opentraintimes.com/schedule/L77129/2012/8/7"/>
    <hyperlink ref="B145" r:id="rId143" display="http://www.opentraintimes.com/schedule/G21352/2012/8/7"/>
    <hyperlink ref="B146" r:id="rId144" display="http://www.opentraintimes.com/schedule/G26295/2012/8/7"/>
    <hyperlink ref="B147" r:id="rId145" display="http://www.opentraintimes.com/schedule/L70334/2012/8/7"/>
    <hyperlink ref="B148" r:id="rId146" display="http://www.opentraintimes.com/schedule/L70485/2012/8/7"/>
    <hyperlink ref="B149" r:id="rId147" display="http://www.opentraintimes.com/schedule/G22353/2012/8/7"/>
    <hyperlink ref="B150" r:id="rId148" display="http://www.opentraintimes.com/schedule/G22353/2012/8/7"/>
    <hyperlink ref="B151" r:id="rId149" display="http://www.opentraintimes.com/schedule/G29135/2012/8/7"/>
    <hyperlink ref="B152" r:id="rId150" display="http://www.opentraintimes.com/schedule/L70243/2012/8/7"/>
    <hyperlink ref="B153" r:id="rId151" display="http://www.opentraintimes.com/schedule/G26248/2012/8/7"/>
    <hyperlink ref="B154" r:id="rId152" display="http://www.opentraintimes.com/schedule/G20561/2012/8/7"/>
    <hyperlink ref="B155" r:id="rId153" display="http://www.opentraintimes.com/schedule/L70356/2012/8/7"/>
    <hyperlink ref="B156" r:id="rId154" display="http://www.opentraintimes.com/schedule/G26327/2012/8/7"/>
    <hyperlink ref="B157" r:id="rId155" display="http://www.opentraintimes.com/schedule/G21563/2012/8/7"/>
    <hyperlink ref="B158" r:id="rId156" display="http://www.opentraintimes.com/schedule/G06361/2012/8/7"/>
    <hyperlink ref="B159" r:id="rId157" display="http://www.opentraintimes.com/schedule/G29136/2012/8/7"/>
    <hyperlink ref="B160" r:id="rId158" display="http://www.opentraintimes.com/schedule/G20875/2012/8/7"/>
    <hyperlink ref="B161" r:id="rId159" display="http://www.opentraintimes.com/schedule/G20845/2012/8/7"/>
    <hyperlink ref="B162" r:id="rId160" display="http://www.opentraintimes.com/schedule/G22362/2012/8/7"/>
    <hyperlink ref="B163" r:id="rId161" display="http://www.opentraintimes.com/schedule/L70338/2012/8/7"/>
    <hyperlink ref="B164" r:id="rId162" display="http://www.opentraintimes.com/schedule/G06358/2012/8/7"/>
    <hyperlink ref="B165" r:id="rId163" display="http://www.opentraintimes.com/schedule/G20557/2012/8/7"/>
    <hyperlink ref="B166" r:id="rId164" display="http://www.opentraintimes.com/schedule/L70486/2012/8/7"/>
    <hyperlink ref="B167" r:id="rId165" display="http://www.opentraintimes.com/schedule/G26282/2012/8/7"/>
    <hyperlink ref="B168" r:id="rId166" display="http://www.opentraintimes.com/schedule/G26356/2012/8/7"/>
    <hyperlink ref="B169" r:id="rId167" display="http://www.opentraintimes.com/schedule/L70244/2012/8/7"/>
    <hyperlink ref="B170" r:id="rId168" display="http://www.opentraintimes.com/schedule/G20782/2012/8/7"/>
    <hyperlink ref="B171" r:id="rId169" display="http://www.opentraintimes.com/schedule/G22369/2012/8/7"/>
    <hyperlink ref="B172" r:id="rId170" display="http://www.opentraintimes.com/schedule/L70360/2012/8/7"/>
    <hyperlink ref="B173" r:id="rId171" display="http://www.opentraintimes.com/schedule/G20891/2012/8/7"/>
    <hyperlink ref="B174" r:id="rId172" display="http://www.opentraintimes.com/schedule/G20563/2012/8/7"/>
    <hyperlink ref="B175" r:id="rId173" display="http://www.opentraintimes.com/schedule/L77135/2012/8/7"/>
    <hyperlink ref="B176" r:id="rId174" display="http://www.opentraintimes.com/schedule/G26313/2012/8/7"/>
    <hyperlink ref="B177" r:id="rId175" display="http://www.opentraintimes.com/schedule/G20567/2012/8/7"/>
    <hyperlink ref="B178" r:id="rId176" display="http://www.opentraintimes.com/schedule/L77130/2012/8/7"/>
    <hyperlink ref="B179" r:id="rId177" display="http://www.opentraintimes.com/schedule/G21360/2012/8/7"/>
    <hyperlink ref="B180" r:id="rId178" display="http://www.opentraintimes.com/schedule/G26385/2012/8/7"/>
    <hyperlink ref="B181" r:id="rId179" display="http://www.opentraintimes.com/schedule/L70342/2012/8/7"/>
    <hyperlink ref="B182" r:id="rId180" display="http://www.opentraintimes.com/schedule/L70487/2012/8/7"/>
    <hyperlink ref="B183" r:id="rId181" display="http://www.opentraintimes.com/schedule/G21860/2012/8/7"/>
    <hyperlink ref="B184" r:id="rId182" display="http://www.opentraintimes.com/schedule/G22380/2012/8/7"/>
    <hyperlink ref="B185" r:id="rId183" display="http://www.opentraintimes.com/schedule/L70245/2012/8/7"/>
    <hyperlink ref="B186" r:id="rId184" display="http://www.opentraintimes.com/schedule/G29137/2012/8/7"/>
    <hyperlink ref="B187" r:id="rId185" display="http://www.opentraintimes.com/schedule/G20901/2012/8/7"/>
    <hyperlink ref="B188" r:id="rId186" display="http://www.opentraintimes.com/schedule/G20861/2012/8/7"/>
    <hyperlink ref="B189" r:id="rId187" display="http://www.opentraintimes.com/schedule/G26343/2012/8/7"/>
    <hyperlink ref="B190" r:id="rId188" display="http://www.opentraintimes.com/schedule/L70364/2012/8/7"/>
    <hyperlink ref="B191" r:id="rId189" display="http://www.opentraintimes.com/schedule/G20571/2012/8/7"/>
    <hyperlink ref="B192" r:id="rId190" display="http://www.opentraintimes.com/schedule/G26414/2012/8/7"/>
    <hyperlink ref="B193" r:id="rId191" display="http://www.opentraintimes.com/schedule/G22034/2012/8/7"/>
    <hyperlink ref="B194" r:id="rId192" display="http://www.opentraintimes.com/schedule/G21368/2012/8/7"/>
    <hyperlink ref="B195" r:id="rId193" display="http://www.opentraintimes.com/schedule/G29119/2012/8/7"/>
    <hyperlink ref="B196" r:id="rId194" display="http://www.opentraintimes.com/schedule/G22387/2012/8/7"/>
    <hyperlink ref="B197" r:id="rId195" display="http://www.opentraintimes.com/schedule/L70346/2012/8/7"/>
    <hyperlink ref="B198" r:id="rId196" display="http://www.opentraintimes.com/schedule/G21874/2012/8/7"/>
    <hyperlink ref="B199" r:id="rId197" display="http://www.opentraintimes.com/schedule/G22536/2012/8/7"/>
    <hyperlink ref="B200" r:id="rId198" display="http://www.opentraintimes.com/schedule/L70488/2012/8/7"/>
    <hyperlink ref="B201" r:id="rId199" display="http://www.opentraintimes.com/schedule/G26371/2012/8/7"/>
    <hyperlink ref="B202" r:id="rId200" display="http://www.opentraintimes.com/schedule/G20916/2012/8/7"/>
    <hyperlink ref="B203" r:id="rId201" display="http://www.opentraintimes.com/schedule/G26442/2012/8/7"/>
    <hyperlink ref="B204" r:id="rId202" display="http://www.opentraintimes.com/schedule/G22394/2012/8/7"/>
    <hyperlink ref="B205" r:id="rId203" display="http://www.opentraintimes.com/schedule/G20575/2012/8/7"/>
    <hyperlink ref="B206" r:id="rId204" display="http://www.opentraintimes.com/schedule/L70246/2012/8/7"/>
    <hyperlink ref="B207" r:id="rId205" display="http://www.opentraintimes.com/schedule/G20871/2012/8/7"/>
    <hyperlink ref="B208" r:id="rId206" display="http://www.opentraintimes.com/schedule/G20581/2012/8/7"/>
    <hyperlink ref="B209" r:id="rId207" display="http://www.opentraintimes.com/schedule/G26401/2012/8/7"/>
    <hyperlink ref="B210" r:id="rId208" display="http://www.opentraintimes.com/schedule/L70368/2012/8/7"/>
    <hyperlink ref="B211" r:id="rId209" display="http://www.opentraintimes.com/schedule/G20924/2012/8/7"/>
    <hyperlink ref="B212" r:id="rId210" display="http://www.opentraintimes.com/schedule/G22539/2012/8/7"/>
    <hyperlink ref="B213" r:id="rId211" display="http://www.opentraintimes.com/schedule/L77136/2012/8/7"/>
    <hyperlink ref="B214" r:id="rId212" display="http://www.opentraintimes.com/schedule/G21363/2012/8/7"/>
    <hyperlink ref="B215" r:id="rId213" display="http://www.opentraintimes.com/schedule/L77131/2012/8/7"/>
    <hyperlink ref="B216" r:id="rId214" display="http://www.opentraintimes.com/schedule/G21372/2012/8/7"/>
    <hyperlink ref="B217" r:id="rId215" display="http://www.opentraintimes.com/schedule/G22401/2012/8/7"/>
    <hyperlink ref="B218" r:id="rId216" display="http://www.opentraintimes.com/schedule/G26467/2012/8/7"/>
    <hyperlink ref="B219" r:id="rId217" display="http://www.opentraintimes.com/schedule/L70350/2012/8/7"/>
    <hyperlink ref="B220" r:id="rId218" display="http://www.opentraintimes.com/schedule/G21567/2012/8/7"/>
    <hyperlink ref="B221" r:id="rId219" display="http://www.opentraintimes.com/schedule/L70489/2012/8/7"/>
    <hyperlink ref="B222" r:id="rId220" display="http://www.opentraintimes.com/schedule/G24023/2012/8/7"/>
    <hyperlink ref="B223" r:id="rId221" display="http://www.opentraintimes.com/schedule/G29138/2012/8/7"/>
    <hyperlink ref="B224" r:id="rId222" display="http://www.opentraintimes.com/schedule/L70247/2012/8/7"/>
    <hyperlink ref="B225" r:id="rId223" display="http://www.opentraintimes.com/schedule/G20934/2012/8/7"/>
    <hyperlink ref="B226" r:id="rId224" display="http://www.opentraintimes.com/schedule/G26429/2012/8/7"/>
    <hyperlink ref="B227" r:id="rId225" display="http://www.opentraintimes.com/schedule/G22544/2012/8/7"/>
    <hyperlink ref="B228" r:id="rId226" display="http://www.opentraintimes.com/schedule/G20784/2012/8/7"/>
    <hyperlink ref="B229" r:id="rId227" display="http://www.opentraintimes.com/schedule/L70372/2012/8/7"/>
    <hyperlink ref="B230" r:id="rId228" display="http://www.opentraintimes.com/schedule/G22412/2012/8/7"/>
    <hyperlink ref="B231" r:id="rId229" display="http://www.opentraintimes.com/schedule/G26497/2012/8/7"/>
    <hyperlink ref="B232" r:id="rId230" display="http://www.opentraintimes.com/schedule/G21575/2012/8/7"/>
    <hyperlink ref="B233" r:id="rId231" display="http://www.opentraintimes.com/schedule/G20587/2012/8/7"/>
    <hyperlink ref="B234" r:id="rId232" display="http://www.opentraintimes.com/schedule/G22419/2012/8/7"/>
    <hyperlink ref="B235" r:id="rId233" display="http://www.opentraintimes.com/schedule/G29139/2012/8/7"/>
    <hyperlink ref="B236" r:id="rId234" display="http://www.opentraintimes.com/schedule/G20025/2012/8/7"/>
    <hyperlink ref="B237" r:id="rId235" display="http://www.opentraintimes.com/schedule/G20883/2012/8/7"/>
    <hyperlink ref="B238" r:id="rId236" display="http://www.opentraintimes.com/schedule/G20942/2012/8/7"/>
    <hyperlink ref="B239" r:id="rId237" display="http://www.opentraintimes.com/schedule/G26458/2012/8/7"/>
    <hyperlink ref="B240" r:id="rId238" display="http://www.opentraintimes.com/schedule/L70354/2012/8/7"/>
    <hyperlink ref="B241" r:id="rId239" display="http://www.opentraintimes.com/schedule/G20573/2012/8/7"/>
    <hyperlink ref="B242" r:id="rId240" display="http://www.opentraintimes.com/schedule/L70490/2012/8/7"/>
    <hyperlink ref="B243" r:id="rId241" display="http://www.opentraintimes.com/schedule/G20017/2012/8/7"/>
    <hyperlink ref="B244" r:id="rId242" display="http://www.opentraintimes.com/schedule/G22426/2012/8/7"/>
    <hyperlink ref="B245" r:id="rId243" display="http://www.opentraintimes.com/schedule/G26526/2012/8/7"/>
    <hyperlink ref="B246" r:id="rId244" display="http://www.opentraintimes.com/schedule/G21869/2012/8/7"/>
    <hyperlink ref="B247" r:id="rId245" display="http://www.opentraintimes.com/schedule/L70248/2012/8/7"/>
    <hyperlink ref="B248" r:id="rId246" display="http://www.opentraintimes.com/schedule/G22433/2012/8/7"/>
    <hyperlink ref="B249" r:id="rId247" display="http://www.opentraintimes.com/schedule/L70376/2012/8/7"/>
    <hyperlink ref="B250" r:id="rId248" display="http://www.opentraintimes.com/schedule/G22548/2012/8/7"/>
    <hyperlink ref="B251" r:id="rId249" display="http://www.opentraintimes.com/schedule/G21580/2012/8/7"/>
    <hyperlink ref="B252" r:id="rId250" display="http://www.opentraintimes.com/schedule/G26483/2012/8/7"/>
    <hyperlink ref="B253" r:id="rId251" display="http://www.opentraintimes.com/schedule/L77137/2012/8/7"/>
    <hyperlink ref="B254" r:id="rId252" display="http://www.opentraintimes.com/schedule/G20579/2012/8/7"/>
    <hyperlink ref="B255" r:id="rId253" display="http://www.opentraintimes.com/schedule/L77132/2012/8/7"/>
    <hyperlink ref="B256" r:id="rId254" display="http://www.opentraintimes.com/schedule/G20957/2012/8/7"/>
    <hyperlink ref="B257" r:id="rId255" display="http://www.opentraintimes.com/schedule/G26550/2012/8/7"/>
    <hyperlink ref="B258" r:id="rId256" display="http://www.opentraintimes.com/schedule/L70358/2012/8/7"/>
    <hyperlink ref="B259" r:id="rId257" display="http://www.opentraintimes.com/schedule/G20593/2012/8/7"/>
    <hyperlink ref="B260" r:id="rId258" display="http://www.opentraintimes.com/schedule/L70491/2012/8/7"/>
    <hyperlink ref="B261" r:id="rId259" display="http://www.opentraintimes.com/schedule/G22445/2012/8/7"/>
    <hyperlink ref="B262" r:id="rId260" display="http://www.opentraintimes.com/schedule/G29140/2012/8/7"/>
    <hyperlink ref="B263" r:id="rId261" display="http://www.opentraintimes.com/schedule/G22552/2012/8/7"/>
    <hyperlink ref="B264" r:id="rId262" display="http://www.opentraintimes.com/schedule/G20893/2012/8/7"/>
    <hyperlink ref="B265" r:id="rId263" display="http://www.opentraintimes.com/schedule/G22452/2012/8/7"/>
    <hyperlink ref="B266" r:id="rId264" display="http://www.opentraintimes.com/schedule/L70249/2012/8/7"/>
    <hyperlink ref="B267" r:id="rId265" display="http://www.opentraintimes.com/schedule/G22555/2012/8/7"/>
    <hyperlink ref="B268" r:id="rId266" display="http://www.opentraintimes.com/schedule/G24049/2012/8/7"/>
    <hyperlink ref="B269" r:id="rId267" display="http://www.opentraintimes.com/schedule/G26512/2012/8/7"/>
    <hyperlink ref="B270" r:id="rId268" display="http://www.opentraintimes.com/schedule/L70380/2012/8/7"/>
    <hyperlink ref="B271" r:id="rId269" display="http://www.opentraintimes.com/schedule/G26570/2012/8/7"/>
    <hyperlink ref="B272" r:id="rId270" display="http://www.opentraintimes.com/schedule/G20601/2012/8/7"/>
    <hyperlink ref="B273" r:id="rId271" display="http://www.opentraintimes.com/schedule/G21880/2012/8/7"/>
    <hyperlink ref="B274" r:id="rId272" display="http://www.opentraintimes.com/schedule/G22460/2012/8/7"/>
    <hyperlink ref="B275" r:id="rId273" display="http://www.opentraintimes.com/schedule/G29120/2012/8/7"/>
    <hyperlink ref="B276" r:id="rId274" display="http://www.opentraintimes.com/schedule/G22558/2012/8/7"/>
    <hyperlink ref="B277" r:id="rId275" display="http://www.opentraintimes.com/schedule/G22464/2012/8/7"/>
    <hyperlink ref="B278" r:id="rId276" display="http://www.opentraintimes.com/schedule/L70362/2012/8/7"/>
    <hyperlink ref="B279" r:id="rId277" display="http://www.opentraintimes.com/schedule/L70492/2012/8/7"/>
    <hyperlink ref="B280" r:id="rId278" display="http://www.opentraintimes.com/schedule/G21589/2012/8/7"/>
    <hyperlink ref="B281" r:id="rId279" display="http://www.opentraintimes.com/schedule/G26590/2012/8/7"/>
    <hyperlink ref="B282" r:id="rId280" display="http://www.opentraintimes.com/schedule/G20786/2012/8/7"/>
    <hyperlink ref="B283" r:id="rId281" display="http://www.opentraintimes.com/schedule/G26537/2012/8/7"/>
    <hyperlink ref="B284" r:id="rId282" display="http://www.opentraintimes.com/schedule/L70250/2012/8/7"/>
    <hyperlink ref="B285" r:id="rId283" display="http://www.opentraintimes.com/schedule/G20904/2012/8/7"/>
    <hyperlink ref="B286" r:id="rId284" display="http://www.opentraintimes.com/schedule/L70384/2012/8/7"/>
    <hyperlink ref="B287" r:id="rId285" display="http://www.opentraintimes.com/schedule/G20969/2012/8/7"/>
    <hyperlink ref="B288" r:id="rId286" display="http://www.opentraintimes.com/schedule/G20019/2012/8/7"/>
    <hyperlink ref="B289" r:id="rId287" display="http://www.opentraintimes.com/schedule/G22561/2012/8/7"/>
    <hyperlink ref="B290" r:id="rId288" display="http://www.opentraintimes.com/schedule/G21377/2012/8/7"/>
    <hyperlink ref="B291" r:id="rId289" display="http://www.opentraintimes.com/schedule/L77138/2012/8/7"/>
    <hyperlink ref="B292" r:id="rId290" display="http://www.opentraintimes.com/schedule/L77133/2012/8/7"/>
    <hyperlink ref="B293" r:id="rId291" display="http://www.opentraintimes.com/schedule/G21598/2012/8/7"/>
    <hyperlink ref="B294" r:id="rId292" display="http://www.opentraintimes.com/schedule/G26608/2012/8/7"/>
    <hyperlink ref="B295" r:id="rId293" display="http://www.opentraintimes.com/schedule/L70366/2012/8/7"/>
    <hyperlink ref="B296" r:id="rId294" display="http://www.opentraintimes.com/schedule/G26561/2012/8/7"/>
    <hyperlink ref="B297" r:id="rId295" display="http://www.opentraintimes.com/schedule/G29141/2012/8/7"/>
    <hyperlink ref="B298" r:id="rId296" display="http://www.opentraintimes.com/schedule/L70493/2012/8/7"/>
    <hyperlink ref="B299" r:id="rId297" display="http://www.opentraintimes.com/schedule/G22564/2012/8/7"/>
    <hyperlink ref="B300" r:id="rId298" display="http://www.opentraintimes.com/schedule/L70251/2012/8/7"/>
    <hyperlink ref="B301" r:id="rId299" display="http://www.opentraintimes.com/schedule/L70388/2012/8/7"/>
    <hyperlink ref="B302" r:id="rId300" display="http://www.opentraintimes.com/schedule/G26628/2012/8/7"/>
    <hyperlink ref="B303" r:id="rId301" display="http://www.opentraintimes.com/schedule/G20613/2012/8/7"/>
    <hyperlink ref="B304" r:id="rId302" display="http://www.opentraintimes.com/schedule/G21593/2012/8/7"/>
    <hyperlink ref="B305" r:id="rId303" display="http://www.opentraintimes.com/schedule/G26581/2012/8/7"/>
    <hyperlink ref="B306" r:id="rId304" display="http://www.opentraintimes.com/schedule/G29143/2012/8/7"/>
    <hyperlink ref="B307" r:id="rId305" display="http://www.opentraintimes.com/schedule/G22565/2012/8/7"/>
    <hyperlink ref="B308" r:id="rId306" display="http://www.opentraintimes.com/schedule/G21427/2012/8/7"/>
    <hyperlink ref="B309" r:id="rId307" display="http://www.opentraintimes.com/schedule/G20910/2012/8/7"/>
    <hyperlink ref="B310" r:id="rId308" display="http://www.opentraintimes.com/schedule/L70370/2012/8/7"/>
    <hyperlink ref="B311" r:id="rId309" display="http://www.opentraintimes.com/schedule/G20981/2012/8/7"/>
    <hyperlink ref="B312" r:id="rId310" display="http://www.opentraintimes.com/schedule/G23099/2012/8/7"/>
    <hyperlink ref="B313" r:id="rId311" display="http://www.opentraintimes.com/schedule/L70494/2012/8/7"/>
    <hyperlink ref="B314" r:id="rId312" display="http://www.opentraintimes.com/schedule/G26646/2012/8/7"/>
    <hyperlink ref="B315" r:id="rId313" display="http://www.opentraintimes.com/schedule/L70252/2012/8/7"/>
    <hyperlink ref="B316" r:id="rId314" display="http://www.opentraintimes.com/schedule/G26599/2012/8/7"/>
    <hyperlink ref="B317" r:id="rId315" display="http://www.opentraintimes.com/schedule/L70392/2012/8/7"/>
    <hyperlink ref="B318" r:id="rId316" display="http://www.opentraintimes.com/schedule/G20627/2012/8/7"/>
    <hyperlink ref="B319" r:id="rId317" display="http://www.opentraintimes.com/schedule/G20585/2012/8/7"/>
    <hyperlink ref="B320" r:id="rId318" display="http://www.opentraintimes.com/schedule/G26666/2012/8/7"/>
    <hyperlink ref="B321" r:id="rId319" display="http://www.opentraintimes.com/schedule/G26619/2012/8/7"/>
    <hyperlink ref="B322" r:id="rId320" display="http://www.opentraintimes.com/schedule/L70374/2012/8/7"/>
    <hyperlink ref="B323" r:id="rId321" display="http://www.opentraintimes.com/schedule/L70495/2012/8/7"/>
    <hyperlink ref="B324" r:id="rId322" display="http://www.opentraintimes.com/schedule/G29144/2012/8/7"/>
    <hyperlink ref="B325" r:id="rId323" display="http://www.opentraintimes.com/schedule/G24068/2012/8/7"/>
    <hyperlink ref="B326" r:id="rId324" display="http://www.opentraintimes.com/schedule/G20918/2012/8/7"/>
    <hyperlink ref="B327" r:id="rId325" display="http://www.opentraintimes.com/schedule/L70253/2012/8/7"/>
    <hyperlink ref="B328" r:id="rId326" display="http://www.opentraintimes.com/schedule/G20631/2012/8/7"/>
    <hyperlink ref="B329" r:id="rId327" display="http://www.opentraintimes.com/schedule/L70396/2012/8/7"/>
    <hyperlink ref="B330" r:id="rId328" display="http://www.opentraintimes.com/schedule/G29145/2012/8/7"/>
    <hyperlink ref="B331" r:id="rId329" display="http://www.opentraintimes.com/schedule/G26684/2012/8/7"/>
    <hyperlink ref="B332" r:id="rId330" display="http://www.opentraintimes.com/schedule/G26637/2012/8/7"/>
    <hyperlink ref="B333" r:id="rId331" display="http://www.opentraintimes.com/schedule/G21886/2012/8/7"/>
    <hyperlink ref="B334" r:id="rId332" display="http://www.opentraintimes.com/schedule/L70378/2012/8/7"/>
    <hyperlink ref="B335" r:id="rId333" display="http://www.opentraintimes.com/schedule/L70496/2012/8/7"/>
    <hyperlink ref="B336" r:id="rId334" display="http://www.opentraintimes.com/schedule/G26702/2012/8/7"/>
    <hyperlink ref="B337" r:id="rId335" display="http://www.opentraintimes.com/schedule/G26657/2012/8/7"/>
    <hyperlink ref="B338" r:id="rId336" display="http://www.opentraintimes.com/schedule/L70254/2012/8/7"/>
    <hyperlink ref="B339" r:id="rId337" display="http://www.opentraintimes.com/schedule/G20995/2012/8/7"/>
    <hyperlink ref="B340" r:id="rId338" display="http://www.opentraintimes.com/schedule/G24034/2012/8/7"/>
    <hyperlink ref="B341" r:id="rId339" display="http://www.opentraintimes.com/schedule/L70400/2012/8/7"/>
    <hyperlink ref="B342" r:id="rId340" display="http://www.opentraintimes.com/schedule/G21430/2012/8/7"/>
    <hyperlink ref="B343" r:id="rId341" display="http://www.opentraintimes.com/schedule/G21385/2012/8/7"/>
    <hyperlink ref="B344" r:id="rId342" display="http://www.opentraintimes.com/schedule/G26721/2012/8/7"/>
    <hyperlink ref="B345" r:id="rId343" display="http://www.opentraintimes.com/schedule/G26675/2012/8/7"/>
    <hyperlink ref="B346" r:id="rId344" display="http://www.opentraintimes.com/schedule/L70382/2012/8/7"/>
    <hyperlink ref="B347" r:id="rId345" display="http://www.opentraintimes.com/schedule/G29146/2012/8/7"/>
    <hyperlink ref="B348" r:id="rId346" display="http://www.opentraintimes.com/schedule/L70497/2012/8/7"/>
    <hyperlink ref="B349" r:id="rId347" display="http://www.opentraintimes.com/schedule/L70255/2012/8/7"/>
    <hyperlink ref="B350" r:id="rId348" display="http://www.opentraintimes.com/schedule/G23059/2012/8/7"/>
    <hyperlink ref="B351" r:id="rId349" display="http://www.opentraintimes.com/schedule/L70404/2012/8/7"/>
    <hyperlink ref="B352" r:id="rId350" display="http://www.opentraintimes.com/schedule/G29147/2012/8/7"/>
    <hyperlink ref="B353" r:id="rId351" display="http://www.opentraintimes.com/schedule/G26740/2012/8/7"/>
    <hyperlink ref="B354" r:id="rId352" display="http://www.opentraintimes.com/schedule/G21608/2012/8/7"/>
    <hyperlink ref="B355" r:id="rId353" display="http://www.opentraintimes.com/schedule/G26693/2012/8/7"/>
    <hyperlink ref="B356" r:id="rId354" display="http://www.opentraintimes.com/schedule/G21008/2012/8/7"/>
    <hyperlink ref="B357" r:id="rId355" display="http://www.opentraintimes.com/schedule/G20936/2012/8/7"/>
    <hyperlink ref="B358" r:id="rId356" display="http://www.opentraintimes.com/schedule/G23128/2012/8/7"/>
    <hyperlink ref="B359" r:id="rId357" display="http://www.opentraintimes.com/schedule/L70386/2012/8/7"/>
    <hyperlink ref="B360" r:id="rId358" display="http://www.opentraintimes.com/schedule/G21621/2012/8/7"/>
    <hyperlink ref="B361" r:id="rId359" display="http://www.opentraintimes.com/schedule/L70498/2012/8/7"/>
    <hyperlink ref="B362" r:id="rId360" display="http://www.opentraintimes.com/schedule/G26759/2012/8/7"/>
    <hyperlink ref="B363" r:id="rId361" display="http://www.opentraintimes.com/schedule/G26712/2012/8/7"/>
    <hyperlink ref="B364" r:id="rId362" display="http://www.opentraintimes.com/schedule/L70256/2012/8/7"/>
    <hyperlink ref="B365" r:id="rId363" display="http://www.opentraintimes.com/schedule/L70408/2012/8/7"/>
    <hyperlink ref="B366" r:id="rId364" display="http://www.opentraintimes.com/schedule/G20641/2012/8/7"/>
    <hyperlink ref="B367" r:id="rId365" display="http://www.opentraintimes.com/schedule/G20591/2012/8/7"/>
    <hyperlink ref="B368" r:id="rId366" display="http://www.opentraintimes.com/schedule/G26778/2012/8/7"/>
    <hyperlink ref="B369" r:id="rId367" display="http://www.opentraintimes.com/schedule/G26731/2012/8/7"/>
    <hyperlink ref="B370" r:id="rId368" display="http://www.opentraintimes.com/schedule/L70390/2012/8/7"/>
    <hyperlink ref="B371" r:id="rId369" display="http://www.opentraintimes.com/schedule/G29148/2012/8/7"/>
    <hyperlink ref="B372" r:id="rId370" display="http://www.opentraintimes.com/schedule/L70499/2012/8/7"/>
    <hyperlink ref="B373" r:id="rId371" display="http://www.opentraintimes.com/schedule/G24085/2012/8/7"/>
    <hyperlink ref="B374" r:id="rId372" display="http://www.opentraintimes.com/schedule/G20950/2012/8/7"/>
    <hyperlink ref="B375" r:id="rId373" display="http://www.opentraintimes.com/schedule/L70257/2012/8/7"/>
    <hyperlink ref="B376" r:id="rId374" display="http://www.opentraintimes.com/schedule/G21956/2012/8/7"/>
    <hyperlink ref="B377" r:id="rId375" display="http://www.opentraintimes.com/schedule/G29149/2012/8/7"/>
    <hyperlink ref="B378" r:id="rId376" display="http://www.opentraintimes.com/schedule/L70412/2012/8/7"/>
    <hyperlink ref="B379" r:id="rId377" display="http://www.opentraintimes.com/schedule/G26794/2012/8/7"/>
    <hyperlink ref="B380" r:id="rId378" display="http://www.opentraintimes.com/schedule/G26750/2012/8/7"/>
    <hyperlink ref="B381" r:id="rId379" display="http://www.opentraintimes.com/schedule/G21892/2012/8/7"/>
    <hyperlink ref="B382" r:id="rId380" display="http://www.opentraintimes.com/schedule/L70500/2012/8/7"/>
    <hyperlink ref="B383" r:id="rId381" display="http://www.opentraintimes.com/schedule/L70394/2012/8/7"/>
    <hyperlink ref="B384" r:id="rId382" display="http://www.opentraintimes.com/schedule/G26813/2012/8/7"/>
    <hyperlink ref="B385" r:id="rId383" display="http://www.opentraintimes.com/schedule/G26769/2012/8/7"/>
    <hyperlink ref="B386" r:id="rId384" display="http://www.opentraintimes.com/schedule/L70258/2012/8/7"/>
    <hyperlink ref="B387" r:id="rId385" display="http://www.opentraintimes.com/schedule/G21022/2012/8/7"/>
    <hyperlink ref="B388" r:id="rId386" display="http://www.opentraintimes.com/schedule/L70416/2012/8/7"/>
    <hyperlink ref="B389" r:id="rId387" display="http://www.opentraintimes.com/schedule/G24044/2012/8/7"/>
    <hyperlink ref="B390" r:id="rId388" display="http://www.opentraintimes.com/schedule/G21435/2012/8/7"/>
    <hyperlink ref="B391" r:id="rId389" display="http://www.opentraintimes.com/schedule/G21391/2012/8/7"/>
    <hyperlink ref="B392" r:id="rId390" display="http://www.opentraintimes.com/schedule/G26832/2012/8/7"/>
    <hyperlink ref="B393" r:id="rId391" display="http://www.opentraintimes.com/schedule/L70398/2012/8/7"/>
    <hyperlink ref="B394" r:id="rId392" display="http://www.opentraintimes.com/schedule/G26785/2012/8/7"/>
    <hyperlink ref="B395" r:id="rId393" display="http://www.opentraintimes.com/schedule/L70501/2012/8/7"/>
    <hyperlink ref="B396" r:id="rId394" display="http://www.opentraintimes.com/schedule/G29150/2012/8/7"/>
    <hyperlink ref="B397" r:id="rId395" display="http://www.opentraintimes.com/schedule/L70259/2012/8/7"/>
    <hyperlink ref="B398" r:id="rId396" display="http://www.opentraintimes.com/schedule/G23084/2012/8/7"/>
    <hyperlink ref="B399" r:id="rId397" display="http://www.opentraintimes.com/schedule/G29151/2012/8/7"/>
    <hyperlink ref="B400" r:id="rId398" display="http://www.opentraintimes.com/schedule/L70419/2012/8/7"/>
    <hyperlink ref="B401" r:id="rId399" display="http://www.opentraintimes.com/schedule/G21626/2012/8/7"/>
    <hyperlink ref="B402" r:id="rId400" display="http://www.opentraintimes.com/schedule/G26852/2012/8/7"/>
    <hyperlink ref="B403" r:id="rId401" display="http://www.opentraintimes.com/schedule/G26804/2012/8/7"/>
    <hyperlink ref="B404" r:id="rId402" display="http://www.opentraintimes.com/schedule/G21035/2012/8/7"/>
    <hyperlink ref="B405" r:id="rId403" display="http://www.opentraintimes.com/schedule/G20962/2012/8/7"/>
    <hyperlink ref="B406" r:id="rId404" display="http://www.opentraintimes.com/schedule/L70402/2012/8/7"/>
    <hyperlink ref="B407" r:id="rId405" display="http://www.opentraintimes.com/schedule/L70502/2012/8/7"/>
    <hyperlink ref="B408" r:id="rId406" display="http://www.opentraintimes.com/schedule/G23152/2012/8/7"/>
    <hyperlink ref="B409" r:id="rId407" display="http://www.opentraintimes.com/schedule/G21639/2012/8/7"/>
    <hyperlink ref="B410" r:id="rId408" display="http://www.opentraintimes.com/schedule/G26870/2012/8/7"/>
    <hyperlink ref="B411" r:id="rId409" display="http://www.opentraintimes.com/schedule/G26823/2012/8/7"/>
    <hyperlink ref="B412" r:id="rId410" display="http://www.opentraintimes.com/schedule/L70260/2012/8/7"/>
    <hyperlink ref="B413" r:id="rId411" display="http://www.opentraintimes.com/schedule/G20644/2012/8/7"/>
    <hyperlink ref="B414" r:id="rId412" display="http://www.opentraintimes.com/schedule/L70423/2012/8/7"/>
    <hyperlink ref="B415" r:id="rId413" display="http://www.opentraintimes.com/schedule/G20599/2012/8/7"/>
    <hyperlink ref="B416" r:id="rId414" display="http://www.opentraintimes.com/schedule/G26888/2012/8/7"/>
    <hyperlink ref="B417" r:id="rId415" display="http://www.opentraintimes.com/schedule/G26842/2012/8/7"/>
    <hyperlink ref="B418" r:id="rId416" display="http://www.opentraintimes.com/schedule/L70406/2012/8/7"/>
    <hyperlink ref="B419" r:id="rId417" display="http://www.opentraintimes.com/schedule/G29152/2012/8/7"/>
    <hyperlink ref="B420" r:id="rId418" display="http://www.opentraintimes.com/schedule/G24099/2012/8/8"/>
    <hyperlink ref="B421" r:id="rId419" display="http://www.opentraintimes.com/schedule/L70503/2012/8/8"/>
    <hyperlink ref="B422" r:id="rId420" display="http://www.opentraintimes.com/schedule/G20977/2012/8/8"/>
    <hyperlink ref="B423" r:id="rId421" display="http://www.opentraintimes.com/schedule/L70261/2012/8/8"/>
    <hyperlink ref="B424" r:id="rId422" display="http://www.opentraintimes.com/schedule/G21963/2012/8/8"/>
    <hyperlink ref="B425" r:id="rId423" display="http://www.opentraintimes.com/schedule/L70427/2012/8/8"/>
    <hyperlink ref="B426" r:id="rId424" display="http://www.opentraintimes.com/schedule/G29153/2012/8/8"/>
    <hyperlink ref="B427" r:id="rId425" display="http://www.opentraintimes.com/schedule/G26905/2012/8/8"/>
    <hyperlink ref="B428" r:id="rId426" display="http://www.opentraintimes.com/schedule/G26862/2012/8/8"/>
    <hyperlink ref="B429" r:id="rId427" display="http://www.opentraintimes.com/schedule/G21898/2012/8/8"/>
    <hyperlink ref="B430" r:id="rId428" display="http://www.opentraintimes.com/schedule/L70410/2012/8/8"/>
    <hyperlink ref="B431" r:id="rId429" display="http://www.opentraintimes.com/schedule/L70504/2012/8/8"/>
    <hyperlink ref="B432" r:id="rId430" display="http://www.opentraintimes.com/schedule/G26922/2012/8/8"/>
    <hyperlink ref="B433" r:id="rId431" display="http://www.opentraintimes.com/schedule/G26879/2012/8/8"/>
    <hyperlink ref="B434" r:id="rId432" display="http://www.opentraintimes.com/schedule/L70262/2012/8/8"/>
    <hyperlink ref="B435" r:id="rId433" display="http://www.opentraintimes.com/schedule/G21051/2012/8/8"/>
    <hyperlink ref="B436" r:id="rId434" display="http://www.opentraintimes.com/schedule/G24062/2012/8/8"/>
    <hyperlink ref="B437" r:id="rId435" display="http://www.opentraintimes.com/schedule/L70431/2012/8/8"/>
    <hyperlink ref="B438" r:id="rId436" display="http://www.opentraintimes.com/schedule/G21439/2012/8/8"/>
    <hyperlink ref="B439" r:id="rId437" display="http://www.opentraintimes.com/schedule/G21397/2012/8/8"/>
    <hyperlink ref="B440" r:id="rId438" display="http://www.opentraintimes.com/schedule/G26938/2012/8/8"/>
    <hyperlink ref="B441" r:id="rId439" display="http://www.opentraintimes.com/schedule/G26896/2012/8/8"/>
    <hyperlink ref="B442" r:id="rId440" display="http://www.opentraintimes.com/schedule/L70414/2012/8/8"/>
    <hyperlink ref="B443" r:id="rId441" display="http://www.opentraintimes.com/schedule/G29154/2012/8/8"/>
    <hyperlink ref="B444" r:id="rId442" display="http://www.opentraintimes.com/schedule/L70505/2012/8/8"/>
    <hyperlink ref="B445" r:id="rId443" display="http://www.opentraintimes.com/schedule/L70263/2012/8/8"/>
    <hyperlink ref="B446" r:id="rId444" display="http://www.opentraintimes.com/schedule/G23114/2012/8/8"/>
    <hyperlink ref="B447" r:id="rId445" display="http://www.opentraintimes.com/schedule/G29155/2012/8/8"/>
    <hyperlink ref="B448" r:id="rId446" display="http://www.opentraintimes.com/schedule/G21644/2012/8/8"/>
    <hyperlink ref="B449" r:id="rId447" display="http://www.opentraintimes.com/schedule/G26955/2012/8/8"/>
    <hyperlink ref="B450" r:id="rId448" display="http://www.opentraintimes.com/schedule/L70434/2012/8/8"/>
    <hyperlink ref="B451" r:id="rId449" display="http://www.opentraintimes.com/schedule/G26914/2012/8/8"/>
    <hyperlink ref="B452" r:id="rId450" display="http://www.opentraintimes.com/schedule/G21061/2012/8/8"/>
    <hyperlink ref="B453" r:id="rId451" display="http://www.opentraintimes.com/schedule/G20991/2012/8/8"/>
    <hyperlink ref="B454" r:id="rId452" display="http://www.opentraintimes.com/schedule/L70418/2012/8/8"/>
    <hyperlink ref="B455" r:id="rId453" display="http://www.opentraintimes.com/schedule/G23176/2012/8/8"/>
    <hyperlink ref="B456" r:id="rId454" display="http://www.opentraintimes.com/schedule/L70506/2012/8/8"/>
    <hyperlink ref="B457" r:id="rId455" display="http://www.opentraintimes.com/schedule/G21656/2012/8/8"/>
    <hyperlink ref="B458" r:id="rId456" display="http://www.opentraintimes.com/schedule/G26971/2012/8/8"/>
    <hyperlink ref="B459" r:id="rId457" display="http://www.opentraintimes.com/schedule/G26930/2012/8/8"/>
    <hyperlink ref="B460" r:id="rId458" display="http://www.opentraintimes.com/schedule/L70264/2012/8/8"/>
    <hyperlink ref="B461" r:id="rId459" display="http://www.opentraintimes.com/schedule/L70436/2012/8/8"/>
    <hyperlink ref="B462" r:id="rId460" display="http://www.opentraintimes.com/schedule/G20651/2012/8/8"/>
    <hyperlink ref="B463" r:id="rId461" display="http://www.opentraintimes.com/schedule/G20605/2012/8/8"/>
    <hyperlink ref="B464" r:id="rId462" display="http://www.opentraintimes.com/schedule/G26985/2012/8/8"/>
    <hyperlink ref="B465" r:id="rId463" display="http://www.opentraintimes.com/schedule/G26947/2012/8/8"/>
    <hyperlink ref="B466" r:id="rId464" display="http://www.opentraintimes.com/schedule/L70422/2012/8/8"/>
    <hyperlink ref="B467" r:id="rId465" display="http://www.opentraintimes.com/schedule/G29156/2012/8/8"/>
    <hyperlink ref="B468" r:id="rId466" display="http://www.opentraintimes.com/schedule/G24121/2012/8/8"/>
    <hyperlink ref="B469" r:id="rId467" display="http://www.opentraintimes.com/schedule/L70507/2012/8/8"/>
    <hyperlink ref="B470" r:id="rId468" display="http://www.opentraintimes.com/schedule/G21004/2012/8/8"/>
    <hyperlink ref="B471" r:id="rId469" display="http://www.opentraintimes.com/schedule/L70265/2012/8/8"/>
    <hyperlink ref="B472" r:id="rId470" display="http://www.opentraintimes.com/schedule/G21971/2012/8/8"/>
    <hyperlink ref="B473" r:id="rId471" display="http://www.opentraintimes.com/schedule/G29157/2012/8/8"/>
    <hyperlink ref="B474" r:id="rId472" display="http://www.opentraintimes.com/schedule/L70438/2012/8/8"/>
    <hyperlink ref="B475" r:id="rId473" display="http://www.opentraintimes.com/schedule/G27001/2012/8/8"/>
    <hyperlink ref="B476" r:id="rId474" display="http://www.opentraintimes.com/schedule/G26963/2012/8/8"/>
    <hyperlink ref="B477" r:id="rId475" display="http://www.opentraintimes.com/schedule/G21904/2012/8/8"/>
    <hyperlink ref="B478" r:id="rId476" display="http://www.opentraintimes.com/schedule/L70426/2012/8/8"/>
    <hyperlink ref="B479" r:id="rId477" display="http://www.opentraintimes.com/schedule/L70508/2012/8/8"/>
    <hyperlink ref="B480" r:id="rId478" display="http://www.opentraintimes.com/schedule/G27017/2012/8/8"/>
    <hyperlink ref="B481" r:id="rId479" display="http://www.opentraintimes.com/schedule/G26979/2012/8/8"/>
    <hyperlink ref="B482" r:id="rId480" display="http://www.opentraintimes.com/schedule/L70266/2012/8/8"/>
    <hyperlink ref="B483" r:id="rId481" display="http://www.opentraintimes.com/schedule/G21083/2012/8/8"/>
    <hyperlink ref="B484" r:id="rId482" display="http://www.opentraintimes.com/schedule/G24080/2012/8/8"/>
    <hyperlink ref="B485" r:id="rId483" display="http://www.opentraintimes.com/schedule/L70440/2012/8/8"/>
    <hyperlink ref="B486" r:id="rId484" display="http://www.opentraintimes.com/schedule/G21443/2012/8/8"/>
    <hyperlink ref="B487" r:id="rId485" display="http://www.opentraintimes.com/schedule/G21403/2012/8/8"/>
    <hyperlink ref="B488" r:id="rId486" display="http://www.opentraintimes.com/schedule/G27030/2012/8/8"/>
    <hyperlink ref="B489" r:id="rId487" display="http://www.opentraintimes.com/schedule/L70430/2012/8/8"/>
    <hyperlink ref="B490" r:id="rId488" display="http://www.opentraintimes.com/schedule/G26993/2012/8/8"/>
    <hyperlink ref="B491" r:id="rId489" display="http://www.opentraintimes.com/schedule/L70509/2012/8/8"/>
    <hyperlink ref="B492" r:id="rId490" display="http://www.opentraintimes.com/schedule/G29158/2012/8/8"/>
    <hyperlink ref="B493" r:id="rId491" display="http://www.opentraintimes.com/schedule/L70267/2012/8/8"/>
    <hyperlink ref="B494" r:id="rId492" display="http://www.opentraintimes.com/schedule/G23140/2012/8/8"/>
    <hyperlink ref="B495" r:id="rId493" display="http://www.opentraintimes.com/schedule/L70442/2012/8/8"/>
    <hyperlink ref="B496" r:id="rId494" display="http://www.opentraintimes.com/schedule/G29159/2012/8/8"/>
    <hyperlink ref="B497" r:id="rId495" display="http://www.opentraintimes.com/schedule/G21661/2012/8/8"/>
    <hyperlink ref="B498" r:id="rId496" display="http://www.opentraintimes.com/schedule/G27046/2012/8/8"/>
    <hyperlink ref="B499" r:id="rId497" display="http://www.opentraintimes.com/schedule/G27009/2012/8/8"/>
    <hyperlink ref="B500" r:id="rId498" display="http://www.opentraintimes.com/schedule/G21091/2012/8/8"/>
    <hyperlink ref="B501" r:id="rId499" display="http://www.opentraintimes.com/schedule/G21018/2012/8/8"/>
    <hyperlink ref="B502" r:id="rId500" display="http://www.opentraintimes.com/schedule/L70435/2012/8/8"/>
    <hyperlink ref="B503" r:id="rId501" display="http://www.opentraintimes.com/schedule/G23200/2012/8/8"/>
    <hyperlink ref="B504" r:id="rId502" display="http://www.opentraintimes.com/schedule/L70510/2012/8/8"/>
    <hyperlink ref="B505" r:id="rId503" display="http://www.opentraintimes.com/schedule/G21673/2012/8/8"/>
    <hyperlink ref="B506" r:id="rId504" display="http://www.opentraintimes.com/schedule/G27062/2012/8/8"/>
    <hyperlink ref="B507" r:id="rId505" display="http://www.opentraintimes.com/schedule/G27023/2012/8/8"/>
    <hyperlink ref="B508" r:id="rId506" display="http://www.opentraintimes.com/schedule/L70268/2012/8/8"/>
    <hyperlink ref="B509" r:id="rId507" display="http://www.opentraintimes.com/schedule/L70444/2012/8/8"/>
    <hyperlink ref="B510" r:id="rId508" display="http://www.opentraintimes.com/schedule/G20658/2012/8/8"/>
    <hyperlink ref="B511" r:id="rId509" display="http://www.opentraintimes.com/schedule/G20611/2012/8/8"/>
    <hyperlink ref="B512" r:id="rId510" display="http://www.opentraintimes.com/schedule/G27076/2012/8/8"/>
    <hyperlink ref="B513" r:id="rId511" display="http://www.opentraintimes.com/schedule/L70437/2012/8/8"/>
    <hyperlink ref="B514" r:id="rId512" display="http://www.opentraintimes.com/schedule/G27038/2012/8/8"/>
    <hyperlink ref="B515" r:id="rId513" display="http://www.opentraintimes.com/schedule/G29160/2012/8/8"/>
    <hyperlink ref="B516" r:id="rId514" display="http://www.opentraintimes.com/schedule/G24136/2012/8/8"/>
    <hyperlink ref="B517" r:id="rId515" display="http://www.opentraintimes.com/schedule/G21031/2012/8/8"/>
    <hyperlink ref="B518" r:id="rId516" display="http://www.opentraintimes.com/schedule/L70511/2012/8/8"/>
    <hyperlink ref="B519" r:id="rId517" display="http://www.opentraintimes.com/schedule/L70269/2012/8/8"/>
    <hyperlink ref="B520" r:id="rId518" display="http://www.opentraintimes.com/schedule/G21979/2012/8/8"/>
    <hyperlink ref="B521" r:id="rId519" display="http://www.opentraintimes.com/schedule/L70446/2012/8/8"/>
    <hyperlink ref="B522" r:id="rId520" display="http://www.opentraintimes.com/schedule/G29161/2012/8/8"/>
    <hyperlink ref="B523" r:id="rId521" display="http://www.opentraintimes.com/schedule/G26015/2012/8/8"/>
    <hyperlink ref="B524" r:id="rId522" display="http://www.opentraintimes.com/schedule/G21910/2012/8/8"/>
    <hyperlink ref="B525" r:id="rId523" display="http://www.opentraintimes.com/schedule/G27054/2012/8/8"/>
    <hyperlink ref="B526" r:id="rId524" display="http://www.opentraintimes.com/schedule/L70439/2012/8/8"/>
    <hyperlink ref="B527" r:id="rId525" display="http://www.opentraintimes.com/schedule/L70512/2012/8/8"/>
    <hyperlink ref="B528" r:id="rId526" display="http://www.opentraintimes.com/schedule/G26047/2012/8/8"/>
    <hyperlink ref="B529" r:id="rId527" display="http://www.opentraintimes.com/schedule/L70270/2012/8/8"/>
    <hyperlink ref="B530" r:id="rId528" display="http://www.opentraintimes.com/schedule/G27068/2012/8/8"/>
    <hyperlink ref="B531" r:id="rId529" display="http://www.opentraintimes.com/schedule/G21115/2012/8/8"/>
    <hyperlink ref="B532" r:id="rId530" display="http://www.opentraintimes.com/schedule/G24094/2012/8/8"/>
    <hyperlink ref="B533" r:id="rId531" display="http://www.opentraintimes.com/schedule/L70448/2012/8/8"/>
    <hyperlink ref="B534" r:id="rId532" display="http://www.opentraintimes.com/schedule/G21451/2012/8/8"/>
    <hyperlink ref="B535" r:id="rId533" display="http://www.opentraintimes.com/schedule/G21411/2012/8/8"/>
    <hyperlink ref="B536" r:id="rId534" display="http://www.opentraintimes.com/schedule/G26079/2012/8/8"/>
    <hyperlink ref="B537" r:id="rId535" display="http://www.opentraintimes.com/schedule/L70441/2012/8/8"/>
    <hyperlink ref="B538" r:id="rId536" display="http://www.opentraintimes.com/schedule/G27084/2012/8/8"/>
    <hyperlink ref="B539" r:id="rId537" display="http://www.opentraintimes.com/schedule/G29162/2012/8/8"/>
    <hyperlink ref="B540" r:id="rId538" display="http://www.opentraintimes.com/schedule/L70513/2012/8/8"/>
    <hyperlink ref="B541" r:id="rId539" display="http://www.opentraintimes.com/schedule/L70271/2012/8/8"/>
    <hyperlink ref="B542" r:id="rId540" display="http://www.opentraintimes.com/schedule/G23164/2012/8/8"/>
    <hyperlink ref="B543" r:id="rId541" display="http://www.opentraintimes.com/schedule/G29163/2012/8/8"/>
    <hyperlink ref="B544" r:id="rId542" display="http://www.opentraintimes.com/schedule/L70450/2012/8/8"/>
    <hyperlink ref="B545" r:id="rId543" display="http://www.opentraintimes.com/schedule/G26111/2012/8/8"/>
    <hyperlink ref="B546" r:id="rId544" display="http://www.opentraintimes.com/schedule/G21678/2012/8/8"/>
    <hyperlink ref="B547" r:id="rId545" display="http://www.opentraintimes.com/schedule/G26000/2012/8/8"/>
    <hyperlink ref="B548" r:id="rId546" display="http://www.opentraintimes.com/schedule/G21126/2012/8/8"/>
    <hyperlink ref="B549" r:id="rId547" display="http://www.opentraintimes.com/schedule/G21047/2012/8/8"/>
    <hyperlink ref="B550" r:id="rId548" display="http://www.opentraintimes.com/schedule/L70443/2012/8/8"/>
    <hyperlink ref="B551" r:id="rId549" display="http://www.opentraintimes.com/schedule/L70514/2012/8/8"/>
    <hyperlink ref="B552" r:id="rId550" display="http://www.opentraintimes.com/schedule/G23222/2012/8/8"/>
    <hyperlink ref="B553" r:id="rId551" display="http://www.opentraintimes.com/schedule/G21691/2012/8/8"/>
    <hyperlink ref="B554" r:id="rId552" display="http://www.opentraintimes.com/schedule/G26142/2012/8/8"/>
    <hyperlink ref="B555" r:id="rId553" display="http://www.opentraintimes.com/schedule/G26032/2012/8/8"/>
    <hyperlink ref="B556" r:id="rId554" display="http://www.opentraintimes.com/schedule/L70272/2012/8/8"/>
    <hyperlink ref="B557" r:id="rId555" display="http://www.opentraintimes.com/schedule/L70452/2012/8/8"/>
    <hyperlink ref="B558" r:id="rId556" display="http://www.opentraintimes.com/schedule/G20664/2012/8/8"/>
    <hyperlink ref="B559" r:id="rId557" display="http://www.opentraintimes.com/schedule/G20615/2012/8/8"/>
    <hyperlink ref="B560" r:id="rId558" display="http://www.opentraintimes.com/schedule/G26173/2012/8/8"/>
    <hyperlink ref="B561" r:id="rId559" display="http://www.opentraintimes.com/schedule/G26062/2012/8/8"/>
    <hyperlink ref="B562" r:id="rId560" display="http://www.opentraintimes.com/schedule/L70445/2012/8/8"/>
    <hyperlink ref="B563" r:id="rId561" display="http://www.opentraintimes.com/schedule/G21143/2012/8/8"/>
    <hyperlink ref="B564" r:id="rId562" display="http://www.opentraintimes.com/schedule/G29164/2012/8/8"/>
    <hyperlink ref="B565" r:id="rId563" display="http://www.opentraintimes.com/schedule/L70515/2012/8/8"/>
    <hyperlink ref="B566" r:id="rId564" display="http://www.opentraintimes.com/schedule/G21057/2012/8/8"/>
    <hyperlink ref="B567" r:id="rId565" display="http://www.opentraintimes.com/schedule/L70273/2012/8/8"/>
    <hyperlink ref="B568" r:id="rId566" display="http://www.opentraintimes.com/schedule/G21986/2012/8/8"/>
    <hyperlink ref="B569" r:id="rId567" display="http://www.opentraintimes.com/schedule/G29165/2012/8/8"/>
    <hyperlink ref="B570" r:id="rId568" display="http://www.opentraintimes.com/schedule/L70455/2012/8/8"/>
    <hyperlink ref="B571" r:id="rId569" display="http://www.opentraintimes.com/schedule/G26204/2012/8/8"/>
    <hyperlink ref="B572" r:id="rId570" display="http://www.opentraintimes.com/schedule/G26096/2012/8/8"/>
    <hyperlink ref="B573" r:id="rId571" display="http://www.opentraintimes.com/schedule/G21916/2012/8/8"/>
    <hyperlink ref="B574" r:id="rId572" display="http://www.opentraintimes.com/schedule/L70447/2012/8/8"/>
    <hyperlink ref="B575" r:id="rId573" display="http://www.opentraintimes.com/schedule/L70516/2012/8/8"/>
    <hyperlink ref="B576" r:id="rId574" display="http://www.opentraintimes.com/schedule/G26236/2012/8/8"/>
    <hyperlink ref="B577" r:id="rId575" display="http://www.opentraintimes.com/schedule/G26126/2012/8/8"/>
    <hyperlink ref="B578" r:id="rId576" display="http://www.opentraintimes.com/schedule/L70274/2012/8/8"/>
    <hyperlink ref="B579" r:id="rId577" display="http://www.opentraintimes.com/schedule/G21155/2012/8/8"/>
    <hyperlink ref="B580" r:id="rId578" display="http://www.opentraintimes.com/schedule/G24116/2012/8/8"/>
    <hyperlink ref="B581" r:id="rId579" display="http://www.opentraintimes.com/schedule/L70457/2012/8/8"/>
    <hyperlink ref="B582" r:id="rId580" display="http://www.opentraintimes.com/schedule/G21457/2012/8/8"/>
    <hyperlink ref="B583" r:id="rId581" display="http://www.opentraintimes.com/schedule/G21419/2012/8/8"/>
    <hyperlink ref="B584" r:id="rId582" display="http://www.opentraintimes.com/schedule/L70517/2012/8/8"/>
    <hyperlink ref="B585" r:id="rId583" display="http://www.opentraintimes.com/schedule/G26269/2012/8/8"/>
    <hyperlink ref="B586" r:id="rId584" display="http://www.opentraintimes.com/schedule/G26158/2012/8/8"/>
    <hyperlink ref="B587" r:id="rId585" display="http://www.opentraintimes.com/schedule/G29166/2012/8/8"/>
    <hyperlink ref="B588" r:id="rId586" display="http://www.opentraintimes.com/schedule/L70449/2012/8/8"/>
    <hyperlink ref="B589" r:id="rId587" display="http://www.opentraintimes.com/schedule/L70275/2012/8/8"/>
    <hyperlink ref="B590" r:id="rId588" display="http://www.opentraintimes.com/schedule/G23188/2012/8/8"/>
    <hyperlink ref="B591" r:id="rId589" display="http://www.opentraintimes.com/schedule/G29167/2012/8/8"/>
    <hyperlink ref="B592" r:id="rId590" display="http://www.opentraintimes.com/schedule/L70459/2012/8/8"/>
    <hyperlink ref="B593" r:id="rId591" display="http://www.opentraintimes.com/schedule/G26300/2012/8/8"/>
    <hyperlink ref="B594" r:id="rId592" display="http://www.opentraintimes.com/schedule/G26191/2012/8/8"/>
    <hyperlink ref="B595" r:id="rId593" display="http://www.opentraintimes.com/schedule/G21164/2012/8/8"/>
    <hyperlink ref="B596" r:id="rId594" display="http://www.opentraintimes.com/schedule/G21077/2012/8/8"/>
    <hyperlink ref="B597" r:id="rId595" display="http://www.opentraintimes.com/schedule/L70451/2012/8/8"/>
    <hyperlink ref="B598" r:id="rId596" display="http://www.opentraintimes.com/schedule/G23250/2012/8/8"/>
    <hyperlink ref="B599" r:id="rId597" display="http://www.opentraintimes.com/schedule/L70518/2012/8/8"/>
    <hyperlink ref="B600" r:id="rId598" display="http://www.opentraintimes.com/schedule/G21709/2012/8/8"/>
    <hyperlink ref="B601" r:id="rId599" display="http://www.opentraintimes.com/schedule/G26332/2012/8/8"/>
    <hyperlink ref="B602" r:id="rId600" display="http://www.opentraintimes.com/schedule/G26220/2012/8/8"/>
    <hyperlink ref="B603" r:id="rId601" display="http://www.opentraintimes.com/schedule/L70461/2012/8/8"/>
    <hyperlink ref="B604" r:id="rId602" display="http://www.opentraintimes.com/schedule/G20672/2012/8/8"/>
    <hyperlink ref="B605" r:id="rId603" display="http://www.opentraintimes.com/schedule/L70276/2012/8/8"/>
    <hyperlink ref="B606" r:id="rId604" display="http://www.opentraintimes.com/schedule/G20621/2012/8/8"/>
    <hyperlink ref="B607" r:id="rId605" display="http://www.opentraintimes.com/schedule/G26361/2012/8/8"/>
    <hyperlink ref="B608" r:id="rId606" display="http://www.opentraintimes.com/schedule/L70453/2012/8/8"/>
    <hyperlink ref="B609" r:id="rId607" display="http://www.opentraintimes.com/schedule/G26253/2012/8/8"/>
    <hyperlink ref="B610" r:id="rId608" display="http://www.opentraintimes.com/schedule/L70519/2012/8/8"/>
    <hyperlink ref="B611" r:id="rId609" display="http://www.opentraintimes.com/schedule/G29168/2012/8/8"/>
    <hyperlink ref="B612" r:id="rId610" display="http://www.opentraintimes.com/schedule/G24156/2012/8/8"/>
    <hyperlink ref="B613" r:id="rId611" display="http://www.opentraintimes.com/schedule/G21087/2012/8/8"/>
    <hyperlink ref="B614" r:id="rId612" display="http://www.opentraintimes.com/schedule/G22522/2012/8/8"/>
    <hyperlink ref="B615" r:id="rId613" display="http://www.opentraintimes.com/schedule/L70277/2012/8/8"/>
    <hyperlink ref="B616" r:id="rId614" display="http://www.opentraintimes.com/schedule/G21993/2012/8/8"/>
    <hyperlink ref="B617" r:id="rId615" display="http://www.opentraintimes.com/schedule/L70463/2012/8/8"/>
    <hyperlink ref="B618" r:id="rId616" display="http://www.opentraintimes.com/schedule/G29169/2012/8/8"/>
    <hyperlink ref="B619" r:id="rId617" display="http://www.opentraintimes.com/schedule/G26390/2012/8/8"/>
    <hyperlink ref="B620" r:id="rId618" display="http://www.opentraintimes.com/schedule/G21922/2012/8/8"/>
    <hyperlink ref="B621" r:id="rId619" display="http://www.opentraintimes.com/schedule/G26287/2012/8/8"/>
    <hyperlink ref="B622" r:id="rId620" display="http://www.opentraintimes.com/schedule/L77146/2012/8/8"/>
    <hyperlink ref="B623" r:id="rId621" display="http://www.opentraintimes.com/schedule/L77139/2012/8/8"/>
    <hyperlink ref="B624" r:id="rId622" display="http://www.opentraintimes.com/schedule/L70454/2012/8/8"/>
    <hyperlink ref="B625" r:id="rId623" display="http://www.opentraintimes.com/schedule/L70520/2012/8/8"/>
    <hyperlink ref="B626" r:id="rId624" display="http://www.opentraintimes.com/schedule/G21099/2012/8/8"/>
    <hyperlink ref="B627" r:id="rId625" display="http://www.opentraintimes.com/schedule/G26419/2012/8/8"/>
    <hyperlink ref="B628" r:id="rId626" display="http://www.opentraintimes.com/schedule/L70278/2012/8/8"/>
    <hyperlink ref="B629" r:id="rId627" display="http://www.opentraintimes.com/schedule/G26318/2012/8/8"/>
    <hyperlink ref="B630" r:id="rId628" display="http://www.opentraintimes.com/schedule/G21193/2012/8/8"/>
    <hyperlink ref="B631" r:id="rId629" display="http://www.opentraintimes.com/schedule/L70465/2012/8/8"/>
    <hyperlink ref="B632" r:id="rId630" display="http://www.opentraintimes.com/schedule/G21461/2012/8/8"/>
    <hyperlink ref="B633" r:id="rId631" display="http://www.opentraintimes.com/schedule/G21447/2012/8/8"/>
    <hyperlink ref="B634" r:id="rId632" display="http://www.opentraintimes.com/schedule/G22524/2012/8/8"/>
    <hyperlink ref="B635" r:id="rId633" display="http://www.opentraintimes.com/schedule/G20629/2012/8/8"/>
    <hyperlink ref="B636" r:id="rId634" display="http://www.opentraintimes.com/schedule/G26447/2012/8/8"/>
    <hyperlink ref="B637" r:id="rId635" display="http://www.opentraintimes.com/schedule/G26348/2012/8/8"/>
    <hyperlink ref="B638" r:id="rId636" display="http://www.opentraintimes.com/schedule/G29170/2012/8/8"/>
    <hyperlink ref="B639" r:id="rId637" display="http://www.opentraintimes.com/schedule/L70456/2012/8/8"/>
    <hyperlink ref="B640" r:id="rId638" display="http://www.opentraintimes.com/schedule/L70521/2012/8/8"/>
    <hyperlink ref="B641" r:id="rId639" display="http://www.opentraintimes.com/schedule/G21107/2012/8/8"/>
    <hyperlink ref="B642" r:id="rId640" display="http://www.opentraintimes.com/schedule/G22526/2012/8/8"/>
    <hyperlink ref="B643" r:id="rId641" display="http://www.opentraintimes.com/schedule/G20678/2012/8/8"/>
    <hyperlink ref="B644" r:id="rId642" display="http://www.opentraintimes.com/schedule/L70279/2012/8/8"/>
    <hyperlink ref="B645" r:id="rId643" display="http://www.opentraintimes.com/schedule/G22298/2012/8/8"/>
    <hyperlink ref="B646" r:id="rId644" display="http://www.opentraintimes.com/schedule/G29171/2012/8/8"/>
    <hyperlink ref="B647" r:id="rId645" display="http://www.opentraintimes.com/schedule/L70467/2012/8/8"/>
    <hyperlink ref="B648" r:id="rId646" display="http://www.opentraintimes.com/schedule/G26376/2012/8/8"/>
    <hyperlink ref="B649" r:id="rId647" display="http://www.opentraintimes.com/schedule/G21209/2012/8/8"/>
    <hyperlink ref="B650" r:id="rId648" display="http://www.opentraintimes.com/schedule/L77147/2012/8/8"/>
    <hyperlink ref="B651" r:id="rId649" display="http://www.opentraintimes.com/schedule/L77140/2012/8/8"/>
    <hyperlink ref="B652" r:id="rId650" display="http://www.opentraintimes.com/schedule/G20633/2012/8/8"/>
    <hyperlink ref="B653" r:id="rId651" display="http://www.opentraintimes.com/schedule/G26472/2012/8/8"/>
    <hyperlink ref="B654" r:id="rId652" display="http://www.opentraintimes.com/schedule/L70458/2012/8/8"/>
    <hyperlink ref="B655" r:id="rId653" display="http://www.opentraintimes.com/schedule/L70522/2012/8/8"/>
    <hyperlink ref="B656" r:id="rId654" display="http://www.opentraintimes.com/schedule/G21726/2012/8/8"/>
    <hyperlink ref="B657" r:id="rId655" display="http://www.opentraintimes.com/schedule/G29172/2012/8/8"/>
    <hyperlink ref="B658" r:id="rId656" display="http://www.opentraintimes.com/schedule/G26406/2012/8/8"/>
    <hyperlink ref="B659" r:id="rId657" display="http://www.opentraintimes.com/schedule/G21119/2012/8/8"/>
    <hyperlink ref="B660" r:id="rId658" display="http://www.opentraintimes.com/schedule/G22311/2012/8/8"/>
    <hyperlink ref="B661" r:id="rId659" display="http://www.opentraintimes.com/schedule/L70280/2012/8/8"/>
    <hyperlink ref="B662" r:id="rId660" display="http://www.opentraintimes.com/schedule/G22529/2012/8/8"/>
    <hyperlink ref="B663" r:id="rId661" display="http://www.opentraintimes.com/schedule/L70469/2012/8/8"/>
    <hyperlink ref="B664" r:id="rId662" display="http://www.opentraintimes.com/schedule/G20684/2012/8/8"/>
    <hyperlink ref="B665" r:id="rId663" display="http://www.opentraintimes.com/schedule/G21455/2012/8/8"/>
    <hyperlink ref="B666" r:id="rId664" display="http://www.opentraintimes.com/schedule/G26502/2012/8/8"/>
    <hyperlink ref="B667" r:id="rId665" display="http://www.opentraintimes.com/schedule/G20635/2012/8/8"/>
    <hyperlink ref="B668" r:id="rId666" display="http://www.opentraintimes.com/schedule/G26434/2012/8/8"/>
    <hyperlink ref="B669" r:id="rId667" display="http://www.opentraintimes.com/schedule/G22318/2012/8/8"/>
    <hyperlink ref="B670" r:id="rId668" display="http://www.opentraintimes.com/schedule/G21220/2012/8/8"/>
    <hyperlink ref="B671" r:id="rId669" display="http://www.opentraintimes.com/schedule/L70460/2012/8/8"/>
    <hyperlink ref="B672" r:id="rId670" display="http://www.opentraintimes.com/schedule/L70523/2012/8/8"/>
    <hyperlink ref="B673" r:id="rId671" display="http://www.opentraintimes.com/schedule/G22532/2012/8/8"/>
    <hyperlink ref="B674" r:id="rId672" display="http://www.opentraintimes.com/schedule/G21135/2012/8/8"/>
    <hyperlink ref="B675" r:id="rId673" display="http://www.opentraintimes.com/schedule/L70281/2012/8/8"/>
    <hyperlink ref="B676" r:id="rId674" display="http://www.opentraintimes.com/schedule/G26531/2012/8/8"/>
    <hyperlink ref="B677" r:id="rId675" display="http://www.opentraintimes.com/schedule/G22001/2012/8/8"/>
    <hyperlink ref="B678" r:id="rId676" display="http://www.opentraintimes.com/schedule/L70471/2012/8/8"/>
    <hyperlink ref="B679" r:id="rId677" display="http://www.opentraintimes.com/schedule/G26463/2012/8/8"/>
    <hyperlink ref="B680" r:id="rId678" display="http://www.opentraintimes.com/schedule/G29173/2012/8/8"/>
    <hyperlink ref="B681" r:id="rId679" display="http://www.opentraintimes.com/schedule/G22328/2012/8/8"/>
    <hyperlink ref="B682" r:id="rId680" display="http://www.opentraintimes.com/schedule/L77148/2012/8/8"/>
    <hyperlink ref="B683" r:id="rId681" display="http://www.opentraintimes.com/schedule/G21731/2012/8/8"/>
    <hyperlink ref="B684" r:id="rId682" display="http://www.opentraintimes.com/schedule/L77141/2012/8/8"/>
    <hyperlink ref="B685" r:id="rId683" display="http://www.opentraintimes.com/schedule/G22537/2012/8/8"/>
    <hyperlink ref="B686" r:id="rId684" display="http://www.opentraintimes.com/schedule/G21148/2012/8/8"/>
    <hyperlink ref="B687" r:id="rId685" display="http://www.opentraintimes.com/schedule/L70462/2012/8/8"/>
    <hyperlink ref="B688" r:id="rId686" display="http://www.opentraintimes.com/schedule/G26555/2012/8/8"/>
    <hyperlink ref="B689" r:id="rId687" display="http://www.opentraintimes.com/schedule/L70524/2012/8/8"/>
    <hyperlink ref="B690" r:id="rId688" display="http://www.opentraintimes.com/schedule/G21465/2012/8/8"/>
    <hyperlink ref="B691" r:id="rId689" display="http://www.opentraintimes.com/schedule/G29116/2012/8/8"/>
    <hyperlink ref="B692" r:id="rId690" display="http://www.opentraintimes.com/schedule/G22336/2012/8/8"/>
    <hyperlink ref="B693" r:id="rId691" display="http://www.opentraintimes.com/schedule/L70282/2012/8/8"/>
    <hyperlink ref="B694" r:id="rId692" display="http://www.opentraintimes.com/schedule/G26488/2012/8/8"/>
    <hyperlink ref="B695" r:id="rId693" display="http://www.opentraintimes.com/schedule/G21227/2012/8/8"/>
    <hyperlink ref="B696" r:id="rId694" display="http://www.opentraintimes.com/schedule/G20648/2012/8/8"/>
    <hyperlink ref="B697" r:id="rId695" display="http://www.opentraintimes.com/schedule/L70473/2012/8/8"/>
    <hyperlink ref="B698" r:id="rId696" display="http://www.opentraintimes.com/schedule/G21471/2012/8/8"/>
    <hyperlink ref="B699" r:id="rId697" display="http://www.opentraintimes.com/schedule/G21159/2012/8/8"/>
    <hyperlink ref="B700" r:id="rId698" display="http://www.opentraintimes.com/schedule/G22541/2012/8/8"/>
    <hyperlink ref="B701" r:id="rId699" display="http://www.opentraintimes.com/schedule/G26575/2012/8/8"/>
    <hyperlink ref="B702" r:id="rId700" display="http://www.opentraintimes.com/schedule/G21932/2012/8/8"/>
    <hyperlink ref="B703" r:id="rId701" display="http://www.opentraintimes.com/schedule/G22350/2012/8/8"/>
    <hyperlink ref="B704" r:id="rId702" display="http://www.opentraintimes.com/schedule/L70464/2012/8/8"/>
    <hyperlink ref="B705" r:id="rId703" display="http://www.opentraintimes.com/schedule/G26517/2012/8/8"/>
    <hyperlink ref="B706" r:id="rId704" display="http://www.opentraintimes.com/schedule/G20655/2012/8/8"/>
    <hyperlink ref="B707" r:id="rId705" display="http://www.opentraintimes.com/schedule/L70525/2012/8/8"/>
    <hyperlink ref="B708" r:id="rId706" display="http://www.opentraintimes.com/schedule/G20791/2012/8/8"/>
    <hyperlink ref="B709" r:id="rId707" display="http://www.opentraintimes.com/schedule/L70283/2012/8/8"/>
    <hyperlink ref="B710" r:id="rId708" display="http://www.opentraintimes.com/schedule/G22545/2012/8/8"/>
    <hyperlink ref="B711" r:id="rId709" display="http://www.opentraintimes.com/schedule/G21173/2012/8/8"/>
    <hyperlink ref="B712" r:id="rId710" display="http://www.opentraintimes.com/schedule/G26595/2012/8/8"/>
    <hyperlink ref="B713" r:id="rId711" display="http://www.opentraintimes.com/schedule/G29174/2012/8/8"/>
    <hyperlink ref="B714" r:id="rId712" display="http://www.opentraintimes.com/schedule/G20690/2012/8/8"/>
    <hyperlink ref="B715" r:id="rId713" display="http://www.opentraintimes.com/schedule/L70475/2012/8/8"/>
    <hyperlink ref="B716" r:id="rId714" display="http://www.opentraintimes.com/schedule/G26542/2012/8/8"/>
    <hyperlink ref="B717" r:id="rId715" display="http://www.opentraintimes.com/schedule/G22358/2012/8/8"/>
    <hyperlink ref="B718" r:id="rId716" display="http://www.opentraintimes.com/schedule/G21238/2012/8/8"/>
    <hyperlink ref="B719" r:id="rId717" display="http://www.opentraintimes.com/schedule/L77149/2012/8/8"/>
    <hyperlink ref="B720" r:id="rId718" display="http://www.opentraintimes.com/schedule/G21469/2012/8/8"/>
    <hyperlink ref="B721" r:id="rId719" display="http://www.opentraintimes.com/schedule/L77142/2012/8/8"/>
    <hyperlink ref="B722" r:id="rId720" display="http://www.opentraintimes.com/schedule/G22549/2012/8/8"/>
    <hyperlink ref="B723" r:id="rId721" display="http://www.opentraintimes.com/schedule/G20694/2012/8/8"/>
    <hyperlink ref="B724" r:id="rId722" display="http://www.opentraintimes.com/schedule/G21184/2012/8/8"/>
    <hyperlink ref="B725" r:id="rId723" display="http://www.opentraintimes.com/schedule/G26613/2012/8/8"/>
    <hyperlink ref="B726" r:id="rId724" display="http://www.opentraintimes.com/schedule/L70466/2012/8/8"/>
    <hyperlink ref="B727" r:id="rId725" display="http://www.opentraintimes.com/schedule/L70526/2012/8/8"/>
    <hyperlink ref="B728" r:id="rId726" display="http://www.opentraintimes.com/schedule/G26566/2012/8/8"/>
    <hyperlink ref="B729" r:id="rId727" display="http://www.opentraintimes.com/schedule/G21743/2012/8/8"/>
    <hyperlink ref="B730" r:id="rId728" display="http://www.opentraintimes.com/schedule/G22366/2012/8/8"/>
    <hyperlink ref="B731" r:id="rId729" display="http://www.opentraintimes.com/schedule/G29175/2012/8/8"/>
    <hyperlink ref="B732" r:id="rId730" display="http://www.opentraintimes.com/schedule/G21938/2012/8/8"/>
    <hyperlink ref="B733" r:id="rId731" display="http://www.opentraintimes.com/schedule/L70284/2012/8/8"/>
    <hyperlink ref="B734" r:id="rId732" display="http://www.opentraintimes.com/schedule/G20668/2012/8/8"/>
    <hyperlink ref="B735" r:id="rId733" display="http://www.opentraintimes.com/schedule/G22372/2012/8/8"/>
    <hyperlink ref="B736" r:id="rId734" display="http://www.opentraintimes.com/schedule/G22472/2012/8/8"/>
    <hyperlink ref="B737" r:id="rId735" display="http://www.opentraintimes.com/schedule/L70477/2012/8/8"/>
    <hyperlink ref="B738" r:id="rId736" display="http://www.opentraintimes.com/schedule/G20700/2012/8/8"/>
    <hyperlink ref="B739" r:id="rId737" display="http://www.opentraintimes.com/schedule/G26633/2012/8/8"/>
    <hyperlink ref="B740" r:id="rId738" display="http://www.opentraintimes.com/schedule/G21202/2012/8/8"/>
    <hyperlink ref="B741" r:id="rId739" display="http://www.opentraintimes.com/schedule/G26586/2012/8/8"/>
    <hyperlink ref="B742" r:id="rId740" display="http://www.opentraintimes.com/schedule/G24163/2012/8/8"/>
    <hyperlink ref="B743" r:id="rId741" display="http://www.opentraintimes.com/schedule/L70468/2012/8/8"/>
    <hyperlink ref="B744" r:id="rId742" display="http://www.opentraintimes.com/schedule/G22384/2012/8/8"/>
    <hyperlink ref="B745" r:id="rId743" display="http://www.opentraintimes.com/schedule/G21245/2012/8/8"/>
    <hyperlink ref="B746" r:id="rId744" display="http://www.opentraintimes.com/schedule/L70527/2012/8/8"/>
    <hyperlink ref="B747" r:id="rId745" display="http://www.opentraintimes.com/schedule/G22476/2012/8/8"/>
    <hyperlink ref="B748" r:id="rId746" display="http://www.opentraintimes.com/schedule/G26651/2012/8/8"/>
    <hyperlink ref="B749" r:id="rId747" display="http://www.opentraintimes.com/schedule/G21223/2012/8/8"/>
    <hyperlink ref="B750" r:id="rId748" display="http://www.opentraintimes.com/schedule/L70285/2012/8/8"/>
    <hyperlink ref="B751" r:id="rId749" display="http://www.opentraintimes.com/schedule/G26604/2012/8/8"/>
    <hyperlink ref="B752" r:id="rId750" display="http://www.opentraintimes.com/schedule/G21943/2012/8/8"/>
    <hyperlink ref="B753" r:id="rId751" display="http://www.opentraintimes.com/schedule/G22003/2012/8/8"/>
    <hyperlink ref="B754" r:id="rId752" display="http://www.opentraintimes.com/schedule/G22390/2012/8/8"/>
    <hyperlink ref="B755" r:id="rId753" display="http://www.opentraintimes.com/schedule/L70324/2012/8/8"/>
    <hyperlink ref="B756" r:id="rId754" display="http://www.opentraintimes.com/schedule/G20789/2012/8/8"/>
    <hyperlink ref="B757" r:id="rId755" display="http://www.opentraintimes.com/schedule/G29176/2012/8/8"/>
    <hyperlink ref="B758" r:id="rId756" display="http://www.opentraintimes.com/schedule/G20676/2012/8/8"/>
    <hyperlink ref="B759" r:id="rId757" display="http://www.opentraintimes.com/schedule/G22398/2012/8/8"/>
    <hyperlink ref="B760" r:id="rId758" display="http://www.opentraintimes.com/schedule/L77150/2012/8/8"/>
    <hyperlink ref="B761" r:id="rId759" display="http://www.opentraintimes.com/schedule/L77143/2012/8/8"/>
    <hyperlink ref="B762" r:id="rId760" display="http://www.opentraintimes.com/schedule/G20793/2012/8/8"/>
    <hyperlink ref="B763" r:id="rId761" display="http://www.opentraintimes.com/schedule/G22486/2012/8/8"/>
    <hyperlink ref="B764" r:id="rId762" display="http://www.opentraintimes.com/schedule/L70470/2012/8/8"/>
    <hyperlink ref="B765" r:id="rId763" display="http://www.opentraintimes.com/schedule/G21257/2012/8/8"/>
    <hyperlink ref="B766" r:id="rId764" display="http://www.opentraintimes.com/schedule/G26671/2012/8/8"/>
    <hyperlink ref="B767" r:id="rId765" display="http://www.opentraintimes.com/schedule/G21231/2012/8/8"/>
    <hyperlink ref="B768" r:id="rId766" display="http://www.opentraintimes.com/schedule/L70528/2012/8/8"/>
    <hyperlink ref="B769" r:id="rId767" display="http://www.opentraintimes.com/schedule/G26624/2012/8/8"/>
    <hyperlink ref="B770" r:id="rId768" display="http://www.opentraintimes.com/schedule/G29055/2012/8/8"/>
    <hyperlink ref="B771" r:id="rId769" display="http://www.opentraintimes.com/schedule/G22408/2012/8/8"/>
    <hyperlink ref="B772" r:id="rId770" display="http://www.opentraintimes.com/schedule/L70286/2012/8/8"/>
    <hyperlink ref="B773" r:id="rId771" display="http://www.opentraintimes.com/schedule/G21477/2012/8/8"/>
    <hyperlink ref="B774" r:id="rId772" display="http://www.opentraintimes.com/schedule/G22490/2012/8/8"/>
    <hyperlink ref="B775" r:id="rId773" display="http://www.opentraintimes.com/schedule/L70329/2012/8/8"/>
    <hyperlink ref="B776" r:id="rId774" display="http://www.opentraintimes.com/schedule/G21481/2012/8/8"/>
    <hyperlink ref="B777" r:id="rId775" display="http://www.opentraintimes.com/schedule/G21243/2012/8/8"/>
    <hyperlink ref="B778" r:id="rId776" display="http://www.opentraintimes.com/schedule/G26689/2012/8/8"/>
    <hyperlink ref="B779" r:id="rId777" display="http://www.opentraintimes.com/schedule/G26642/2012/8/8"/>
    <hyperlink ref="B780" r:id="rId778" display="http://www.opentraintimes.com/schedule/G21268/2012/8/8"/>
    <hyperlink ref="B781" r:id="rId779" display="http://www.opentraintimes.com/schedule/G21951/2012/8/8"/>
    <hyperlink ref="B782" r:id="rId780" display="http://www.opentraintimes.com/schedule/G22416/2012/8/8"/>
    <hyperlink ref="B783" r:id="rId781" display="http://www.opentraintimes.com/schedule/L70472/2012/8/8"/>
    <hyperlink ref="B784" r:id="rId782" display="http://www.opentraintimes.com/schedule/G20023/2012/8/8"/>
    <hyperlink ref="B785" r:id="rId783" display="http://www.opentraintimes.com/schedule/L70529/2012/8/8"/>
    <hyperlink ref="B786" r:id="rId784" display="http://www.opentraintimes.com/schedule/G22497/2012/8/8"/>
    <hyperlink ref="B787" r:id="rId785" display="http://www.opentraintimes.com/schedule/G21250/2012/8/8"/>
    <hyperlink ref="B788" r:id="rId786" display="http://www.opentraintimes.com/schedule/L70287/2012/8/8"/>
    <hyperlink ref="B789" r:id="rId787" display="http://www.opentraintimes.com/schedule/G26707/2012/8/8"/>
    <hyperlink ref="B790" r:id="rId788" display="http://www.opentraintimes.com/schedule/G26662/2012/8/8"/>
    <hyperlink ref="B791" r:id="rId789" display="http://www.opentraintimes.com/schedule/G23254/2012/8/8"/>
    <hyperlink ref="B792" r:id="rId790" display="http://www.opentraintimes.com/schedule/L70333/2012/8/8"/>
    <hyperlink ref="B793" r:id="rId791" display="http://www.opentraintimes.com/schedule/G29177/2012/8/8"/>
    <hyperlink ref="B794" r:id="rId792" display="http://www.opentraintimes.com/schedule/G22422/2012/8/8"/>
    <hyperlink ref="B795" r:id="rId793" display="http://www.opentraintimes.com/schedule/G21283/2012/8/8"/>
    <hyperlink ref="B796" r:id="rId794" display="http://www.opentraintimes.com/schedule/L77151/2012/8/8"/>
    <hyperlink ref="B797" r:id="rId795" display="http://www.opentraintimes.com/schedule/G21485/2012/8/8"/>
    <hyperlink ref="B798" r:id="rId796" display="http://www.opentraintimes.com/schedule/L77144/2012/8/8"/>
    <hyperlink ref="B799" r:id="rId797" display="http://www.opentraintimes.com/schedule/G22503/2012/8/8"/>
    <hyperlink ref="B800" r:id="rId798" display="http://www.opentraintimes.com/schedule/G20712/2012/8/8"/>
    <hyperlink ref="B801" r:id="rId799" display="http://www.opentraintimes.com/schedule/G21264/2012/8/8"/>
    <hyperlink ref="B802" r:id="rId800" display="http://www.opentraintimes.com/schedule/L70474/2012/8/8"/>
    <hyperlink ref="B803" r:id="rId801" display="http://www.opentraintimes.com/schedule/G26726/2012/8/8"/>
    <hyperlink ref="B804" r:id="rId802" display="http://www.opentraintimes.com/schedule/L70530/2012/8/8"/>
    <hyperlink ref="B805" r:id="rId803" display="http://www.opentraintimes.com/schedule/G26680/2012/8/8"/>
    <hyperlink ref="B806" r:id="rId804" display="http://www.opentraintimes.com/schedule/G21758/2012/8/8"/>
    <hyperlink ref="B807" r:id="rId805" display="http://www.opentraintimes.com/schedule/G21961/2012/8/8"/>
    <hyperlink ref="B808" r:id="rId806" display="http://www.opentraintimes.com/schedule/G29178/2012/8/8"/>
    <hyperlink ref="B809" r:id="rId807" display="http://www.opentraintimes.com/schedule/G26745/2012/8/8"/>
    <hyperlink ref="B810" r:id="rId808" display="http://www.opentraintimes.com/schedule/L70288/2012/8/8"/>
    <hyperlink ref="B811" r:id="rId809" display="http://www.opentraintimes.com/schedule/G20795/2012/8/8"/>
    <hyperlink ref="B812" r:id="rId810" display="http://www.opentraintimes.com/schedule/G22513/2012/8/8"/>
    <hyperlink ref="B813" r:id="rId811" display="http://www.opentraintimes.com/schedule/L70337/2012/8/8"/>
    <hyperlink ref="B814" r:id="rId812" display="http://www.opentraintimes.com/schedule/G20718/2012/8/8"/>
    <hyperlink ref="B815" r:id="rId813" display="http://www.opentraintimes.com/schedule/G21277/2012/8/8"/>
    <hyperlink ref="B816" r:id="rId814" display="http://www.opentraintimes.com/schedule/G26764/2012/8/8"/>
    <hyperlink ref="B817" r:id="rId815" display="http://www.opentraintimes.com/schedule/G21295/2012/8/8"/>
    <hyperlink ref="B818" r:id="rId816" display="http://www.opentraintimes.com/schedule/G21487/2012/8/8"/>
    <hyperlink ref="B819" r:id="rId817" display="http://www.opentraintimes.com/schedule/G22430/2012/8/8"/>
    <hyperlink ref="B820" r:id="rId818" display="http://www.opentraintimes.com/schedule/G26698/2012/8/8"/>
    <hyperlink ref="B821" r:id="rId819" display="http://www.opentraintimes.com/schedule/L70476/2012/8/8"/>
    <hyperlink ref="B822" r:id="rId820" display="http://www.opentraintimes.com/schedule/L70531/2012/8/8"/>
    <hyperlink ref="B823" r:id="rId821" display="http://www.opentraintimes.com/schedule/G21291/2012/8/8"/>
    <hyperlink ref="B824" r:id="rId822" display="http://www.opentraintimes.com/schedule/L70289/2012/8/8"/>
    <hyperlink ref="B825" r:id="rId823" display="http://www.opentraintimes.com/schedule/G26783/2012/8/8"/>
    <hyperlink ref="B826" r:id="rId824" display="http://www.opentraintimes.com/schedule/G20726/2012/8/8"/>
    <hyperlink ref="B827" r:id="rId825" display="http://www.opentraintimes.com/schedule/L70341/2012/8/8"/>
    <hyperlink ref="B828" r:id="rId826" display="http://www.opentraintimes.com/schedule/G29179/2012/8/8"/>
    <hyperlink ref="B829" r:id="rId827" display="http://www.opentraintimes.com/schedule/G26799/2012/8/8"/>
    <hyperlink ref="B830" r:id="rId828" display="http://www.opentraintimes.com/schedule/G20682/2012/8/8"/>
    <hyperlink ref="B831" r:id="rId829" display="http://www.opentraintimes.com/schedule/G26717/2012/8/8"/>
    <hyperlink ref="B832" r:id="rId830" display="http://www.opentraintimes.com/schedule/L77152/2012/8/8"/>
    <hyperlink ref="B833" r:id="rId831" display="http://www.opentraintimes.com/schedule/L77145/2012/8/8"/>
    <hyperlink ref="B834" r:id="rId832" display="http://www.opentraintimes.com/schedule/G20843/2012/8/8"/>
    <hyperlink ref="B835" r:id="rId833" display="http://www.opentraintimes.com/schedule/L70323/2012/8/8"/>
    <hyperlink ref="B836" r:id="rId834" display="http://www.opentraintimes.com/schedule/G21967/2012/8/8"/>
    <hyperlink ref="B837" r:id="rId835" display="http://www.opentraintimes.com/schedule/L70532/2012/8/8"/>
    <hyperlink ref="B838" r:id="rId836" display="http://www.opentraintimes.com/schedule/G26818/2012/8/8"/>
    <hyperlink ref="B839" r:id="rId837" display="http://www.opentraintimes.com/schedule/L70290/2012/8/8"/>
    <hyperlink ref="B840" r:id="rId838" display="http://www.opentraintimes.com/schedule/G26736/2012/8/8"/>
    <hyperlink ref="B841" r:id="rId839" display="http://www.opentraintimes.com/schedule/G20857/2012/8/8"/>
    <hyperlink ref="B842" r:id="rId840" display="http://www.opentraintimes.com/schedule/G20797/2012/8/8"/>
    <hyperlink ref="B843" r:id="rId841" display="http://www.opentraintimes.com/schedule/L70345/2012/8/8"/>
    <hyperlink ref="B844" r:id="rId842" display="http://www.opentraintimes.com/schedule/G21489/2012/8/8"/>
    <hyperlink ref="B845" r:id="rId843" display="http://www.opentraintimes.com/schedule/G07181/2012/8/8"/>
    <hyperlink ref="B846" r:id="rId844" display="http://www.opentraintimes.com/schedule/G21493/2012/8/8"/>
    <hyperlink ref="B847" r:id="rId845" display="http://www.opentraintimes.com/schedule/G20731/2012/8/8"/>
    <hyperlink ref="B848" r:id="rId846" display="http://www.opentraintimes.com/schedule/G26837/2012/8/8"/>
    <hyperlink ref="B849" r:id="rId847" display="http://www.opentraintimes.com/schedule/L70327/2012/8/8"/>
    <hyperlink ref="B850" r:id="rId848" display="http://www.opentraintimes.com/schedule/G26755/2012/8/8"/>
    <hyperlink ref="B851" r:id="rId849" display="http://www.opentraintimes.com/schedule/G29180/2012/8/8"/>
    <hyperlink ref="B852" r:id="rId850" display="http://www.opentraintimes.com/schedule/L70533/2012/8/8"/>
    <hyperlink ref="B853" r:id="rId851" display="http://www.opentraintimes.com/schedule/L70291/2012/8/8"/>
    <hyperlink ref="B854" r:id="rId852" display="http://www.opentraintimes.com/schedule/G22009/2012/8/8"/>
    <hyperlink ref="B855" r:id="rId853" display="http://www.opentraintimes.com/schedule/G29121/2012/8/8"/>
    <hyperlink ref="B856" r:id="rId854" display="http://www.opentraintimes.com/schedule/L70349/2012/8/8"/>
    <hyperlink ref="B857" r:id="rId855" display="http://www.opentraintimes.com/schedule/G26857/2012/8/8"/>
    <hyperlink ref="B858" r:id="rId856" display="http://www.opentraintimes.com/schedule/G05518/2012/8/8"/>
    <hyperlink ref="B859" r:id="rId857" display="http://www.opentraintimes.com/schedule/G26774/2012/8/8"/>
    <hyperlink ref="B860" r:id="rId858" display="http://www.opentraintimes.com/schedule/G20879/2012/8/8"/>
    <hyperlink ref="B861" r:id="rId859" display="http://www.opentraintimes.com/schedule/G20799/2012/8/8"/>
    <hyperlink ref="B862" r:id="rId860" display="http://www.opentraintimes.com/schedule/L70331/2012/8/8"/>
    <hyperlink ref="B863" r:id="rId861" display="http://www.opentraintimes.com/schedule/L70534/2012/8/8"/>
    <hyperlink ref="B864" r:id="rId862" display="http://www.opentraintimes.com/schedule/G20692/2012/8/8"/>
    <hyperlink ref="B865" r:id="rId863" display="http://www.opentraintimes.com/schedule/G21777/2012/8/8"/>
    <hyperlink ref="B866" r:id="rId864" display="http://www.opentraintimes.com/schedule/G26874/2012/8/8"/>
    <hyperlink ref="B867" r:id="rId865" display="http://www.opentraintimes.com/schedule/G26790/2012/8/8"/>
    <hyperlink ref="B868" r:id="rId866" display="http://www.opentraintimes.com/schedule/L70292/2012/8/8"/>
    <hyperlink ref="B869" r:id="rId867" display="http://www.opentraintimes.com/schedule/G20737/2012/8/8"/>
    <hyperlink ref="B870" r:id="rId868" display="http://www.opentraintimes.com/schedule/L70353/2012/8/8"/>
    <hyperlink ref="B871" r:id="rId869" display="http://www.opentraintimes.com/schedule/G20696/2012/8/8"/>
    <hyperlink ref="B872" r:id="rId870" display="http://www.opentraintimes.com/schedule/G26892/2012/8/8"/>
    <hyperlink ref="B873" r:id="rId871" display="http://www.opentraintimes.com/schedule/L70335/2012/8/8"/>
    <hyperlink ref="B874" r:id="rId872" display="http://www.opentraintimes.com/schedule/G26809/2012/8/8"/>
    <hyperlink ref="B875" r:id="rId873" display="http://www.opentraintimes.com/schedule/L70535/2012/8/8"/>
    <hyperlink ref="B876" r:id="rId874" display="http://www.opentraintimes.com/schedule/G29181/2012/8/8"/>
    <hyperlink ref="B877" r:id="rId875" display="http://www.opentraintimes.com/schedule/G24014/2012/8/8"/>
    <hyperlink ref="B878" r:id="rId876" display="http://www.opentraintimes.com/schedule/G20805/2012/8/8"/>
    <hyperlink ref="B879" r:id="rId877" display="http://www.opentraintimes.com/schedule/L70293/2012/8/8"/>
    <hyperlink ref="B880" r:id="rId878" display="http://www.opentraintimes.com/schedule/G22011/2012/8/8"/>
    <hyperlink ref="B881" r:id="rId879" display="http://www.opentraintimes.com/schedule/L70357/2012/8/8"/>
    <hyperlink ref="B882" r:id="rId880" display="http://www.opentraintimes.com/schedule/G29182/2012/8/8"/>
    <hyperlink ref="B883" r:id="rId881" display="http://www.opentraintimes.com/schedule/G26909/2012/8/8"/>
    <hyperlink ref="B884" r:id="rId882" display="http://www.opentraintimes.com/schedule/G21975/2012/8/8"/>
    <hyperlink ref="B885" r:id="rId883" display="http://www.opentraintimes.com/schedule/G26828/2012/8/8"/>
    <hyperlink ref="B886" r:id="rId884" display="http://www.opentraintimes.com/schedule/L70339/2012/8/8"/>
    <hyperlink ref="B887" r:id="rId885" display="http://www.opentraintimes.com/schedule/L70536/2012/8/8"/>
    <hyperlink ref="B888" r:id="rId886" display="http://www.opentraintimes.com/schedule/G20744/2012/8/8"/>
    <hyperlink ref="B889" r:id="rId887" display="http://www.opentraintimes.com/schedule/G26926/2012/8/8"/>
    <hyperlink ref="B890" r:id="rId888" display="http://www.opentraintimes.com/schedule/G26847/2012/8/8"/>
    <hyperlink ref="B891" r:id="rId889" display="http://www.opentraintimes.com/schedule/L70294/2012/8/8"/>
    <hyperlink ref="B892" r:id="rId890" display="http://www.opentraintimes.com/schedule/G20928/2012/8/8"/>
    <hyperlink ref="B893" r:id="rId891" display="http://www.opentraintimes.com/schedule/G23981/2012/8/8"/>
    <hyperlink ref="B894" r:id="rId892" display="http://www.opentraintimes.com/schedule/L70361/2012/8/8"/>
    <hyperlink ref="B895" r:id="rId893" display="http://www.opentraintimes.com/schedule/G21497/2012/8/8"/>
    <hyperlink ref="B896" r:id="rId894" display="http://www.opentraintimes.com/schedule/G21501/2012/8/8"/>
    <hyperlink ref="B897" r:id="rId895" display="http://www.opentraintimes.com/schedule/G26942/2012/8/8"/>
    <hyperlink ref="B898" r:id="rId896" display="http://www.opentraintimes.com/schedule/G26866/2012/8/8"/>
    <hyperlink ref="B899" r:id="rId897" display="http://www.opentraintimes.com/schedule/L70343/2012/8/8"/>
    <hyperlink ref="B900" r:id="rId898" display="http://www.opentraintimes.com/schedule/G29183/2012/8/8"/>
    <hyperlink ref="B901" r:id="rId899" display="http://www.opentraintimes.com/schedule/L70537/2012/8/8"/>
    <hyperlink ref="B902" r:id="rId900" display="http://www.opentraintimes.com/schedule/L70295/2012/8/8"/>
    <hyperlink ref="B903" r:id="rId901" display="http://www.opentraintimes.com/schedule/G23301/2012/8/8"/>
    <hyperlink ref="B904" r:id="rId902" display="http://www.opentraintimes.com/schedule/G29122/2012/8/8"/>
    <hyperlink ref="B905" r:id="rId903" display="http://www.opentraintimes.com/schedule/L70365/2012/8/8"/>
    <hyperlink ref="B906" r:id="rId904" display="http://www.opentraintimes.com/schedule/G21800/2012/8/8"/>
    <hyperlink ref="B907" r:id="rId905" display="http://www.opentraintimes.com/schedule/G26959/2012/8/8"/>
    <hyperlink ref="B908" r:id="rId906" display="http://www.opentraintimes.com/schedule/G26883/2012/8/8"/>
    <hyperlink ref="B909" r:id="rId907" display="http://www.opentraintimes.com/schedule/G20946/2012/8/8"/>
    <hyperlink ref="B910" r:id="rId908" display="http://www.opentraintimes.com/schedule/G20825/2012/8/8"/>
    <hyperlink ref="B911" r:id="rId909" display="http://www.opentraintimes.com/schedule/L70347/2012/8/8"/>
    <hyperlink ref="B912" r:id="rId910" display="http://www.opentraintimes.com/schedule/L70538/2012/8/8"/>
    <hyperlink ref="B913" r:id="rId911" display="http://www.opentraintimes.com/schedule/G20539/2012/8/8"/>
    <hyperlink ref="B914" r:id="rId912" display="http://www.opentraintimes.com/schedule/G21795/2012/8/8"/>
    <hyperlink ref="B915" r:id="rId913" display="http://www.opentraintimes.com/schedule/G26975/2012/8/8"/>
    <hyperlink ref="B916" r:id="rId914" display="http://www.opentraintimes.com/schedule/L70296/2012/8/8"/>
    <hyperlink ref="B917" r:id="rId915" display="http://www.opentraintimes.com/schedule/G26900/2012/8/8"/>
    <hyperlink ref="B918" r:id="rId916" display="http://www.opentraintimes.com/schedule/L70369/2012/8/8"/>
    <hyperlink ref="B919" r:id="rId917" display="http://www.opentraintimes.com/schedule/G22015/2012/8/8"/>
    <hyperlink ref="B920" r:id="rId918" display="http://www.opentraintimes.com/schedule/G20704/2012/8/8"/>
    <hyperlink ref="B921" r:id="rId919" display="http://www.opentraintimes.com/schedule/G26989/2012/8/8"/>
    <hyperlink ref="B922" r:id="rId920" display="http://www.opentraintimes.com/schedule/G26918/2012/8/8"/>
    <hyperlink ref="B923" r:id="rId921" display="http://www.opentraintimes.com/schedule/L70351/2012/8/8"/>
    <hyperlink ref="B924" r:id="rId922" display="http://www.opentraintimes.com/schedule/G29184/2012/8/8"/>
    <hyperlink ref="B925" r:id="rId923" display="http://www.opentraintimes.com/schedule/G24054/2012/8/8"/>
    <hyperlink ref="B926" r:id="rId924" display="http://www.opentraintimes.com/schedule/G20836/2012/8/8"/>
    <hyperlink ref="B927" r:id="rId925" display="http://www.opentraintimes.com/schedule/L70539/2012/8/8"/>
    <hyperlink ref="B928" r:id="rId926" display="http://www.opentraintimes.com/schedule/L70297/2012/8/8"/>
    <hyperlink ref="B929" r:id="rId927" display="http://www.opentraintimes.com/schedule/G29185/2012/8/8"/>
    <hyperlink ref="B930" r:id="rId928" display="http://www.opentraintimes.com/schedule/L70373/2012/8/8"/>
    <hyperlink ref="B931" r:id="rId929" display="http://www.opentraintimes.com/schedule/G22018/2012/8/8"/>
    <hyperlink ref="B932" r:id="rId930" display="http://www.opentraintimes.com/schedule/G27005/2012/8/8"/>
    <hyperlink ref="B933" r:id="rId931" display="http://www.opentraintimes.com/schedule/G26934/2012/8/8"/>
    <hyperlink ref="B934" r:id="rId932" display="http://www.opentraintimes.com/schedule/G20033/2012/8/8"/>
    <hyperlink ref="B935" r:id="rId933" display="http://www.opentraintimes.com/schedule/L70355/2012/8/8"/>
    <hyperlink ref="B936" r:id="rId934" display="http://www.opentraintimes.com/schedule/L70540/2012/8/8"/>
    <hyperlink ref="B937" r:id="rId935" display="http://www.opentraintimes.com/schedule/G27021/2012/8/8"/>
    <hyperlink ref="B938" r:id="rId936" display="http://www.opentraintimes.com/schedule/G26951/2012/8/8"/>
    <hyperlink ref="B939" r:id="rId937" display="http://www.opentraintimes.com/schedule/G20973/2012/8/8"/>
    <hyperlink ref="B940" r:id="rId938" display="http://www.opentraintimes.com/schedule/G20840/2012/8/8"/>
    <hyperlink ref="B941" r:id="rId939" display="http://www.opentraintimes.com/schedule/L70298/2012/8/8"/>
    <hyperlink ref="B942" r:id="rId940" display="http://www.opentraintimes.com/schedule/G21505/2012/8/8"/>
    <hyperlink ref="B943" r:id="rId941" display="http://www.opentraintimes.com/schedule/L70377/2012/8/8"/>
    <hyperlink ref="B944" r:id="rId942" display="http://www.opentraintimes.com/schedule/G21509/2012/8/8"/>
    <hyperlink ref="B945" r:id="rId943" display="http://www.opentraintimes.com/schedule/G27034/2012/8/8"/>
    <hyperlink ref="B946" r:id="rId944" display="http://www.opentraintimes.com/schedule/G26967/2012/8/8"/>
    <hyperlink ref="B947" r:id="rId945" display="http://www.opentraintimes.com/schedule/L70359/2012/8/8"/>
    <hyperlink ref="B948" r:id="rId946" display="http://www.opentraintimes.com/schedule/G29186/2012/8/8"/>
    <hyperlink ref="B949" r:id="rId947" display="http://www.opentraintimes.com/schedule/L70541/2012/8/8"/>
    <hyperlink ref="B950" r:id="rId948" display="http://www.opentraintimes.com/schedule/L70299/2012/8/8"/>
    <hyperlink ref="B951" r:id="rId949" display="http://www.opentraintimes.com/schedule/L70381/2012/8/8"/>
    <hyperlink ref="B952" r:id="rId950" display="http://www.opentraintimes.com/schedule/G27050/2012/8/8"/>
    <hyperlink ref="B953" r:id="rId951" display="http://www.opentraintimes.com/schedule/G21814/2012/8/8"/>
    <hyperlink ref="B954" r:id="rId952" display="http://www.opentraintimes.com/schedule/G26983/2012/8/8"/>
    <hyperlink ref="B955" r:id="rId953" display="http://www.opentraintimes.com/schedule/G20985/2012/8/8"/>
    <hyperlink ref="B956" r:id="rId954" display="http://www.opentraintimes.com/schedule/G20849/2012/8/8"/>
    <hyperlink ref="B957" r:id="rId955" display="http://www.opentraintimes.com/schedule/G20752/2012/8/8"/>
    <hyperlink ref="B958" r:id="rId956" display="http://www.opentraintimes.com/schedule/L70363/2012/8/8"/>
    <hyperlink ref="B959" r:id="rId957" display="http://www.opentraintimes.com/schedule/L70542/2012/8/8"/>
    <hyperlink ref="B960" r:id="rId958" display="http://www.opentraintimes.com/schedule/G20554/2012/8/8"/>
    <hyperlink ref="B961" r:id="rId959" display="http://www.opentraintimes.com/schedule/G21809/2012/8/8"/>
    <hyperlink ref="B962" r:id="rId960" display="http://www.opentraintimes.com/schedule/G27066/2012/8/8"/>
    <hyperlink ref="B963" r:id="rId961" display="http://www.opentraintimes.com/schedule/G26997/2012/8/8"/>
    <hyperlink ref="B964" r:id="rId962" display="http://www.opentraintimes.com/schedule/L70300/2012/8/8"/>
    <hyperlink ref="B965" r:id="rId963" display="http://www.opentraintimes.com/schedule/L70385/2012/8/8"/>
    <hyperlink ref="B966" r:id="rId964" display="http://www.opentraintimes.com/schedule/G20754/2012/8/8"/>
    <hyperlink ref="B967" r:id="rId965" display="http://www.opentraintimes.com/schedule/G29040/2012/8/8"/>
    <hyperlink ref="B968" r:id="rId966" display="http://www.opentraintimes.com/schedule/G29072/2012/8/8"/>
    <hyperlink ref="B969" r:id="rId967" display="http://www.opentraintimes.com/schedule/G20708/2012/8/8"/>
    <hyperlink ref="B970" r:id="rId968" display="http://www.opentraintimes.com/schedule/G27080/2012/8/8"/>
    <hyperlink ref="B971" r:id="rId969" display="http://www.opentraintimes.com/schedule/G27013/2012/8/8"/>
    <hyperlink ref="B972" r:id="rId970" display="http://www.opentraintimes.com/schedule/L70367/2012/8/8"/>
    <hyperlink ref="B973" r:id="rId971" display="http://www.opentraintimes.com/schedule/L70543/2012/8/8"/>
    <hyperlink ref="B974" r:id="rId972" display="http://www.opentraintimes.com/schedule/G20865/2012/8/8"/>
    <hyperlink ref="B975" r:id="rId973" display="http://www.opentraintimes.com/schedule/L70301/2012/8/8"/>
    <hyperlink ref="B976" r:id="rId974" display="http://www.opentraintimes.com/schedule/G20989/2012/8/8"/>
    <hyperlink ref="B977" r:id="rId975" display="http://www.opentraintimes.com/schedule/G06360/2012/8/8"/>
    <hyperlink ref="B978" r:id="rId976" display="http://www.opentraintimes.com/schedule/L70389/2012/8/8"/>
    <hyperlink ref="B979" r:id="rId977" display="http://www.opentraintimes.com/schedule/G27027/2012/8/8"/>
    <hyperlink ref="B980" r:id="rId978" display="http://www.opentraintimes.com/schedule/G06359/2012/8/8"/>
    <hyperlink ref="B981" r:id="rId979" display="http://www.opentraintimes.com/schedule/G20028/2012/8/8"/>
    <hyperlink ref="B982" r:id="rId980" display="http://www.opentraintimes.com/schedule/G26019/2012/8/8"/>
    <hyperlink ref="B983" r:id="rId981" display="http://www.opentraintimes.com/schedule/L70371/2012/8/8"/>
    <hyperlink ref="B984" r:id="rId982" display="http://www.opentraintimes.com/schedule/L70544/2012/8/8"/>
    <hyperlink ref="B985" r:id="rId983" display="http://www.opentraintimes.com/schedule/G29082/2012/8/8"/>
    <hyperlink ref="B986" r:id="rId984" display="http://www.opentraintimes.com/schedule/G27042/2012/8/8"/>
    <hyperlink ref="B987" r:id="rId985" display="http://www.opentraintimes.com/schedule/L70393/2012/8/8"/>
    <hyperlink ref="B988" r:id="rId986" display="http://www.opentraintimes.com/schedule/L70302/2012/8/8"/>
    <hyperlink ref="B989" r:id="rId987" display="http://www.opentraintimes.com/schedule/G20874/2012/8/8"/>
    <hyperlink ref="B990" r:id="rId988" display="http://www.opentraintimes.com/schedule/G20999/2012/8/8"/>
    <hyperlink ref="B991" r:id="rId989" display="http://www.opentraintimes.com/schedule/G21513/2012/8/8"/>
    <hyperlink ref="B992" r:id="rId990" display="http://www.opentraintimes.com/schedule/G29042/2012/8/8"/>
    <hyperlink ref="B993" r:id="rId991" display="http://www.opentraintimes.com/schedule/G29076/2012/8/8"/>
    <hyperlink ref="B994" r:id="rId992" display="http://www.opentraintimes.com/schedule/G21517/2012/8/8"/>
    <hyperlink ref="B995" r:id="rId993" display="http://www.opentraintimes.com/schedule/G26051/2012/8/8"/>
    <hyperlink ref="B996" r:id="rId994" display="http://www.opentraintimes.com/schedule/L70375/2012/8/8"/>
    <hyperlink ref="B997" r:id="rId995" display="http://www.opentraintimes.com/schedule/L70545/2012/8/8"/>
    <hyperlink ref="B998" r:id="rId996" display="http://www.opentraintimes.com/schedule/G27058/2012/8/8"/>
    <hyperlink ref="B999" r:id="rId997" display="http://www.opentraintimes.com/schedule/G29190/2012/8/8"/>
    <hyperlink ref="B1000" r:id="rId998" display="http://www.opentraintimes.com/schedule/L70303/2012/8/8"/>
    <hyperlink ref="B1001" r:id="rId999" display="http://www.opentraintimes.com/schedule/L70397/2012/8/8"/>
    <hyperlink ref="B1002" r:id="rId1000" display="http://www.opentraintimes.com/schedule/G06377/2012/8/8"/>
    <hyperlink ref="B1003" r:id="rId1001" display="http://www.opentraintimes.com/schedule/G20535/2012/8/8"/>
    <hyperlink ref="B1004" r:id="rId1002" display="http://www.opentraintimes.com/schedule/G21822/2012/8/8"/>
    <hyperlink ref="B1005" r:id="rId1003" display="http://www.opentraintimes.com/schedule/G26083/2012/8/8"/>
    <hyperlink ref="B1006" r:id="rId1004" display="http://www.opentraintimes.com/schedule/G21012/2012/8/8"/>
    <hyperlink ref="B1007" r:id="rId1005" display="http://www.opentraintimes.com/schedule/L70379/2012/8/8"/>
    <hyperlink ref="B1008" r:id="rId1006" display="http://www.opentraintimes.com/schedule/G06378/2012/8/8"/>
    <hyperlink ref="B1009" r:id="rId1007" display="http://www.opentraintimes.com/schedule/L70546/2012/8/8"/>
    <hyperlink ref="B1010" r:id="rId1008" display="http://www.opentraintimes.com/schedule/G29086/2012/8/8"/>
    <hyperlink ref="B1011" r:id="rId1009" display="http://www.opentraintimes.com/schedule/G22528/2012/8/8"/>
    <hyperlink ref="B1012" r:id="rId1010" display="http://www.opentraintimes.com/schedule/L70304/2012/8/8"/>
    <hyperlink ref="B1013" r:id="rId1011" display="http://www.opentraintimes.com/schedule/L70401/2012/8/8"/>
    <hyperlink ref="B1014" r:id="rId1012" display="http://www.opentraintimes.com/schedule/G20897/2012/8/8"/>
    <hyperlink ref="B1015" r:id="rId1013" display="http://www.opentraintimes.com/schedule/G27072/2012/8/8"/>
    <hyperlink ref="B1016" r:id="rId1014" display="http://www.opentraintimes.com/schedule/G26115/2012/8/8"/>
    <hyperlink ref="B1017" r:id="rId1015" display="http://www.opentraintimes.com/schedule/G21521/2012/8/8"/>
    <hyperlink ref="B1018" r:id="rId1016" display="http://www.opentraintimes.com/schedule/G29044/2012/8/8"/>
    <hyperlink ref="B1019" r:id="rId1017" display="http://www.opentraintimes.com/schedule/G29080/2012/8/8"/>
    <hyperlink ref="B1020" r:id="rId1018" display="http://www.opentraintimes.com/schedule/G20758/2012/8/8"/>
    <hyperlink ref="B1021" r:id="rId1019" display="http://www.opentraintimes.com/schedule/L70383/2012/8/8"/>
    <hyperlink ref="B1022" r:id="rId1020" display="http://www.opentraintimes.com/schedule/L70547/2012/8/8"/>
    <hyperlink ref="B1023" r:id="rId1021" display="http://www.opentraintimes.com/schedule/G26146/2012/8/8"/>
    <hyperlink ref="B1024" r:id="rId1022" display="http://www.opentraintimes.com/schedule/G27088/2012/8/8"/>
    <hyperlink ref="B1025" r:id="rId1023" display="http://www.opentraintimes.com/schedule/L70305/2012/8/8"/>
    <hyperlink ref="B1026" r:id="rId1024" display="http://www.opentraintimes.com/schedule/G29192/2012/8/8"/>
    <hyperlink ref="B1027" r:id="rId1025" display="http://www.opentraintimes.com/schedule/G20906/2012/8/8"/>
    <hyperlink ref="B1028" r:id="rId1026" display="http://www.opentraintimes.com/schedule/L70405/2012/8/8"/>
    <hyperlink ref="B1029" r:id="rId1027" display="http://www.opentraintimes.com/schedule/G21014/2012/8/8"/>
    <hyperlink ref="B1030" r:id="rId1028" display="http://www.opentraintimes.com/schedule/G21832/2012/8/8"/>
    <hyperlink ref="B1031" r:id="rId1029" display="http://www.opentraintimes.com/schedule/G20762/2012/8/8"/>
    <hyperlink ref="B1032" r:id="rId1030" display="http://www.opentraintimes.com/schedule/G26177/2012/8/8"/>
    <hyperlink ref="B1033" r:id="rId1031" display="http://www.opentraintimes.com/schedule/L70387/2012/8/8"/>
    <hyperlink ref="B1034" r:id="rId1032" display="http://www.opentraintimes.com/schedule/L70548/2012/8/8"/>
    <hyperlink ref="B1035" r:id="rId1033" display="http://www.opentraintimes.com/schedule/G29090/2012/8/8"/>
    <hyperlink ref="B1036" r:id="rId1034" display="http://www.opentraintimes.com/schedule/G20728/2012/8/8"/>
    <hyperlink ref="B1037" r:id="rId1035" display="http://www.opentraintimes.com/schedule/G26004/2012/8/8"/>
    <hyperlink ref="B1038" r:id="rId1036" display="http://www.opentraintimes.com/schedule/L70306/2012/8/8"/>
    <hyperlink ref="B1039" r:id="rId1037" display="http://www.opentraintimes.com/schedule/L70409/2012/8/8"/>
    <hyperlink ref="B1040" r:id="rId1038" display="http://www.opentraintimes.com/schedule/G20914/2012/8/8"/>
    <hyperlink ref="B1041" r:id="rId1039" display="http://www.opentraintimes.com/schedule/G26208/2012/8/8"/>
    <hyperlink ref="B1042" r:id="rId1040" display="http://www.opentraintimes.com/schedule/G21026/2012/8/8"/>
    <hyperlink ref="B1043" r:id="rId1041" display="http://www.opentraintimes.com/schedule/G29084/2012/8/8"/>
    <hyperlink ref="B1044" r:id="rId1042" display="http://www.opentraintimes.com/schedule/G29046/2012/8/8"/>
    <hyperlink ref="B1045" r:id="rId1043" display="http://www.opentraintimes.com/schedule/G21523/2012/8/8"/>
    <hyperlink ref="B1046" r:id="rId1044" display="http://www.opentraintimes.com/schedule/G21527/2012/8/8"/>
    <hyperlink ref="B1047" r:id="rId1045" display="http://www.opentraintimes.com/schedule/L70391/2012/8/8"/>
    <hyperlink ref="B1048" r:id="rId1046" display="http://www.opentraintimes.com/schedule/L70549/2012/8/8"/>
    <hyperlink ref="B1049" r:id="rId1047" display="http://www.opentraintimes.com/schedule/G22534/2012/8/8"/>
    <hyperlink ref="B1050" r:id="rId1048" display="http://www.opentraintimes.com/schedule/G26240/2012/8/8"/>
    <hyperlink ref="B1051" r:id="rId1049" display="http://www.opentraintimes.com/schedule/L70307/2012/8/8"/>
    <hyperlink ref="B1052" r:id="rId1050" display="http://www.opentraintimes.com/schedule/G71007/2012/8/8"/>
    <hyperlink ref="B1053" r:id="rId1051" display="http://www.opentraintimes.com/schedule/G26036/2012/8/8"/>
    <hyperlink ref="B1054" r:id="rId1052" display="http://www.opentraintimes.com/schedule/G20922/2012/8/8"/>
    <hyperlink ref="B1055" r:id="rId1053" display="http://www.opentraintimes.com/schedule/L70413/2012/8/8"/>
    <hyperlink ref="B1056" r:id="rId1054" display="http://www.opentraintimes.com/schedule/G22027/2012/8/8"/>
    <hyperlink ref="B1057" r:id="rId1055" display="http://www.opentraintimes.com/schedule/G21842/2012/8/8"/>
    <hyperlink ref="B1058" r:id="rId1056" display="http://www.opentraintimes.com/schedule/G26273/2012/8/8"/>
    <hyperlink ref="B1059" r:id="rId1057" display="http://www.opentraintimes.com/schedule/G21040/2012/8/8"/>
    <hyperlink ref="B1060" r:id="rId1058" display="http://www.opentraintimes.com/schedule/L70395/2012/8/8"/>
    <hyperlink ref="B1061" r:id="rId1059" display="http://www.opentraintimes.com/schedule/G29093/2012/8/8"/>
    <hyperlink ref="B1062" r:id="rId1060" display="http://www.opentraintimes.com/schedule/G20733/2012/8/8"/>
    <hyperlink ref="B1063" r:id="rId1061" display="http://www.opentraintimes.com/schedule/L70550/2012/8/8"/>
    <hyperlink ref="B1064" r:id="rId1062" display="http://www.opentraintimes.com/schedule/L70308/2012/8/8"/>
    <hyperlink ref="B1065" r:id="rId1063" display="http://www.opentraintimes.com/schedule/G26066/2012/8/8"/>
    <hyperlink ref="B1066" r:id="rId1064" display="http://www.opentraintimes.com/schedule/L70417/2012/8/8"/>
    <hyperlink ref="B1067" r:id="rId1065" display="http://www.opentraintimes.com/schedule/G20932/2012/8/8"/>
    <hyperlink ref="B1068" r:id="rId1066" display="http://www.opentraintimes.com/schedule/G26304/2012/8/8"/>
    <hyperlink ref="B1069" r:id="rId1067" display="http://www.opentraintimes.com/schedule/G22543/2012/8/8"/>
    <hyperlink ref="B1070" r:id="rId1068" display="http://www.opentraintimes.com/schedule/G21531/2012/8/8"/>
    <hyperlink ref="B1071" r:id="rId1069" display="http://www.opentraintimes.com/schedule/G29048/2012/8/8"/>
    <hyperlink ref="B1072" r:id="rId1070" display="http://www.opentraintimes.com/schedule/G29088/2012/8/8"/>
    <hyperlink ref="B1073" r:id="rId1071" display="http://www.opentraintimes.com/schedule/L70399/2012/8/8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67"/>
  <sheetViews>
    <sheetView workbookViewId="0">
      <selection activeCell="D11" sqref="D11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7.85546875" customWidth="1"/>
    <col min="5" max="5" width="13.5703125" customWidth="1"/>
    <col min="6" max="6" width="19" customWidth="1"/>
    <col min="7" max="7" width="14.42578125" customWidth="1"/>
    <col min="8" max="8" width="7.140625" customWidth="1"/>
    <col min="9" max="9" width="8.140625" customWidth="1"/>
    <col min="10" max="11" width="10.140625" customWidth="1"/>
    <col min="12" max="12" width="10.140625" hidden="1" customWidth="1"/>
    <col min="13" max="13" width="9" style="9" customWidth="1"/>
    <col min="14" max="14" width="19" customWidth="1"/>
  </cols>
  <sheetData>
    <row r="1" spans="1:14" s="1" customFormat="1" ht="30" customHeight="1" x14ac:dyDescent="0.25">
      <c r="A1" s="16" t="s">
        <v>3924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" t="s">
        <v>178</v>
      </c>
      <c r="I1" s="1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</row>
    <row r="2" spans="1:14" ht="15" customHeight="1" x14ac:dyDescent="0.25">
      <c r="B2" s="3" t="s">
        <v>1036</v>
      </c>
      <c r="C2" s="1" t="s">
        <v>3054</v>
      </c>
      <c r="D2" s="2" t="s">
        <v>3053</v>
      </c>
      <c r="E2" s="1" t="s">
        <v>3319</v>
      </c>
      <c r="F2" s="2" t="s">
        <v>1039</v>
      </c>
      <c r="G2" s="1" t="s">
        <v>3055</v>
      </c>
      <c r="H2" s="1" t="s">
        <v>1040</v>
      </c>
      <c r="I2" t="str">
        <f t="shared" ref="I2:I10" si="0">LEFT(B2,2)</f>
        <v>2Y</v>
      </c>
      <c r="J2" t="str">
        <f t="shared" ref="J2:J10" si="1">LEFT(C2,5)</f>
        <v>0007½</v>
      </c>
      <c r="K2" t="str">
        <f t="shared" ref="K2:K10" si="2">LEFT(G2,5)</f>
        <v xml:space="preserve">0008 </v>
      </c>
      <c r="L2" t="str">
        <f t="shared" ref="L2:L10" si="3">LEFT(E2,6)</f>
        <v>Plat 1</v>
      </c>
      <c r="M2" s="8" t="str">
        <f t="shared" ref="M2:M10" si="4">RIGHT(L2,1)</f>
        <v>1</v>
      </c>
      <c r="N2" t="s">
        <v>3010</v>
      </c>
    </row>
    <row r="3" spans="1:14" ht="15" customHeight="1" x14ac:dyDescent="0.25">
      <c r="B3" s="3" t="s">
        <v>1060</v>
      </c>
      <c r="C3" s="1" t="s">
        <v>3056</v>
      </c>
      <c r="D3" s="2" t="s">
        <v>3053</v>
      </c>
      <c r="E3" s="1" t="s">
        <v>3319</v>
      </c>
      <c r="F3" s="2" t="s">
        <v>1062</v>
      </c>
      <c r="G3" s="1" t="s">
        <v>3057</v>
      </c>
      <c r="H3" s="1" t="s">
        <v>1040</v>
      </c>
      <c r="I3" t="str">
        <f t="shared" si="0"/>
        <v>2N</v>
      </c>
      <c r="J3" t="str">
        <f t="shared" si="1"/>
        <v>0012½</v>
      </c>
      <c r="K3" t="str">
        <f t="shared" si="2"/>
        <v xml:space="preserve">0013 </v>
      </c>
      <c r="L3" t="str">
        <f t="shared" si="3"/>
        <v>Plat 1</v>
      </c>
      <c r="M3" s="8" t="str">
        <f t="shared" si="4"/>
        <v>1</v>
      </c>
      <c r="N3" t="s">
        <v>3010</v>
      </c>
    </row>
    <row r="4" spans="1:14" ht="15" customHeight="1" x14ac:dyDescent="0.25">
      <c r="B4" s="3" t="s">
        <v>1076</v>
      </c>
      <c r="C4" s="1" t="s">
        <v>3058</v>
      </c>
      <c r="D4" s="2" t="s">
        <v>3053</v>
      </c>
      <c r="E4" s="1" t="s">
        <v>3319</v>
      </c>
      <c r="F4" s="2" t="s">
        <v>1077</v>
      </c>
      <c r="G4" s="1" t="s">
        <v>3059</v>
      </c>
      <c r="H4" s="1" t="s">
        <v>1040</v>
      </c>
      <c r="I4" t="str">
        <f t="shared" si="0"/>
        <v>2M</v>
      </c>
      <c r="J4" t="str">
        <f t="shared" si="1"/>
        <v>0022½</v>
      </c>
      <c r="K4" t="str">
        <f t="shared" si="2"/>
        <v xml:space="preserve">0023 </v>
      </c>
      <c r="L4" t="str">
        <f t="shared" si="3"/>
        <v>Plat 1</v>
      </c>
      <c r="M4" s="8" t="str">
        <f t="shared" si="4"/>
        <v>1</v>
      </c>
      <c r="N4" t="s">
        <v>3010</v>
      </c>
    </row>
    <row r="5" spans="1:14" ht="15" customHeight="1" x14ac:dyDescent="0.25">
      <c r="B5" s="3" t="s">
        <v>1084</v>
      </c>
      <c r="C5" s="1" t="s">
        <v>3060</v>
      </c>
      <c r="D5" s="2" t="s">
        <v>3053</v>
      </c>
      <c r="E5" s="1" t="s">
        <v>3319</v>
      </c>
      <c r="F5" s="2" t="s">
        <v>1062</v>
      </c>
      <c r="G5" s="1" t="s">
        <v>3061</v>
      </c>
      <c r="H5" s="1" t="s">
        <v>1040</v>
      </c>
      <c r="I5" t="str">
        <f t="shared" si="0"/>
        <v>2N</v>
      </c>
      <c r="J5" t="str">
        <f t="shared" si="1"/>
        <v>0027½</v>
      </c>
      <c r="K5" t="str">
        <f t="shared" si="2"/>
        <v xml:space="preserve">0028 </v>
      </c>
      <c r="L5" t="str">
        <f t="shared" si="3"/>
        <v>Plat 1</v>
      </c>
      <c r="M5" s="8" t="str">
        <f t="shared" si="4"/>
        <v>1</v>
      </c>
      <c r="N5" t="s">
        <v>3010</v>
      </c>
    </row>
    <row r="6" spans="1:14" ht="15" customHeight="1" x14ac:dyDescent="0.25">
      <c r="B6" s="3" t="s">
        <v>1099</v>
      </c>
      <c r="C6" s="1" t="s">
        <v>3062</v>
      </c>
      <c r="D6" s="2" t="s">
        <v>3053</v>
      </c>
      <c r="E6" s="1" t="s">
        <v>3319</v>
      </c>
      <c r="F6" s="2" t="s">
        <v>1077</v>
      </c>
      <c r="G6" s="1" t="s">
        <v>3063</v>
      </c>
      <c r="H6" s="1" t="s">
        <v>1040</v>
      </c>
      <c r="I6" t="str">
        <f t="shared" si="0"/>
        <v>2M</v>
      </c>
      <c r="J6" t="str">
        <f t="shared" si="1"/>
        <v xml:space="preserve">0038 </v>
      </c>
      <c r="K6" t="str">
        <f t="shared" si="2"/>
        <v>0038½</v>
      </c>
      <c r="L6" t="str">
        <f t="shared" si="3"/>
        <v>Plat 1</v>
      </c>
      <c r="M6" s="8" t="str">
        <f t="shared" si="4"/>
        <v>1</v>
      </c>
      <c r="N6" t="s">
        <v>3010</v>
      </c>
    </row>
    <row r="7" spans="1:14" ht="15" customHeight="1" x14ac:dyDescent="0.25">
      <c r="B7" s="3" t="s">
        <v>1106</v>
      </c>
      <c r="C7" s="1" t="s">
        <v>3064</v>
      </c>
      <c r="D7" s="2" t="s">
        <v>3053</v>
      </c>
      <c r="E7" s="1" t="s">
        <v>3319</v>
      </c>
      <c r="F7" s="2" t="s">
        <v>1062</v>
      </c>
      <c r="G7" s="1" t="s">
        <v>3065</v>
      </c>
      <c r="H7" s="1" t="s">
        <v>1040</v>
      </c>
      <c r="I7" t="str">
        <f t="shared" si="0"/>
        <v>2N</v>
      </c>
      <c r="J7" t="str">
        <f t="shared" si="1"/>
        <v>0042½</v>
      </c>
      <c r="K7" t="str">
        <f t="shared" si="2"/>
        <v xml:space="preserve">0043 </v>
      </c>
      <c r="L7" t="str">
        <f t="shared" si="3"/>
        <v>Plat 1</v>
      </c>
      <c r="M7" s="8" t="str">
        <f t="shared" si="4"/>
        <v>1</v>
      </c>
      <c r="N7" t="s">
        <v>3010</v>
      </c>
    </row>
    <row r="8" spans="1:14" ht="15" customHeight="1" x14ac:dyDescent="0.25">
      <c r="B8" s="3" t="s">
        <v>1116</v>
      </c>
      <c r="C8" s="1" t="s">
        <v>3066</v>
      </c>
      <c r="D8" s="2" t="s">
        <v>3053</v>
      </c>
      <c r="E8" s="1" t="s">
        <v>3319</v>
      </c>
      <c r="F8" s="2" t="s">
        <v>1077</v>
      </c>
      <c r="G8" s="1" t="s">
        <v>3067</v>
      </c>
      <c r="H8" s="1" t="s">
        <v>1040</v>
      </c>
      <c r="I8" t="str">
        <f t="shared" si="0"/>
        <v>2M</v>
      </c>
      <c r="J8" t="str">
        <f t="shared" si="1"/>
        <v>0052½</v>
      </c>
      <c r="K8" t="str">
        <f t="shared" si="2"/>
        <v xml:space="preserve">0053 </v>
      </c>
      <c r="L8" t="str">
        <f t="shared" si="3"/>
        <v>Plat 1</v>
      </c>
      <c r="M8" s="8" t="str">
        <f t="shared" si="4"/>
        <v>1</v>
      </c>
      <c r="N8" t="s">
        <v>3010</v>
      </c>
    </row>
    <row r="9" spans="1:14" ht="15" customHeight="1" x14ac:dyDescent="0.25">
      <c r="B9" s="3" t="s">
        <v>1124</v>
      </c>
      <c r="C9" s="1" t="s">
        <v>3068</v>
      </c>
      <c r="D9" s="2" t="s">
        <v>3053</v>
      </c>
      <c r="E9" s="1" t="s">
        <v>3319</v>
      </c>
      <c r="F9" s="2" t="s">
        <v>1062</v>
      </c>
      <c r="G9" s="1" t="s">
        <v>3069</v>
      </c>
      <c r="H9" s="1" t="s">
        <v>1040</v>
      </c>
      <c r="I9" t="str">
        <f t="shared" si="0"/>
        <v>2N</v>
      </c>
      <c r="J9" t="str">
        <f t="shared" si="1"/>
        <v>0057½</v>
      </c>
      <c r="K9" t="str">
        <f t="shared" si="2"/>
        <v xml:space="preserve">0058 </v>
      </c>
      <c r="L9" t="str">
        <f t="shared" si="3"/>
        <v>Plat 1</v>
      </c>
      <c r="M9" s="8" t="str">
        <f t="shared" si="4"/>
        <v>1</v>
      </c>
      <c r="N9" t="s">
        <v>3010</v>
      </c>
    </row>
    <row r="10" spans="1:14" ht="15" customHeight="1" x14ac:dyDescent="0.25">
      <c r="B10" s="3" t="s">
        <v>1130</v>
      </c>
      <c r="C10" s="1" t="s">
        <v>3070</v>
      </c>
      <c r="D10" s="2" t="s">
        <v>3053</v>
      </c>
      <c r="E10" s="1" t="s">
        <v>3319</v>
      </c>
      <c r="F10" s="2" t="s">
        <v>1077</v>
      </c>
      <c r="G10" s="1" t="s">
        <v>3071</v>
      </c>
      <c r="H10" s="1" t="s">
        <v>1040</v>
      </c>
      <c r="I10" t="str">
        <f t="shared" si="0"/>
        <v>2M</v>
      </c>
      <c r="J10" t="str">
        <f t="shared" si="1"/>
        <v>0107½</v>
      </c>
      <c r="K10" t="str">
        <f t="shared" si="2"/>
        <v xml:space="preserve">0108 </v>
      </c>
      <c r="L10" t="str">
        <f t="shared" si="3"/>
        <v>Plat 1</v>
      </c>
      <c r="M10" s="8" t="str">
        <f t="shared" si="4"/>
        <v>1</v>
      </c>
      <c r="N10" t="s">
        <v>3010</v>
      </c>
    </row>
    <row r="11" spans="1:14" ht="15" customHeight="1" x14ac:dyDescent="0.25">
      <c r="B11" s="3" t="s">
        <v>1197</v>
      </c>
      <c r="C11" s="1" t="s">
        <v>3072</v>
      </c>
      <c r="D11" s="2" t="s">
        <v>3053</v>
      </c>
      <c r="E11" s="1" t="s">
        <v>3319</v>
      </c>
      <c r="F11" s="2" t="s">
        <v>1074</v>
      </c>
      <c r="G11" s="1" t="s">
        <v>3073</v>
      </c>
      <c r="H11" s="1" t="s">
        <v>1040</v>
      </c>
      <c r="I11" t="str">
        <f t="shared" ref="I11" si="5">LEFT(B11,2)</f>
        <v>2N</v>
      </c>
      <c r="J11" t="str">
        <f t="shared" ref="J11" si="6">LEFT(C11,5)</f>
        <v>0552½</v>
      </c>
      <c r="K11" t="str">
        <f t="shared" ref="K11" si="7">LEFT(G11,5)</f>
        <v xml:space="preserve">0553 </v>
      </c>
      <c r="L11" t="str">
        <f t="shared" ref="L11" si="8">LEFT(E11,6)</f>
        <v>Plat 1</v>
      </c>
      <c r="M11" s="8" t="str">
        <f t="shared" ref="M11" si="9">RIGHT(L11,1)</f>
        <v>1</v>
      </c>
      <c r="N11" t="s">
        <v>3010</v>
      </c>
    </row>
    <row r="12" spans="1:14" ht="15" customHeight="1" x14ac:dyDescent="0.25">
      <c r="B12" s="3" t="s">
        <v>1208</v>
      </c>
      <c r="C12" s="1" t="s">
        <v>3074</v>
      </c>
      <c r="D12" s="2" t="s">
        <v>3053</v>
      </c>
      <c r="E12" s="1" t="s">
        <v>3319</v>
      </c>
      <c r="F12" s="2" t="s">
        <v>1039</v>
      </c>
      <c r="G12" s="1" t="s">
        <v>3075</v>
      </c>
      <c r="H12" s="1" t="s">
        <v>1040</v>
      </c>
      <c r="I12" t="str">
        <f t="shared" ref="I12:I23" si="10">LEFT(B12,2)</f>
        <v>2Y</v>
      </c>
      <c r="J12" t="str">
        <f t="shared" ref="J12:J23" si="11">LEFT(C12,5)</f>
        <v>0607½</v>
      </c>
      <c r="K12" t="str">
        <f t="shared" ref="K12:K23" si="12">LEFT(G12,5)</f>
        <v xml:space="preserve">0608 </v>
      </c>
      <c r="L12" t="str">
        <f t="shared" ref="L12:L23" si="13">LEFT(E12,6)</f>
        <v>Plat 1</v>
      </c>
      <c r="M12" s="8" t="str">
        <f t="shared" ref="M12:M23" si="14">RIGHT(L12,1)</f>
        <v>1</v>
      </c>
      <c r="N12" t="s">
        <v>3010</v>
      </c>
    </row>
    <row r="13" spans="1:14" x14ac:dyDescent="0.25">
      <c r="B13" s="3" t="s">
        <v>1218</v>
      </c>
      <c r="C13" s="1" t="s">
        <v>3076</v>
      </c>
      <c r="D13" s="2" t="s">
        <v>3053</v>
      </c>
      <c r="E13" s="1" t="s">
        <v>3319</v>
      </c>
      <c r="F13" s="2" t="s">
        <v>1074</v>
      </c>
      <c r="G13" s="1" t="s">
        <v>3077</v>
      </c>
      <c r="H13" s="1" t="s">
        <v>1040</v>
      </c>
      <c r="I13" t="str">
        <f t="shared" si="10"/>
        <v>2N</v>
      </c>
      <c r="J13" t="str">
        <f t="shared" si="11"/>
        <v>0612½</v>
      </c>
      <c r="K13" t="str">
        <f t="shared" si="12"/>
        <v xml:space="preserve">0613 </v>
      </c>
      <c r="L13" t="str">
        <f t="shared" si="13"/>
        <v>Plat 1</v>
      </c>
      <c r="M13" s="8" t="str">
        <f t="shared" si="14"/>
        <v>1</v>
      </c>
      <c r="N13" t="s">
        <v>3010</v>
      </c>
    </row>
    <row r="14" spans="1:14" x14ac:dyDescent="0.25">
      <c r="B14" s="3" t="s">
        <v>1229</v>
      </c>
      <c r="C14" s="1" t="s">
        <v>3078</v>
      </c>
      <c r="D14" s="2" t="s">
        <v>3053</v>
      </c>
      <c r="E14" s="1" t="s">
        <v>3319</v>
      </c>
      <c r="F14" s="2" t="s">
        <v>1039</v>
      </c>
      <c r="G14" s="1" t="s">
        <v>3079</v>
      </c>
      <c r="H14" s="1" t="s">
        <v>1040</v>
      </c>
      <c r="I14" t="str">
        <f t="shared" si="10"/>
        <v>2Y</v>
      </c>
      <c r="J14" t="str">
        <f t="shared" si="11"/>
        <v>0622½</v>
      </c>
      <c r="K14" t="str">
        <f t="shared" si="12"/>
        <v xml:space="preserve">0623 </v>
      </c>
      <c r="L14" t="str">
        <f t="shared" si="13"/>
        <v>Plat 1</v>
      </c>
      <c r="M14" s="8" t="str">
        <f t="shared" si="14"/>
        <v>1</v>
      </c>
      <c r="N14" t="s">
        <v>3010</v>
      </c>
    </row>
    <row r="15" spans="1:14" x14ac:dyDescent="0.25">
      <c r="B15" s="3" t="s">
        <v>1244</v>
      </c>
      <c r="C15" s="1" t="s">
        <v>3080</v>
      </c>
      <c r="D15" s="2" t="s">
        <v>3053</v>
      </c>
      <c r="E15" s="1" t="s">
        <v>3319</v>
      </c>
      <c r="F15" s="2" t="s">
        <v>1074</v>
      </c>
      <c r="G15" s="1" t="s">
        <v>1251</v>
      </c>
      <c r="H15" s="1" t="s">
        <v>1040</v>
      </c>
      <c r="I15" t="str">
        <f t="shared" si="10"/>
        <v>2N</v>
      </c>
      <c r="J15" t="str">
        <f t="shared" si="11"/>
        <v>0628½</v>
      </c>
      <c r="K15" t="str">
        <f t="shared" si="12"/>
        <v xml:space="preserve">0629 </v>
      </c>
      <c r="L15" t="str">
        <f t="shared" si="13"/>
        <v>Plat 1</v>
      </c>
      <c r="M15" s="8" t="str">
        <f t="shared" si="14"/>
        <v>1</v>
      </c>
      <c r="N15" t="s">
        <v>3010</v>
      </c>
    </row>
    <row r="16" spans="1:14" x14ac:dyDescent="0.25">
      <c r="B16" s="3" t="s">
        <v>1263</v>
      </c>
      <c r="C16" s="1" t="s">
        <v>3081</v>
      </c>
      <c r="D16" s="2" t="s">
        <v>3053</v>
      </c>
      <c r="E16" s="1" t="s">
        <v>3319</v>
      </c>
      <c r="F16" s="2" t="s">
        <v>1039</v>
      </c>
      <c r="G16" s="1" t="s">
        <v>3082</v>
      </c>
      <c r="H16" s="1" t="s">
        <v>1040</v>
      </c>
      <c r="I16" t="str">
        <f t="shared" si="10"/>
        <v>2Y</v>
      </c>
      <c r="J16" t="str">
        <f t="shared" si="11"/>
        <v xml:space="preserve">0641 </v>
      </c>
      <c r="K16" t="str">
        <f t="shared" si="12"/>
        <v>0641½</v>
      </c>
      <c r="L16" t="str">
        <f t="shared" si="13"/>
        <v>Plat 1</v>
      </c>
      <c r="M16" s="8" t="str">
        <f t="shared" si="14"/>
        <v>1</v>
      </c>
      <c r="N16" t="s">
        <v>3010</v>
      </c>
    </row>
    <row r="17" spans="2:14" x14ac:dyDescent="0.25">
      <c r="B17" s="3" t="s">
        <v>1275</v>
      </c>
      <c r="C17" s="1" t="s">
        <v>3083</v>
      </c>
      <c r="D17" s="2" t="s">
        <v>3053</v>
      </c>
      <c r="E17" s="1" t="s">
        <v>3319</v>
      </c>
      <c r="F17" s="2" t="s">
        <v>1074</v>
      </c>
      <c r="G17" s="1" t="s">
        <v>3084</v>
      </c>
      <c r="H17" s="1" t="s">
        <v>1040</v>
      </c>
      <c r="I17" t="str">
        <f t="shared" si="10"/>
        <v>2N</v>
      </c>
      <c r="J17" t="str">
        <f t="shared" si="11"/>
        <v>0645½</v>
      </c>
      <c r="K17" t="str">
        <f t="shared" si="12"/>
        <v xml:space="preserve">0646 </v>
      </c>
      <c r="L17" t="str">
        <f t="shared" si="13"/>
        <v>Plat 1</v>
      </c>
      <c r="M17" s="8" t="str">
        <f t="shared" si="14"/>
        <v>1</v>
      </c>
      <c r="N17" t="s">
        <v>3010</v>
      </c>
    </row>
    <row r="18" spans="2:14" x14ac:dyDescent="0.25">
      <c r="B18" s="3" t="s">
        <v>1288</v>
      </c>
      <c r="C18" s="1" t="s">
        <v>3085</v>
      </c>
      <c r="D18" s="2" t="s">
        <v>3053</v>
      </c>
      <c r="E18" s="1" t="s">
        <v>3319</v>
      </c>
      <c r="F18" s="2" t="s">
        <v>1039</v>
      </c>
      <c r="G18" s="1" t="s">
        <v>3086</v>
      </c>
      <c r="H18" s="1" t="s">
        <v>1040</v>
      </c>
      <c r="I18" t="str">
        <f t="shared" si="10"/>
        <v>2Y</v>
      </c>
      <c r="J18" t="str">
        <f t="shared" si="11"/>
        <v>0652½</v>
      </c>
      <c r="K18" t="str">
        <f t="shared" si="12"/>
        <v xml:space="preserve">0653 </v>
      </c>
      <c r="L18" t="str">
        <f t="shared" si="13"/>
        <v>Plat 1</v>
      </c>
      <c r="M18" s="8" t="str">
        <f t="shared" si="14"/>
        <v>1</v>
      </c>
      <c r="N18" t="s">
        <v>3010</v>
      </c>
    </row>
    <row r="19" spans="2:14" x14ac:dyDescent="0.25">
      <c r="B19" s="3" t="s">
        <v>1300</v>
      </c>
      <c r="C19" s="1" t="s">
        <v>3087</v>
      </c>
      <c r="D19" s="2" t="s">
        <v>3053</v>
      </c>
      <c r="E19" s="1" t="s">
        <v>3319</v>
      </c>
      <c r="F19" s="2" t="s">
        <v>1074</v>
      </c>
      <c r="G19" s="1" t="s">
        <v>1373</v>
      </c>
      <c r="H19" s="1" t="s">
        <v>1040</v>
      </c>
      <c r="I19" t="str">
        <f t="shared" si="10"/>
        <v>2N</v>
      </c>
      <c r="J19" t="str">
        <f t="shared" si="11"/>
        <v>0657½</v>
      </c>
      <c r="K19" t="str">
        <f t="shared" si="12"/>
        <v xml:space="preserve">0658 </v>
      </c>
      <c r="L19" t="str">
        <f t="shared" si="13"/>
        <v>Plat 1</v>
      </c>
      <c r="M19" s="8" t="str">
        <f t="shared" si="14"/>
        <v>1</v>
      </c>
      <c r="N19" t="s">
        <v>3010</v>
      </c>
    </row>
    <row r="20" spans="2:14" x14ac:dyDescent="0.25">
      <c r="B20" s="3" t="s">
        <v>1313</v>
      </c>
      <c r="C20" s="1" t="s">
        <v>3088</v>
      </c>
      <c r="D20" s="2" t="s">
        <v>3053</v>
      </c>
      <c r="E20" s="1" t="s">
        <v>3319</v>
      </c>
      <c r="F20" s="2" t="s">
        <v>1039</v>
      </c>
      <c r="G20" s="1" t="s">
        <v>3089</v>
      </c>
      <c r="H20" s="1" t="s">
        <v>1040</v>
      </c>
      <c r="I20" t="str">
        <f t="shared" si="10"/>
        <v>2Y</v>
      </c>
      <c r="J20" t="str">
        <f t="shared" si="11"/>
        <v>0707½</v>
      </c>
      <c r="K20" t="str">
        <f t="shared" si="12"/>
        <v xml:space="preserve">0708 </v>
      </c>
      <c r="L20" t="str">
        <f t="shared" si="13"/>
        <v>Plat 1</v>
      </c>
      <c r="M20" s="8" t="str">
        <f t="shared" si="14"/>
        <v>1</v>
      </c>
      <c r="N20" t="s">
        <v>3010</v>
      </c>
    </row>
    <row r="21" spans="2:14" x14ac:dyDescent="0.25">
      <c r="B21" s="3" t="s">
        <v>1323</v>
      </c>
      <c r="C21" s="1" t="s">
        <v>3090</v>
      </c>
      <c r="D21" s="2" t="s">
        <v>3053</v>
      </c>
      <c r="E21" s="1" t="s">
        <v>3319</v>
      </c>
      <c r="F21" s="2" t="s">
        <v>1074</v>
      </c>
      <c r="G21" s="1" t="s">
        <v>3091</v>
      </c>
      <c r="H21" s="1" t="s">
        <v>1040</v>
      </c>
      <c r="I21" t="str">
        <f t="shared" si="10"/>
        <v>2N</v>
      </c>
      <c r="J21" t="str">
        <f t="shared" si="11"/>
        <v>0712½</v>
      </c>
      <c r="K21" t="str">
        <f t="shared" si="12"/>
        <v xml:space="preserve">0713 </v>
      </c>
      <c r="L21" t="str">
        <f t="shared" si="13"/>
        <v>Plat 1</v>
      </c>
      <c r="M21" s="8" t="str">
        <f t="shared" si="14"/>
        <v>1</v>
      </c>
      <c r="N21" t="s">
        <v>3010</v>
      </c>
    </row>
    <row r="22" spans="2:14" x14ac:dyDescent="0.25">
      <c r="B22" s="3" t="s">
        <v>1340</v>
      </c>
      <c r="C22" s="1" t="s">
        <v>3092</v>
      </c>
      <c r="D22" s="2" t="s">
        <v>3053</v>
      </c>
      <c r="E22" s="1" t="s">
        <v>3319</v>
      </c>
      <c r="F22" s="2" t="s">
        <v>1039</v>
      </c>
      <c r="G22" s="1" t="s">
        <v>3093</v>
      </c>
      <c r="H22" s="1" t="s">
        <v>1040</v>
      </c>
      <c r="I22" t="str">
        <f t="shared" si="10"/>
        <v>2Y</v>
      </c>
      <c r="J22" t="str">
        <f t="shared" si="11"/>
        <v>0722½</v>
      </c>
      <c r="K22" t="str">
        <f t="shared" si="12"/>
        <v xml:space="preserve">0723 </v>
      </c>
      <c r="L22" t="str">
        <f t="shared" si="13"/>
        <v>Plat 1</v>
      </c>
      <c r="M22" s="8" t="str">
        <f t="shared" si="14"/>
        <v>1</v>
      </c>
      <c r="N22" t="s">
        <v>3010</v>
      </c>
    </row>
    <row r="23" spans="2:14" x14ac:dyDescent="0.25">
      <c r="B23" s="3" t="s">
        <v>1355</v>
      </c>
      <c r="C23" s="1" t="s">
        <v>3094</v>
      </c>
      <c r="D23" s="2" t="s">
        <v>3053</v>
      </c>
      <c r="E23" s="1" t="s">
        <v>3319</v>
      </c>
      <c r="F23" s="2" t="s">
        <v>1074</v>
      </c>
      <c r="G23" s="1" t="s">
        <v>100</v>
      </c>
      <c r="H23" s="1" t="s">
        <v>1040</v>
      </c>
      <c r="I23" t="str">
        <f t="shared" si="10"/>
        <v>2N</v>
      </c>
      <c r="J23" t="str">
        <f t="shared" si="11"/>
        <v>0727½</v>
      </c>
      <c r="K23" t="str">
        <f t="shared" si="12"/>
        <v xml:space="preserve">0728 </v>
      </c>
      <c r="L23" t="str">
        <f t="shared" si="13"/>
        <v>Plat 1</v>
      </c>
      <c r="M23" s="8" t="str">
        <f t="shared" si="14"/>
        <v>1</v>
      </c>
      <c r="N23" t="s">
        <v>3010</v>
      </c>
    </row>
    <row r="24" spans="2:14" x14ac:dyDescent="0.25">
      <c r="B24" s="3" t="s">
        <v>1360</v>
      </c>
      <c r="C24" s="1" t="s">
        <v>3095</v>
      </c>
      <c r="D24" s="2" t="s">
        <v>3053</v>
      </c>
      <c r="E24" s="1" t="s">
        <v>3319</v>
      </c>
      <c r="F24" s="2" t="s">
        <v>1062</v>
      </c>
      <c r="G24" s="1" t="s">
        <v>1371</v>
      </c>
      <c r="H24" s="1" t="s">
        <v>1040</v>
      </c>
      <c r="I24" t="str">
        <f t="shared" ref="I24:I38" si="15">LEFT(B24,2)</f>
        <v>2G</v>
      </c>
      <c r="J24" t="str">
        <f t="shared" ref="J24:J38" si="16">LEFT(C24,5)</f>
        <v>0731½</v>
      </c>
      <c r="K24" t="str">
        <f t="shared" ref="K24:K38" si="17">LEFT(G24,5)</f>
        <v xml:space="preserve">0732 </v>
      </c>
      <c r="L24" t="str">
        <f t="shared" ref="L24:L38" si="18">LEFT(E24,6)</f>
        <v>Plat 1</v>
      </c>
      <c r="M24" s="8" t="str">
        <f t="shared" ref="M24:M38" si="19">RIGHT(L24,1)</f>
        <v>1</v>
      </c>
      <c r="N24" t="s">
        <v>3010</v>
      </c>
    </row>
    <row r="25" spans="2:14" x14ac:dyDescent="0.25">
      <c r="B25" s="3" t="s">
        <v>1368</v>
      </c>
      <c r="C25" s="1" t="s">
        <v>3096</v>
      </c>
      <c r="D25" s="2" t="s">
        <v>3053</v>
      </c>
      <c r="E25" s="1" t="s">
        <v>3319</v>
      </c>
      <c r="F25" s="2" t="s">
        <v>1039</v>
      </c>
      <c r="G25" s="1" t="s">
        <v>3097</v>
      </c>
      <c r="H25" s="1" t="s">
        <v>1040</v>
      </c>
      <c r="I25" t="str">
        <f t="shared" si="15"/>
        <v>2Y</v>
      </c>
      <c r="J25" t="str">
        <f t="shared" si="16"/>
        <v>0737½</v>
      </c>
      <c r="K25" t="str">
        <f t="shared" si="17"/>
        <v xml:space="preserve">0738 </v>
      </c>
      <c r="L25" t="str">
        <f t="shared" si="18"/>
        <v>Plat 1</v>
      </c>
      <c r="M25" s="8" t="str">
        <f t="shared" si="19"/>
        <v>1</v>
      </c>
      <c r="N25" t="s">
        <v>3010</v>
      </c>
    </row>
    <row r="26" spans="2:14" x14ac:dyDescent="0.25">
      <c r="B26" s="3" t="s">
        <v>1380</v>
      </c>
      <c r="C26" s="1" t="s">
        <v>3098</v>
      </c>
      <c r="D26" s="2" t="s">
        <v>3053</v>
      </c>
      <c r="E26" s="1" t="s">
        <v>3319</v>
      </c>
      <c r="F26" s="2" t="s">
        <v>1074</v>
      </c>
      <c r="G26" s="1" t="s">
        <v>3099</v>
      </c>
      <c r="H26" s="1" t="s">
        <v>1040</v>
      </c>
      <c r="I26" t="str">
        <f t="shared" si="15"/>
        <v>2N</v>
      </c>
      <c r="J26" t="str">
        <f t="shared" si="16"/>
        <v xml:space="preserve">0743 </v>
      </c>
      <c r="K26" t="str">
        <f t="shared" si="17"/>
        <v>0743½</v>
      </c>
      <c r="L26" t="str">
        <f t="shared" si="18"/>
        <v>Plat 1</v>
      </c>
      <c r="M26" s="8" t="str">
        <f t="shared" si="19"/>
        <v>1</v>
      </c>
      <c r="N26" t="s">
        <v>3010</v>
      </c>
    </row>
    <row r="27" spans="2:14" x14ac:dyDescent="0.25">
      <c r="B27" s="3" t="s">
        <v>1401</v>
      </c>
      <c r="C27" s="1" t="s">
        <v>3100</v>
      </c>
      <c r="D27" s="2" t="s">
        <v>3053</v>
      </c>
      <c r="E27" s="1" t="s">
        <v>3319</v>
      </c>
      <c r="F27" s="2" t="s">
        <v>1039</v>
      </c>
      <c r="G27" s="1" t="s">
        <v>3101</v>
      </c>
      <c r="H27" s="1" t="s">
        <v>1040</v>
      </c>
      <c r="I27" t="str">
        <f t="shared" si="15"/>
        <v>2Y</v>
      </c>
      <c r="J27" t="str">
        <f t="shared" si="16"/>
        <v>0752½</v>
      </c>
      <c r="K27" t="str">
        <f t="shared" si="17"/>
        <v xml:space="preserve">0753 </v>
      </c>
      <c r="L27" t="str">
        <f t="shared" si="18"/>
        <v>Plat 1</v>
      </c>
      <c r="M27" s="8" t="str">
        <f t="shared" si="19"/>
        <v>1</v>
      </c>
      <c r="N27" t="s">
        <v>3010</v>
      </c>
    </row>
    <row r="28" spans="2:14" x14ac:dyDescent="0.25">
      <c r="B28" s="3" t="s">
        <v>1409</v>
      </c>
      <c r="C28" s="1" t="s">
        <v>1421</v>
      </c>
      <c r="D28" s="2" t="s">
        <v>3053</v>
      </c>
      <c r="E28" s="1" t="s">
        <v>3319</v>
      </c>
      <c r="F28" s="2" t="s">
        <v>1074</v>
      </c>
      <c r="G28" s="1" t="s">
        <v>3102</v>
      </c>
      <c r="H28" s="1" t="s">
        <v>1040</v>
      </c>
      <c r="I28" t="str">
        <f t="shared" si="15"/>
        <v>2N</v>
      </c>
      <c r="J28" t="str">
        <f t="shared" si="16"/>
        <v>0757½</v>
      </c>
      <c r="K28" t="str">
        <f t="shared" si="17"/>
        <v xml:space="preserve">0758 </v>
      </c>
      <c r="L28" t="str">
        <f t="shared" si="18"/>
        <v>Plat 1</v>
      </c>
      <c r="M28" s="8" t="str">
        <f t="shared" si="19"/>
        <v>1</v>
      </c>
      <c r="N28" t="s">
        <v>3010</v>
      </c>
    </row>
    <row r="29" spans="2:14" x14ac:dyDescent="0.25">
      <c r="B29" s="3" t="s">
        <v>1420</v>
      </c>
      <c r="C29" s="1" t="s">
        <v>3103</v>
      </c>
      <c r="D29" s="2" t="s">
        <v>3053</v>
      </c>
      <c r="E29" s="1" t="s">
        <v>3319</v>
      </c>
      <c r="F29" s="2" t="s">
        <v>1062</v>
      </c>
      <c r="G29" s="1" t="s">
        <v>1432</v>
      </c>
      <c r="H29" s="1" t="s">
        <v>1040</v>
      </c>
      <c r="I29" t="str">
        <f t="shared" si="15"/>
        <v>2G</v>
      </c>
      <c r="J29" t="str">
        <f t="shared" si="16"/>
        <v>0801½</v>
      </c>
      <c r="K29" t="str">
        <f t="shared" si="17"/>
        <v xml:space="preserve">0802 </v>
      </c>
      <c r="L29" t="str">
        <f t="shared" si="18"/>
        <v>Plat 1</v>
      </c>
      <c r="M29" s="8" t="str">
        <f t="shared" si="19"/>
        <v>1</v>
      </c>
      <c r="N29" t="s">
        <v>3010</v>
      </c>
    </row>
    <row r="30" spans="2:14" x14ac:dyDescent="0.25">
      <c r="B30" s="3" t="s">
        <v>1427</v>
      </c>
      <c r="C30" s="1" t="s">
        <v>3104</v>
      </c>
      <c r="D30" s="2" t="s">
        <v>3053</v>
      </c>
      <c r="E30" s="1" t="s">
        <v>3319</v>
      </c>
      <c r="F30" s="2" t="s">
        <v>1039</v>
      </c>
      <c r="G30" s="1" t="s">
        <v>3105</v>
      </c>
      <c r="H30" s="1" t="s">
        <v>1040</v>
      </c>
      <c r="I30" t="str">
        <f t="shared" si="15"/>
        <v>2Y</v>
      </c>
      <c r="J30" t="str">
        <f t="shared" si="16"/>
        <v>0807½</v>
      </c>
      <c r="K30" t="str">
        <f t="shared" si="17"/>
        <v xml:space="preserve">0808 </v>
      </c>
      <c r="L30" t="str">
        <f t="shared" si="18"/>
        <v>Plat 1</v>
      </c>
      <c r="M30" s="8" t="str">
        <f t="shared" si="19"/>
        <v>1</v>
      </c>
      <c r="N30" t="s">
        <v>3010</v>
      </c>
    </row>
    <row r="31" spans="2:14" x14ac:dyDescent="0.25">
      <c r="B31" s="3" t="s">
        <v>1444</v>
      </c>
      <c r="C31" s="1" t="s">
        <v>3106</v>
      </c>
      <c r="D31" s="2" t="s">
        <v>3053</v>
      </c>
      <c r="E31" s="1" t="s">
        <v>3319</v>
      </c>
      <c r="F31" s="2" t="s">
        <v>1074</v>
      </c>
      <c r="G31" s="1" t="s">
        <v>3107</v>
      </c>
      <c r="H31" s="1" t="s">
        <v>1040</v>
      </c>
      <c r="I31" t="str">
        <f t="shared" si="15"/>
        <v>2N</v>
      </c>
      <c r="J31" t="str">
        <f t="shared" si="16"/>
        <v>0812½</v>
      </c>
      <c r="K31" t="str">
        <f t="shared" si="17"/>
        <v xml:space="preserve">0813 </v>
      </c>
      <c r="L31" t="str">
        <f t="shared" si="18"/>
        <v>Plat 1</v>
      </c>
      <c r="M31" s="8" t="str">
        <f t="shared" si="19"/>
        <v>1</v>
      </c>
      <c r="N31" t="s">
        <v>3010</v>
      </c>
    </row>
    <row r="32" spans="2:14" x14ac:dyDescent="0.25">
      <c r="B32" s="3" t="s">
        <v>1462</v>
      </c>
      <c r="C32" s="1" t="s">
        <v>3108</v>
      </c>
      <c r="D32" s="2" t="s">
        <v>3053</v>
      </c>
      <c r="E32" s="1" t="s">
        <v>3319</v>
      </c>
      <c r="F32" s="2" t="s">
        <v>1039</v>
      </c>
      <c r="G32" s="1" t="s">
        <v>3109</v>
      </c>
      <c r="H32" s="1" t="s">
        <v>1040</v>
      </c>
      <c r="I32" t="str">
        <f t="shared" si="15"/>
        <v>2Y</v>
      </c>
      <c r="J32" t="str">
        <f t="shared" si="16"/>
        <v>0822½</v>
      </c>
      <c r="K32" t="str">
        <f t="shared" si="17"/>
        <v xml:space="preserve">0823 </v>
      </c>
      <c r="L32" t="str">
        <f t="shared" si="18"/>
        <v>Plat 1</v>
      </c>
      <c r="M32" s="8" t="str">
        <f t="shared" si="19"/>
        <v>1</v>
      </c>
      <c r="N32" t="s">
        <v>3010</v>
      </c>
    </row>
    <row r="33" spans="2:14" x14ac:dyDescent="0.25">
      <c r="B33" s="3" t="s">
        <v>1482</v>
      </c>
      <c r="C33" s="1" t="s">
        <v>3110</v>
      </c>
      <c r="D33" s="2" t="s">
        <v>3053</v>
      </c>
      <c r="E33" s="1" t="s">
        <v>3319</v>
      </c>
      <c r="F33" s="2" t="s">
        <v>1074</v>
      </c>
      <c r="G33" s="1" t="s">
        <v>144</v>
      </c>
      <c r="H33" s="1" t="s">
        <v>1040</v>
      </c>
      <c r="I33" t="str">
        <f t="shared" si="15"/>
        <v>2N</v>
      </c>
      <c r="J33" t="str">
        <f t="shared" si="16"/>
        <v>0827½</v>
      </c>
      <c r="K33" t="str">
        <f t="shared" si="17"/>
        <v xml:space="preserve">0828 </v>
      </c>
      <c r="L33" t="str">
        <f t="shared" si="18"/>
        <v>Plat 1</v>
      </c>
      <c r="M33" s="8" t="str">
        <f t="shared" si="19"/>
        <v>1</v>
      </c>
      <c r="N33" t="s">
        <v>3010</v>
      </c>
    </row>
    <row r="34" spans="2:14" x14ac:dyDescent="0.25">
      <c r="B34" s="3" t="s">
        <v>1492</v>
      </c>
      <c r="C34" s="1" t="s">
        <v>3111</v>
      </c>
      <c r="D34" s="2" t="s">
        <v>3053</v>
      </c>
      <c r="E34" s="1" t="s">
        <v>3319</v>
      </c>
      <c r="F34" s="2" t="s">
        <v>1062</v>
      </c>
      <c r="G34" s="1" t="s">
        <v>3112</v>
      </c>
      <c r="H34" s="1" t="s">
        <v>1040</v>
      </c>
      <c r="I34" t="str">
        <f t="shared" si="15"/>
        <v>2G</v>
      </c>
      <c r="J34" t="str">
        <f t="shared" si="16"/>
        <v>0831½</v>
      </c>
      <c r="K34" t="str">
        <f t="shared" si="17"/>
        <v xml:space="preserve">0832 </v>
      </c>
      <c r="L34" t="str">
        <f t="shared" si="18"/>
        <v>Plat 1</v>
      </c>
      <c r="M34" s="8" t="str">
        <f t="shared" si="19"/>
        <v>1</v>
      </c>
      <c r="N34" t="s">
        <v>3010</v>
      </c>
    </row>
    <row r="35" spans="2:14" x14ac:dyDescent="0.25">
      <c r="B35" s="3" t="s">
        <v>1502</v>
      </c>
      <c r="C35" s="1" t="s">
        <v>3113</v>
      </c>
      <c r="D35" s="2" t="s">
        <v>3053</v>
      </c>
      <c r="E35" s="1" t="s">
        <v>3319</v>
      </c>
      <c r="F35" s="2" t="s">
        <v>1039</v>
      </c>
      <c r="G35" s="1" t="s">
        <v>3114</v>
      </c>
      <c r="H35" s="1" t="s">
        <v>1040</v>
      </c>
      <c r="I35" t="str">
        <f t="shared" si="15"/>
        <v>2Y</v>
      </c>
      <c r="J35" t="str">
        <f t="shared" si="16"/>
        <v>0837½</v>
      </c>
      <c r="K35" t="str">
        <f t="shared" si="17"/>
        <v xml:space="preserve">0838 </v>
      </c>
      <c r="L35" t="str">
        <f t="shared" si="18"/>
        <v>Plat 1</v>
      </c>
      <c r="M35" s="8" t="str">
        <f t="shared" si="19"/>
        <v>1</v>
      </c>
      <c r="N35" t="s">
        <v>3010</v>
      </c>
    </row>
    <row r="36" spans="2:14" x14ac:dyDescent="0.25">
      <c r="B36" s="3" t="s">
        <v>1514</v>
      </c>
      <c r="C36" s="1" t="s">
        <v>3115</v>
      </c>
      <c r="D36" s="2" t="s">
        <v>3053</v>
      </c>
      <c r="E36" s="1" t="s">
        <v>3319</v>
      </c>
      <c r="F36" s="2" t="s">
        <v>1074</v>
      </c>
      <c r="G36" s="1" t="s">
        <v>1532</v>
      </c>
      <c r="H36" s="1" t="s">
        <v>1040</v>
      </c>
      <c r="I36" t="str">
        <f t="shared" si="15"/>
        <v>2N</v>
      </c>
      <c r="J36" t="str">
        <f t="shared" si="16"/>
        <v>0842½</v>
      </c>
      <c r="K36" t="str">
        <f t="shared" si="17"/>
        <v xml:space="preserve">0843 </v>
      </c>
      <c r="L36" t="str">
        <f t="shared" si="18"/>
        <v>Plat 1</v>
      </c>
      <c r="M36" s="8" t="str">
        <f t="shared" si="19"/>
        <v>1</v>
      </c>
      <c r="N36" t="s">
        <v>3010</v>
      </c>
    </row>
    <row r="37" spans="2:14" x14ac:dyDescent="0.25">
      <c r="B37" s="3" t="s">
        <v>1537</v>
      </c>
      <c r="C37" s="1" t="s">
        <v>3116</v>
      </c>
      <c r="D37" s="2" t="s">
        <v>3053</v>
      </c>
      <c r="E37" s="1" t="s">
        <v>3319</v>
      </c>
      <c r="F37" s="2" t="s">
        <v>1039</v>
      </c>
      <c r="G37" s="1" t="s">
        <v>3117</v>
      </c>
      <c r="H37" s="1" t="s">
        <v>1040</v>
      </c>
      <c r="I37" t="str">
        <f t="shared" si="15"/>
        <v>2Y</v>
      </c>
      <c r="J37" t="str">
        <f t="shared" si="16"/>
        <v>0852½</v>
      </c>
      <c r="K37" t="str">
        <f t="shared" si="17"/>
        <v xml:space="preserve">0853 </v>
      </c>
      <c r="L37" t="str">
        <f t="shared" si="18"/>
        <v>Plat 1</v>
      </c>
      <c r="M37" s="8" t="str">
        <f t="shared" si="19"/>
        <v>1</v>
      </c>
      <c r="N37" t="s">
        <v>3010</v>
      </c>
    </row>
    <row r="38" spans="2:14" x14ac:dyDescent="0.25">
      <c r="B38" s="3" t="s">
        <v>1549</v>
      </c>
      <c r="C38" s="1" t="s">
        <v>3118</v>
      </c>
      <c r="D38" s="2" t="s">
        <v>3053</v>
      </c>
      <c r="E38" s="1" t="s">
        <v>3319</v>
      </c>
      <c r="F38" s="2" t="s">
        <v>1074</v>
      </c>
      <c r="G38" s="1" t="s">
        <v>170</v>
      </c>
      <c r="H38" s="1" t="s">
        <v>1040</v>
      </c>
      <c r="I38" t="str">
        <f t="shared" si="15"/>
        <v>2N</v>
      </c>
      <c r="J38" t="str">
        <f t="shared" si="16"/>
        <v>0857½</v>
      </c>
      <c r="K38" t="str">
        <f t="shared" si="17"/>
        <v xml:space="preserve">0858 </v>
      </c>
      <c r="L38" t="str">
        <f t="shared" si="18"/>
        <v>Plat 1</v>
      </c>
      <c r="M38" s="8" t="str">
        <f t="shared" si="19"/>
        <v>1</v>
      </c>
      <c r="N38" t="s">
        <v>3010</v>
      </c>
    </row>
    <row r="39" spans="2:14" x14ac:dyDescent="0.25">
      <c r="B39" s="3" t="s">
        <v>1561</v>
      </c>
      <c r="C39" s="1" t="s">
        <v>1581</v>
      </c>
      <c r="D39" s="2" t="s">
        <v>3053</v>
      </c>
      <c r="E39" s="1" t="s">
        <v>3319</v>
      </c>
      <c r="F39" s="2" t="s">
        <v>1062</v>
      </c>
      <c r="G39" s="1" t="s">
        <v>171</v>
      </c>
      <c r="H39" s="1" t="s">
        <v>1040</v>
      </c>
      <c r="I39" t="str">
        <f t="shared" ref="I39:I52" si="20">LEFT(B39,2)</f>
        <v>2G</v>
      </c>
      <c r="J39" t="str">
        <f t="shared" ref="J39:J52" si="21">LEFT(C39,5)</f>
        <v>0901½</v>
      </c>
      <c r="K39" t="str">
        <f t="shared" ref="K39:K52" si="22">LEFT(G39,5)</f>
        <v xml:space="preserve">0902 </v>
      </c>
      <c r="L39" t="str">
        <f t="shared" ref="L39:L52" si="23">LEFT(E39,6)</f>
        <v>Plat 1</v>
      </c>
      <c r="M39" s="8" t="str">
        <f t="shared" ref="M39:M52" si="24">RIGHT(L39,1)</f>
        <v>1</v>
      </c>
      <c r="N39" t="s">
        <v>3010</v>
      </c>
    </row>
    <row r="40" spans="2:14" x14ac:dyDescent="0.25">
      <c r="B40" s="3" t="s">
        <v>1570</v>
      </c>
      <c r="C40" s="1" t="s">
        <v>3119</v>
      </c>
      <c r="D40" s="2" t="s">
        <v>3053</v>
      </c>
      <c r="E40" s="1" t="s">
        <v>3319</v>
      </c>
      <c r="F40" s="2" t="s">
        <v>1039</v>
      </c>
      <c r="G40" s="1" t="s">
        <v>3120</v>
      </c>
      <c r="H40" s="1" t="s">
        <v>1040</v>
      </c>
      <c r="I40" t="str">
        <f t="shared" si="20"/>
        <v>2Y</v>
      </c>
      <c r="J40" t="str">
        <f t="shared" si="21"/>
        <v>0907½</v>
      </c>
      <c r="K40" t="str">
        <f t="shared" si="22"/>
        <v xml:space="preserve">0908 </v>
      </c>
      <c r="L40" t="str">
        <f t="shared" si="23"/>
        <v>Plat 1</v>
      </c>
      <c r="M40" s="8" t="str">
        <f t="shared" si="24"/>
        <v>1</v>
      </c>
      <c r="N40" t="s">
        <v>3010</v>
      </c>
    </row>
    <row r="41" spans="2:14" x14ac:dyDescent="0.25">
      <c r="B41" s="3" t="s">
        <v>1593</v>
      </c>
      <c r="C41" s="1" t="s">
        <v>3121</v>
      </c>
      <c r="D41" s="2" t="s">
        <v>3053</v>
      </c>
      <c r="E41" s="1" t="s">
        <v>3319</v>
      </c>
      <c r="F41" s="2" t="s">
        <v>1074</v>
      </c>
      <c r="G41" s="1" t="s">
        <v>1609</v>
      </c>
      <c r="H41" s="1" t="s">
        <v>1040</v>
      </c>
      <c r="I41" t="str">
        <f t="shared" si="20"/>
        <v>2N</v>
      </c>
      <c r="J41" t="str">
        <f t="shared" si="21"/>
        <v>0912½</v>
      </c>
      <c r="K41" t="str">
        <f t="shared" si="22"/>
        <v xml:space="preserve">0913 </v>
      </c>
      <c r="L41" t="str">
        <f t="shared" si="23"/>
        <v>Plat 1</v>
      </c>
      <c r="M41" s="8" t="str">
        <f t="shared" si="24"/>
        <v>1</v>
      </c>
      <c r="N41" t="s">
        <v>3010</v>
      </c>
    </row>
    <row r="42" spans="2:14" x14ac:dyDescent="0.25">
      <c r="B42" s="3" t="s">
        <v>1612</v>
      </c>
      <c r="C42" s="1" t="s">
        <v>3122</v>
      </c>
      <c r="D42" s="2" t="s">
        <v>3053</v>
      </c>
      <c r="E42" s="1" t="s">
        <v>3319</v>
      </c>
      <c r="F42" s="2" t="s">
        <v>1039</v>
      </c>
      <c r="G42" s="1" t="s">
        <v>3123</v>
      </c>
      <c r="H42" s="1" t="s">
        <v>1040</v>
      </c>
      <c r="I42" t="str">
        <f t="shared" si="20"/>
        <v>2Y</v>
      </c>
      <c r="J42" t="str">
        <f t="shared" si="21"/>
        <v>0922½</v>
      </c>
      <c r="K42" t="str">
        <f t="shared" si="22"/>
        <v xml:space="preserve">0923 </v>
      </c>
      <c r="L42" t="str">
        <f t="shared" si="23"/>
        <v>Plat 1</v>
      </c>
      <c r="M42" s="8" t="str">
        <f t="shared" si="24"/>
        <v>1</v>
      </c>
      <c r="N42" t="s">
        <v>3010</v>
      </c>
    </row>
    <row r="43" spans="2:14" x14ac:dyDescent="0.25">
      <c r="B43" s="3" t="s">
        <v>1623</v>
      </c>
      <c r="C43" s="1" t="s">
        <v>1638</v>
      </c>
      <c r="D43" s="2" t="s">
        <v>3053</v>
      </c>
      <c r="E43" s="1" t="s">
        <v>3319</v>
      </c>
      <c r="F43" s="2" t="s">
        <v>1074</v>
      </c>
      <c r="G43" s="1" t="s">
        <v>292</v>
      </c>
      <c r="H43" s="1" t="s">
        <v>1040</v>
      </c>
      <c r="I43" t="str">
        <f t="shared" si="20"/>
        <v>2N</v>
      </c>
      <c r="J43" t="str">
        <f t="shared" si="21"/>
        <v>0927½</v>
      </c>
      <c r="K43" t="str">
        <f t="shared" si="22"/>
        <v xml:space="preserve">0928 </v>
      </c>
      <c r="L43" t="str">
        <f t="shared" si="23"/>
        <v>Plat 1</v>
      </c>
      <c r="M43" s="8" t="str">
        <f t="shared" si="24"/>
        <v>1</v>
      </c>
      <c r="N43" t="s">
        <v>3010</v>
      </c>
    </row>
    <row r="44" spans="2:14" x14ac:dyDescent="0.25">
      <c r="B44" s="3" t="s">
        <v>1636</v>
      </c>
      <c r="C44" s="1" t="s">
        <v>3124</v>
      </c>
      <c r="D44" s="2" t="s">
        <v>3053</v>
      </c>
      <c r="E44" s="1" t="s">
        <v>3319</v>
      </c>
      <c r="F44" s="2" t="s">
        <v>1062</v>
      </c>
      <c r="G44" s="1" t="s">
        <v>3125</v>
      </c>
      <c r="H44" s="1" t="s">
        <v>1040</v>
      </c>
      <c r="I44" t="str">
        <f t="shared" si="20"/>
        <v>2G</v>
      </c>
      <c r="J44" t="str">
        <f t="shared" si="21"/>
        <v>0931½</v>
      </c>
      <c r="K44" t="str">
        <f t="shared" si="22"/>
        <v xml:space="preserve">0932 </v>
      </c>
      <c r="L44" t="str">
        <f t="shared" si="23"/>
        <v>Plat 1</v>
      </c>
      <c r="M44" s="8" t="str">
        <f t="shared" si="24"/>
        <v>1</v>
      </c>
      <c r="N44" t="s">
        <v>3010</v>
      </c>
    </row>
    <row r="45" spans="2:14" x14ac:dyDescent="0.25">
      <c r="B45" s="3" t="s">
        <v>1649</v>
      </c>
      <c r="C45" s="1" t="s">
        <v>3126</v>
      </c>
      <c r="D45" s="2" t="s">
        <v>3053</v>
      </c>
      <c r="E45" s="1" t="s">
        <v>3319</v>
      </c>
      <c r="F45" s="2" t="s">
        <v>1039</v>
      </c>
      <c r="G45" s="1" t="s">
        <v>3127</v>
      </c>
      <c r="H45" s="1" t="s">
        <v>1040</v>
      </c>
      <c r="I45" t="str">
        <f t="shared" si="20"/>
        <v>2Y</v>
      </c>
      <c r="J45" t="str">
        <f t="shared" si="21"/>
        <v>0937½</v>
      </c>
      <c r="K45" t="str">
        <f t="shared" si="22"/>
        <v xml:space="preserve">0938 </v>
      </c>
      <c r="L45" t="str">
        <f t="shared" si="23"/>
        <v>Plat 1</v>
      </c>
      <c r="M45" s="8" t="str">
        <f t="shared" si="24"/>
        <v>1</v>
      </c>
      <c r="N45" t="s">
        <v>3010</v>
      </c>
    </row>
    <row r="46" spans="2:14" x14ac:dyDescent="0.25">
      <c r="B46" s="3" t="s">
        <v>1655</v>
      </c>
      <c r="C46" s="1" t="s">
        <v>3128</v>
      </c>
      <c r="D46" s="2" t="s">
        <v>3053</v>
      </c>
      <c r="E46" s="1" t="s">
        <v>3319</v>
      </c>
      <c r="F46" s="2" t="s">
        <v>1074</v>
      </c>
      <c r="G46" s="1" t="s">
        <v>3129</v>
      </c>
      <c r="H46" s="1" t="s">
        <v>1040</v>
      </c>
      <c r="I46" t="str">
        <f t="shared" si="20"/>
        <v>2N</v>
      </c>
      <c r="J46" t="str">
        <f t="shared" si="21"/>
        <v>0942½</v>
      </c>
      <c r="K46" t="str">
        <f t="shared" si="22"/>
        <v xml:space="preserve">0943 </v>
      </c>
      <c r="L46" t="str">
        <f t="shared" si="23"/>
        <v>Plat 1</v>
      </c>
      <c r="M46" s="8" t="str">
        <f t="shared" si="24"/>
        <v>1</v>
      </c>
      <c r="N46" t="s">
        <v>3010</v>
      </c>
    </row>
    <row r="47" spans="2:14" x14ac:dyDescent="0.25">
      <c r="B47" s="3" t="s">
        <v>1679</v>
      </c>
      <c r="C47" s="1" t="s">
        <v>3130</v>
      </c>
      <c r="D47" s="2" t="s">
        <v>3053</v>
      </c>
      <c r="E47" s="1" t="s">
        <v>3319</v>
      </c>
      <c r="F47" s="2" t="s">
        <v>1039</v>
      </c>
      <c r="G47" s="1" t="s">
        <v>3131</v>
      </c>
      <c r="H47" s="1" t="s">
        <v>1040</v>
      </c>
      <c r="I47" t="str">
        <f t="shared" si="20"/>
        <v>2Y</v>
      </c>
      <c r="J47" t="str">
        <f t="shared" si="21"/>
        <v>0952½</v>
      </c>
      <c r="K47" t="str">
        <f t="shared" si="22"/>
        <v xml:space="preserve">0953 </v>
      </c>
      <c r="L47" t="str">
        <f t="shared" si="23"/>
        <v>Plat 1</v>
      </c>
      <c r="M47" s="8" t="str">
        <f t="shared" si="24"/>
        <v>1</v>
      </c>
      <c r="N47" t="s">
        <v>3010</v>
      </c>
    </row>
    <row r="48" spans="2:14" x14ac:dyDescent="0.25">
      <c r="B48" s="3" t="s">
        <v>1686</v>
      </c>
      <c r="C48" s="1" t="s">
        <v>3132</v>
      </c>
      <c r="D48" s="2" t="s">
        <v>3053</v>
      </c>
      <c r="E48" s="1" t="s">
        <v>3319</v>
      </c>
      <c r="F48" s="2" t="s">
        <v>1074</v>
      </c>
      <c r="G48" s="1" t="s">
        <v>318</v>
      </c>
      <c r="H48" s="1" t="s">
        <v>1040</v>
      </c>
      <c r="I48" t="str">
        <f t="shared" si="20"/>
        <v>2N</v>
      </c>
      <c r="J48" t="str">
        <f t="shared" si="21"/>
        <v>0957½</v>
      </c>
      <c r="K48" t="str">
        <f t="shared" si="22"/>
        <v xml:space="preserve">0958 </v>
      </c>
      <c r="L48" t="str">
        <f t="shared" si="23"/>
        <v>Plat 1</v>
      </c>
      <c r="M48" s="8" t="str">
        <f t="shared" si="24"/>
        <v>1</v>
      </c>
      <c r="N48" t="s">
        <v>3010</v>
      </c>
    </row>
    <row r="49" spans="2:14" x14ac:dyDescent="0.25">
      <c r="B49" s="3" t="s">
        <v>1696</v>
      </c>
      <c r="C49" s="1" t="s">
        <v>3133</v>
      </c>
      <c r="D49" s="2" t="s">
        <v>3053</v>
      </c>
      <c r="E49" s="1" t="s">
        <v>3319</v>
      </c>
      <c r="F49" s="2" t="s">
        <v>1039</v>
      </c>
      <c r="G49" s="1" t="s">
        <v>3134</v>
      </c>
      <c r="H49" s="1" t="s">
        <v>1040</v>
      </c>
      <c r="I49" t="str">
        <f t="shared" si="20"/>
        <v>2Y</v>
      </c>
      <c r="J49" t="str">
        <f t="shared" si="21"/>
        <v>1007½</v>
      </c>
      <c r="K49" t="str">
        <f t="shared" si="22"/>
        <v xml:space="preserve">1008 </v>
      </c>
      <c r="L49" t="str">
        <f t="shared" si="23"/>
        <v>Plat 1</v>
      </c>
      <c r="M49" s="8" t="str">
        <f t="shared" si="24"/>
        <v>1</v>
      </c>
      <c r="N49" t="s">
        <v>3010</v>
      </c>
    </row>
    <row r="50" spans="2:14" x14ac:dyDescent="0.25">
      <c r="B50" s="3" t="s">
        <v>1707</v>
      </c>
      <c r="C50" s="1" t="s">
        <v>3135</v>
      </c>
      <c r="D50" s="2" t="s">
        <v>3053</v>
      </c>
      <c r="E50" s="1" t="s">
        <v>3319</v>
      </c>
      <c r="F50" s="2" t="s">
        <v>1074</v>
      </c>
      <c r="G50" s="1" t="s">
        <v>3136</v>
      </c>
      <c r="H50" s="1" t="s">
        <v>1040</v>
      </c>
      <c r="I50" t="str">
        <f t="shared" si="20"/>
        <v>2N</v>
      </c>
      <c r="J50" t="str">
        <f t="shared" si="21"/>
        <v xml:space="preserve">1013 </v>
      </c>
      <c r="K50" t="str">
        <f t="shared" si="22"/>
        <v>1013½</v>
      </c>
      <c r="L50" t="str">
        <f t="shared" si="23"/>
        <v>Plat 1</v>
      </c>
      <c r="M50" s="8" t="str">
        <f t="shared" si="24"/>
        <v>1</v>
      </c>
      <c r="N50" t="s">
        <v>3010</v>
      </c>
    </row>
    <row r="51" spans="2:14" x14ac:dyDescent="0.25">
      <c r="B51" s="3" t="s">
        <v>1719</v>
      </c>
      <c r="C51" s="1" t="s">
        <v>3137</v>
      </c>
      <c r="D51" s="2" t="s">
        <v>3053</v>
      </c>
      <c r="E51" s="1" t="s">
        <v>3319</v>
      </c>
      <c r="F51" s="2" t="s">
        <v>1039</v>
      </c>
      <c r="G51" s="1" t="s">
        <v>3138</v>
      </c>
      <c r="H51" s="1" t="s">
        <v>1040</v>
      </c>
      <c r="I51" t="str">
        <f t="shared" si="20"/>
        <v>2Y</v>
      </c>
      <c r="J51" t="str">
        <f t="shared" si="21"/>
        <v>1022½</v>
      </c>
      <c r="K51" t="str">
        <f t="shared" si="22"/>
        <v xml:space="preserve">1023 </v>
      </c>
      <c r="L51" t="str">
        <f t="shared" si="23"/>
        <v>Plat 1</v>
      </c>
      <c r="M51" s="8" t="str">
        <f t="shared" si="24"/>
        <v>1</v>
      </c>
      <c r="N51" t="s">
        <v>3010</v>
      </c>
    </row>
    <row r="52" spans="2:14" x14ac:dyDescent="0.25">
      <c r="B52" s="3" t="s">
        <v>1732</v>
      </c>
      <c r="C52" s="1" t="s">
        <v>3139</v>
      </c>
      <c r="D52" s="2" t="s">
        <v>3053</v>
      </c>
      <c r="E52" s="1" t="s">
        <v>3319</v>
      </c>
      <c r="F52" s="2" t="s">
        <v>1074</v>
      </c>
      <c r="G52" s="1" t="s">
        <v>340</v>
      </c>
      <c r="H52" s="1" t="s">
        <v>1040</v>
      </c>
      <c r="I52" t="str">
        <f t="shared" si="20"/>
        <v>2N</v>
      </c>
      <c r="J52" t="str">
        <f t="shared" si="21"/>
        <v>1027½</v>
      </c>
      <c r="K52" t="str">
        <f t="shared" si="22"/>
        <v xml:space="preserve">1028 </v>
      </c>
      <c r="L52" t="str">
        <f t="shared" si="23"/>
        <v>Plat 1</v>
      </c>
      <c r="M52" s="8" t="str">
        <f t="shared" si="24"/>
        <v>1</v>
      </c>
      <c r="N52" t="s">
        <v>3010</v>
      </c>
    </row>
    <row r="53" spans="2:14" x14ac:dyDescent="0.25">
      <c r="B53" s="3" t="s">
        <v>1748</v>
      </c>
      <c r="C53" s="1" t="s">
        <v>3140</v>
      </c>
      <c r="D53" s="2" t="s">
        <v>3053</v>
      </c>
      <c r="E53" s="1" t="s">
        <v>3319</v>
      </c>
      <c r="F53" s="2" t="s">
        <v>1039</v>
      </c>
      <c r="G53" s="1" t="s">
        <v>3141</v>
      </c>
      <c r="H53" s="1" t="s">
        <v>1040</v>
      </c>
      <c r="I53" t="str">
        <f t="shared" ref="I53:I63" si="25">LEFT(B53,2)</f>
        <v>2Y</v>
      </c>
      <c r="J53" t="str">
        <f t="shared" ref="J53:J63" si="26">LEFT(C53,5)</f>
        <v>1035½</v>
      </c>
      <c r="K53" t="str">
        <f t="shared" ref="K53:K63" si="27">LEFT(G53,5)</f>
        <v xml:space="preserve">1036 </v>
      </c>
      <c r="L53" t="str">
        <f t="shared" ref="L53:L63" si="28">LEFT(E53,6)</f>
        <v>Plat 1</v>
      </c>
      <c r="M53" s="8" t="str">
        <f t="shared" ref="M53:M63" si="29">RIGHT(L53,1)</f>
        <v>1</v>
      </c>
      <c r="N53" t="s">
        <v>3010</v>
      </c>
    </row>
    <row r="54" spans="2:14" x14ac:dyDescent="0.25">
      <c r="B54" s="3" t="s">
        <v>1755</v>
      </c>
      <c r="C54" s="1" t="s">
        <v>3142</v>
      </c>
      <c r="D54" s="2" t="s">
        <v>3053</v>
      </c>
      <c r="E54" s="1" t="s">
        <v>3319</v>
      </c>
      <c r="F54" s="2" t="s">
        <v>1074</v>
      </c>
      <c r="G54" s="1" t="s">
        <v>3143</v>
      </c>
      <c r="H54" s="1" t="s">
        <v>1040</v>
      </c>
      <c r="I54" t="str">
        <f t="shared" si="25"/>
        <v>2N</v>
      </c>
      <c r="J54" t="str">
        <f t="shared" si="26"/>
        <v>1042½</v>
      </c>
      <c r="K54" t="str">
        <f t="shared" si="27"/>
        <v xml:space="preserve">1043 </v>
      </c>
      <c r="L54" t="str">
        <f t="shared" si="28"/>
        <v>Plat 1</v>
      </c>
      <c r="M54" s="8" t="str">
        <f t="shared" si="29"/>
        <v>1</v>
      </c>
      <c r="N54" t="s">
        <v>3010</v>
      </c>
    </row>
    <row r="55" spans="2:14" x14ac:dyDescent="0.25">
      <c r="B55" s="3" t="s">
        <v>1771</v>
      </c>
      <c r="C55" s="1" t="s">
        <v>3144</v>
      </c>
      <c r="D55" s="2" t="s">
        <v>3053</v>
      </c>
      <c r="E55" s="1" t="s">
        <v>3319</v>
      </c>
      <c r="F55" s="2" t="s">
        <v>1039</v>
      </c>
      <c r="G55" s="1" t="s">
        <v>3145</v>
      </c>
      <c r="H55" s="1" t="s">
        <v>1040</v>
      </c>
      <c r="I55" t="str">
        <f t="shared" si="25"/>
        <v>2Y</v>
      </c>
      <c r="J55" t="str">
        <f t="shared" si="26"/>
        <v xml:space="preserve">1053 </v>
      </c>
      <c r="K55" t="str">
        <f t="shared" si="27"/>
        <v>1053½</v>
      </c>
      <c r="L55" t="str">
        <f t="shared" si="28"/>
        <v>Plat 1</v>
      </c>
      <c r="M55" s="8" t="str">
        <f t="shared" si="29"/>
        <v>1</v>
      </c>
      <c r="N55" t="s">
        <v>3010</v>
      </c>
    </row>
    <row r="56" spans="2:14" x14ac:dyDescent="0.25">
      <c r="B56" s="3" t="s">
        <v>1779</v>
      </c>
      <c r="C56" s="1" t="s">
        <v>3146</v>
      </c>
      <c r="D56" s="2" t="s">
        <v>3053</v>
      </c>
      <c r="E56" s="1" t="s">
        <v>3319</v>
      </c>
      <c r="F56" s="2" t="s">
        <v>1074</v>
      </c>
      <c r="G56" s="1" t="s">
        <v>366</v>
      </c>
      <c r="H56" s="1" t="s">
        <v>1040</v>
      </c>
      <c r="I56" t="str">
        <f t="shared" si="25"/>
        <v>2N</v>
      </c>
      <c r="J56" t="str">
        <f t="shared" si="26"/>
        <v>1057½</v>
      </c>
      <c r="K56" t="str">
        <f t="shared" si="27"/>
        <v xml:space="preserve">1058 </v>
      </c>
      <c r="L56" t="str">
        <f t="shared" si="28"/>
        <v>Plat 1</v>
      </c>
      <c r="M56" s="8" t="str">
        <f t="shared" si="29"/>
        <v>1</v>
      </c>
      <c r="N56" t="s">
        <v>3010</v>
      </c>
    </row>
    <row r="57" spans="2:14" x14ac:dyDescent="0.25">
      <c r="B57" s="3" t="s">
        <v>1791</v>
      </c>
      <c r="C57" s="1" t="s">
        <v>3147</v>
      </c>
      <c r="D57" s="2" t="s">
        <v>3053</v>
      </c>
      <c r="E57" s="1" t="s">
        <v>3319</v>
      </c>
      <c r="F57" s="2" t="s">
        <v>1039</v>
      </c>
      <c r="G57" s="1" t="s">
        <v>3148</v>
      </c>
      <c r="H57" s="1" t="s">
        <v>1040</v>
      </c>
      <c r="I57" t="str">
        <f t="shared" si="25"/>
        <v>2Y</v>
      </c>
      <c r="J57" t="str">
        <f t="shared" si="26"/>
        <v>1107½</v>
      </c>
      <c r="K57" t="str">
        <f t="shared" si="27"/>
        <v xml:space="preserve">1108 </v>
      </c>
      <c r="L57" t="str">
        <f t="shared" si="28"/>
        <v>Plat 1</v>
      </c>
      <c r="M57" s="8" t="str">
        <f t="shared" si="29"/>
        <v>1</v>
      </c>
      <c r="N57" t="s">
        <v>3010</v>
      </c>
    </row>
    <row r="58" spans="2:14" x14ac:dyDescent="0.25">
      <c r="B58" s="3" t="s">
        <v>1802</v>
      </c>
      <c r="C58" s="1" t="s">
        <v>3149</v>
      </c>
      <c r="D58" s="2" t="s">
        <v>3053</v>
      </c>
      <c r="E58" s="1" t="s">
        <v>3319</v>
      </c>
      <c r="F58" s="2" t="s">
        <v>1074</v>
      </c>
      <c r="G58" s="1" t="s">
        <v>3150</v>
      </c>
      <c r="H58" s="1" t="s">
        <v>1040</v>
      </c>
      <c r="I58" t="str">
        <f t="shared" si="25"/>
        <v>2N</v>
      </c>
      <c r="J58" t="str">
        <f t="shared" si="26"/>
        <v>1112½</v>
      </c>
      <c r="K58" t="str">
        <f t="shared" si="27"/>
        <v xml:space="preserve">1113 </v>
      </c>
      <c r="L58" t="str">
        <f t="shared" si="28"/>
        <v>Plat 1</v>
      </c>
      <c r="M58" s="8" t="str">
        <f t="shared" si="29"/>
        <v>1</v>
      </c>
      <c r="N58" t="s">
        <v>3010</v>
      </c>
    </row>
    <row r="59" spans="2:14" x14ac:dyDescent="0.25">
      <c r="B59" s="3" t="s">
        <v>1809</v>
      </c>
      <c r="C59" s="1" t="s">
        <v>3151</v>
      </c>
      <c r="D59" s="2" t="s">
        <v>3053</v>
      </c>
      <c r="E59" s="1" t="s">
        <v>3319</v>
      </c>
      <c r="F59" s="2" t="s">
        <v>1039</v>
      </c>
      <c r="G59" s="1" t="s">
        <v>3152</v>
      </c>
      <c r="H59" s="1" t="s">
        <v>1040</v>
      </c>
      <c r="I59" t="str">
        <f t="shared" si="25"/>
        <v>2Y</v>
      </c>
      <c r="J59" t="str">
        <f t="shared" si="26"/>
        <v>1117½</v>
      </c>
      <c r="K59" t="str">
        <f t="shared" si="27"/>
        <v xml:space="preserve">1118 </v>
      </c>
      <c r="L59" t="str">
        <f t="shared" si="28"/>
        <v>Plat 1</v>
      </c>
      <c r="M59" s="8" t="str">
        <f t="shared" si="29"/>
        <v>1</v>
      </c>
      <c r="N59" t="s">
        <v>3010</v>
      </c>
    </row>
    <row r="60" spans="2:14" x14ac:dyDescent="0.25">
      <c r="B60" s="3" t="s">
        <v>1820</v>
      </c>
      <c r="C60" s="1" t="s">
        <v>390</v>
      </c>
      <c r="D60" s="2" t="s">
        <v>3053</v>
      </c>
      <c r="E60" s="1" t="s">
        <v>3319</v>
      </c>
      <c r="F60" s="2" t="s">
        <v>1074</v>
      </c>
      <c r="G60" s="1" t="s">
        <v>3153</v>
      </c>
      <c r="H60" s="1" t="s">
        <v>1040</v>
      </c>
      <c r="I60" t="str">
        <f t="shared" si="25"/>
        <v>2N</v>
      </c>
      <c r="J60" t="str">
        <f t="shared" si="26"/>
        <v xml:space="preserve">1126 </v>
      </c>
      <c r="K60" t="str">
        <f t="shared" si="27"/>
        <v>1126½</v>
      </c>
      <c r="L60" t="str">
        <f t="shared" si="28"/>
        <v>Plat 1</v>
      </c>
      <c r="M60" s="8" t="str">
        <f t="shared" si="29"/>
        <v>1</v>
      </c>
      <c r="N60" t="s">
        <v>3010</v>
      </c>
    </row>
    <row r="61" spans="2:14" x14ac:dyDescent="0.25">
      <c r="B61" s="3" t="s">
        <v>1838</v>
      </c>
      <c r="C61" s="1" t="s">
        <v>3154</v>
      </c>
      <c r="D61" s="2" t="s">
        <v>3053</v>
      </c>
      <c r="E61" s="1" t="s">
        <v>3319</v>
      </c>
      <c r="F61" s="2" t="s">
        <v>1039</v>
      </c>
      <c r="G61" s="1" t="s">
        <v>3155</v>
      </c>
      <c r="H61" s="1" t="s">
        <v>1040</v>
      </c>
      <c r="I61" t="str">
        <f t="shared" si="25"/>
        <v>2Y</v>
      </c>
      <c r="J61" t="str">
        <f t="shared" si="26"/>
        <v>1137½</v>
      </c>
      <c r="K61" t="str">
        <f t="shared" si="27"/>
        <v xml:space="preserve">1138 </v>
      </c>
      <c r="L61" t="str">
        <f t="shared" si="28"/>
        <v>Plat 1</v>
      </c>
      <c r="M61" s="8" t="str">
        <f t="shared" si="29"/>
        <v>1</v>
      </c>
      <c r="N61" t="s">
        <v>3010</v>
      </c>
    </row>
    <row r="62" spans="2:14" x14ac:dyDescent="0.25">
      <c r="B62" s="3" t="s">
        <v>1060</v>
      </c>
      <c r="C62" s="1" t="s">
        <v>3156</v>
      </c>
      <c r="D62" s="2" t="s">
        <v>3053</v>
      </c>
      <c r="E62" s="1" t="s">
        <v>3319</v>
      </c>
      <c r="F62" s="2" t="s">
        <v>1074</v>
      </c>
      <c r="G62" s="1" t="s">
        <v>3157</v>
      </c>
      <c r="H62" s="1" t="s">
        <v>1040</v>
      </c>
      <c r="I62" t="str">
        <f t="shared" si="25"/>
        <v>2N</v>
      </c>
      <c r="J62" t="str">
        <f t="shared" si="26"/>
        <v>1142½</v>
      </c>
      <c r="K62" t="str">
        <f t="shared" si="27"/>
        <v xml:space="preserve">1143 </v>
      </c>
      <c r="L62" t="str">
        <f t="shared" si="28"/>
        <v>Plat 1</v>
      </c>
      <c r="M62" s="8" t="str">
        <f t="shared" si="29"/>
        <v>1</v>
      </c>
      <c r="N62" t="s">
        <v>3010</v>
      </c>
    </row>
    <row r="63" spans="2:14" x14ac:dyDescent="0.25">
      <c r="B63" s="3" t="s">
        <v>1857</v>
      </c>
      <c r="C63" s="1" t="s">
        <v>3158</v>
      </c>
      <c r="D63" s="2" t="s">
        <v>3053</v>
      </c>
      <c r="E63" s="1" t="s">
        <v>3319</v>
      </c>
      <c r="F63" s="2" t="s">
        <v>1039</v>
      </c>
      <c r="G63" s="1" t="s">
        <v>3159</v>
      </c>
      <c r="H63" s="1" t="s">
        <v>1040</v>
      </c>
      <c r="I63" t="str">
        <f t="shared" si="25"/>
        <v>2Y</v>
      </c>
      <c r="J63" t="str">
        <f t="shared" si="26"/>
        <v xml:space="preserve">1151 </v>
      </c>
      <c r="K63" t="str">
        <f t="shared" si="27"/>
        <v>1151½</v>
      </c>
      <c r="L63" t="str">
        <f t="shared" si="28"/>
        <v>Plat 1</v>
      </c>
      <c r="M63" s="8" t="str">
        <f t="shared" si="29"/>
        <v>1</v>
      </c>
      <c r="N63" t="s">
        <v>3010</v>
      </c>
    </row>
    <row r="64" spans="2:14" x14ac:dyDescent="0.25">
      <c r="B64" s="3" t="s">
        <v>1084</v>
      </c>
      <c r="C64" s="1" t="s">
        <v>3160</v>
      </c>
      <c r="D64" s="2" t="s">
        <v>3053</v>
      </c>
      <c r="E64" s="1" t="s">
        <v>3319</v>
      </c>
      <c r="F64" s="2" t="s">
        <v>1074</v>
      </c>
      <c r="G64" s="1" t="s">
        <v>3161</v>
      </c>
      <c r="H64" s="1" t="s">
        <v>1040</v>
      </c>
      <c r="I64" t="str">
        <f t="shared" ref="I64:I76" si="30">LEFT(B64,2)</f>
        <v>2N</v>
      </c>
      <c r="J64" t="str">
        <f t="shared" ref="J64:J76" si="31">LEFT(C64,5)</f>
        <v>1200½</v>
      </c>
      <c r="K64" t="str">
        <f t="shared" ref="K64:K76" si="32">LEFT(G64,5)</f>
        <v xml:space="preserve">1201 </v>
      </c>
      <c r="L64" t="str">
        <f t="shared" ref="L64:L76" si="33">LEFT(E64,6)</f>
        <v>Plat 1</v>
      </c>
      <c r="M64" s="8" t="str">
        <f t="shared" ref="M64:M76" si="34">RIGHT(L64,1)</f>
        <v>1</v>
      </c>
      <c r="N64" t="s">
        <v>3010</v>
      </c>
    </row>
    <row r="65" spans="2:14" x14ac:dyDescent="0.25">
      <c r="B65" s="3" t="s">
        <v>1883</v>
      </c>
      <c r="C65" s="1" t="s">
        <v>3162</v>
      </c>
      <c r="D65" s="2" t="s">
        <v>3053</v>
      </c>
      <c r="E65" s="1" t="s">
        <v>3319</v>
      </c>
      <c r="F65" s="2" t="s">
        <v>1039</v>
      </c>
      <c r="G65" s="1" t="s">
        <v>3163</v>
      </c>
      <c r="H65" s="1" t="s">
        <v>1040</v>
      </c>
      <c r="I65" t="str">
        <f t="shared" si="30"/>
        <v>2Y</v>
      </c>
      <c r="J65" t="str">
        <f t="shared" si="31"/>
        <v xml:space="preserve">1208 </v>
      </c>
      <c r="K65" t="str">
        <f t="shared" si="32"/>
        <v>1208½</v>
      </c>
      <c r="L65" t="str">
        <f t="shared" si="33"/>
        <v>Plat 1</v>
      </c>
      <c r="M65" s="8" t="str">
        <f t="shared" si="34"/>
        <v>1</v>
      </c>
      <c r="N65" t="s">
        <v>3010</v>
      </c>
    </row>
    <row r="66" spans="2:14" x14ac:dyDescent="0.25">
      <c r="B66" s="3" t="s">
        <v>1106</v>
      </c>
      <c r="C66" s="1" t="s">
        <v>3164</v>
      </c>
      <c r="D66" s="2" t="s">
        <v>3053</v>
      </c>
      <c r="E66" s="1" t="s">
        <v>3319</v>
      </c>
      <c r="F66" s="2" t="s">
        <v>1074</v>
      </c>
      <c r="G66" s="1" t="s">
        <v>3165</v>
      </c>
      <c r="H66" s="1" t="s">
        <v>1040</v>
      </c>
      <c r="I66" t="str">
        <f t="shared" si="30"/>
        <v>2N</v>
      </c>
      <c r="J66" t="str">
        <f t="shared" si="31"/>
        <v>1212½</v>
      </c>
      <c r="K66" t="str">
        <f t="shared" si="32"/>
        <v xml:space="preserve">1213 </v>
      </c>
      <c r="L66" t="str">
        <f t="shared" si="33"/>
        <v>Plat 1</v>
      </c>
      <c r="M66" s="8" t="str">
        <f t="shared" si="34"/>
        <v>1</v>
      </c>
      <c r="N66" t="s">
        <v>3010</v>
      </c>
    </row>
    <row r="67" spans="2:14" x14ac:dyDescent="0.25">
      <c r="B67" s="3" t="s">
        <v>1899</v>
      </c>
      <c r="C67" s="1" t="s">
        <v>3166</v>
      </c>
      <c r="D67" s="2" t="s">
        <v>3053</v>
      </c>
      <c r="E67" s="1" t="s">
        <v>3319</v>
      </c>
      <c r="F67" s="2" t="s">
        <v>1039</v>
      </c>
      <c r="G67" s="1" t="s">
        <v>3167</v>
      </c>
      <c r="H67" s="1" t="s">
        <v>1040</v>
      </c>
      <c r="I67" t="str">
        <f t="shared" si="30"/>
        <v>2Y</v>
      </c>
      <c r="J67" t="str">
        <f t="shared" si="31"/>
        <v>1222½</v>
      </c>
      <c r="K67" t="str">
        <f t="shared" si="32"/>
        <v xml:space="preserve">1223 </v>
      </c>
      <c r="L67" t="str">
        <f t="shared" si="33"/>
        <v>Plat 1</v>
      </c>
      <c r="M67" s="8" t="str">
        <f t="shared" si="34"/>
        <v>1</v>
      </c>
      <c r="N67" t="s">
        <v>3010</v>
      </c>
    </row>
    <row r="68" spans="2:14" x14ac:dyDescent="0.25">
      <c r="B68" s="3" t="s">
        <v>1124</v>
      </c>
      <c r="C68" s="1" t="s">
        <v>3168</v>
      </c>
      <c r="D68" s="2" t="s">
        <v>3053</v>
      </c>
      <c r="E68" s="1" t="s">
        <v>3319</v>
      </c>
      <c r="F68" s="2" t="s">
        <v>1074</v>
      </c>
      <c r="G68" s="1" t="s">
        <v>436</v>
      </c>
      <c r="H68" s="1" t="s">
        <v>1040</v>
      </c>
      <c r="I68" t="str">
        <f t="shared" si="30"/>
        <v>2N</v>
      </c>
      <c r="J68" t="str">
        <f t="shared" si="31"/>
        <v>1227½</v>
      </c>
      <c r="K68" t="str">
        <f t="shared" si="32"/>
        <v xml:space="preserve">1228 </v>
      </c>
      <c r="L68" t="str">
        <f t="shared" si="33"/>
        <v>Plat 1</v>
      </c>
      <c r="M68" s="8" t="str">
        <f t="shared" si="34"/>
        <v>1</v>
      </c>
      <c r="N68" t="s">
        <v>3010</v>
      </c>
    </row>
    <row r="69" spans="2:14" x14ac:dyDescent="0.25">
      <c r="B69" s="3" t="s">
        <v>1925</v>
      </c>
      <c r="C69" s="1" t="s">
        <v>3169</v>
      </c>
      <c r="D69" s="2" t="s">
        <v>3053</v>
      </c>
      <c r="E69" s="1" t="s">
        <v>3319</v>
      </c>
      <c r="F69" s="2" t="s">
        <v>1039</v>
      </c>
      <c r="G69" s="1" t="s">
        <v>3170</v>
      </c>
      <c r="H69" s="1" t="s">
        <v>1040</v>
      </c>
      <c r="I69" t="str">
        <f t="shared" si="30"/>
        <v>2Y</v>
      </c>
      <c r="J69" t="str">
        <f t="shared" si="31"/>
        <v xml:space="preserve">1238 </v>
      </c>
      <c r="K69" t="str">
        <f t="shared" si="32"/>
        <v>1238½</v>
      </c>
      <c r="L69" t="str">
        <f t="shared" si="33"/>
        <v>Plat 1</v>
      </c>
      <c r="M69" s="8" t="str">
        <f t="shared" si="34"/>
        <v>1</v>
      </c>
      <c r="N69" t="s">
        <v>3010</v>
      </c>
    </row>
    <row r="70" spans="2:14" x14ac:dyDescent="0.25">
      <c r="B70" s="3" t="s">
        <v>1938</v>
      </c>
      <c r="C70" s="1" t="s">
        <v>450</v>
      </c>
      <c r="D70" s="2" t="s">
        <v>3053</v>
      </c>
      <c r="E70" s="1" t="s">
        <v>3319</v>
      </c>
      <c r="F70" s="2" t="s">
        <v>1074</v>
      </c>
      <c r="G70" s="1" t="s">
        <v>453</v>
      </c>
      <c r="H70" s="1" t="s">
        <v>1040</v>
      </c>
      <c r="I70" t="str">
        <f t="shared" si="30"/>
        <v>2N</v>
      </c>
      <c r="J70" t="str">
        <f t="shared" si="31"/>
        <v>1244½</v>
      </c>
      <c r="K70" t="str">
        <f t="shared" si="32"/>
        <v xml:space="preserve">1245 </v>
      </c>
      <c r="L70" t="str">
        <f t="shared" si="33"/>
        <v>Plat 1</v>
      </c>
      <c r="M70" s="8" t="str">
        <f t="shared" si="34"/>
        <v>1</v>
      </c>
      <c r="N70" t="s">
        <v>3010</v>
      </c>
    </row>
    <row r="71" spans="2:14" x14ac:dyDescent="0.25">
      <c r="B71" s="3" t="s">
        <v>1948</v>
      </c>
      <c r="C71" s="1" t="s">
        <v>3171</v>
      </c>
      <c r="D71" s="2" t="s">
        <v>3053</v>
      </c>
      <c r="E71" s="1" t="s">
        <v>3319</v>
      </c>
      <c r="F71" s="2" t="s">
        <v>1039</v>
      </c>
      <c r="G71" s="1" t="s">
        <v>3172</v>
      </c>
      <c r="H71" s="1" t="s">
        <v>1040</v>
      </c>
      <c r="I71" t="str">
        <f t="shared" si="30"/>
        <v>2Y</v>
      </c>
      <c r="J71" t="str">
        <f t="shared" si="31"/>
        <v>1252½</v>
      </c>
      <c r="K71" t="str">
        <f t="shared" si="32"/>
        <v xml:space="preserve">1253 </v>
      </c>
      <c r="L71" t="str">
        <f t="shared" si="33"/>
        <v>Plat 1</v>
      </c>
      <c r="M71" s="8" t="str">
        <f t="shared" si="34"/>
        <v>1</v>
      </c>
      <c r="N71" t="s">
        <v>3010</v>
      </c>
    </row>
    <row r="72" spans="2:14" x14ac:dyDescent="0.25">
      <c r="B72" s="3" t="s">
        <v>1956</v>
      </c>
      <c r="C72" s="1" t="s">
        <v>3173</v>
      </c>
      <c r="D72" s="2" t="s">
        <v>3053</v>
      </c>
      <c r="E72" s="1" t="s">
        <v>3319</v>
      </c>
      <c r="F72" s="2" t="s">
        <v>1074</v>
      </c>
      <c r="G72" s="1" t="s">
        <v>1967</v>
      </c>
      <c r="H72" s="1" t="s">
        <v>1040</v>
      </c>
      <c r="I72" t="str">
        <f t="shared" si="30"/>
        <v>2N</v>
      </c>
      <c r="J72" t="str">
        <f t="shared" si="31"/>
        <v>1259½</v>
      </c>
      <c r="K72" t="str">
        <f t="shared" si="32"/>
        <v xml:space="preserve">1300 </v>
      </c>
      <c r="L72" t="str">
        <f t="shared" si="33"/>
        <v>Plat 1</v>
      </c>
      <c r="M72" s="8" t="str">
        <f t="shared" si="34"/>
        <v>1</v>
      </c>
      <c r="N72" t="s">
        <v>3010</v>
      </c>
    </row>
    <row r="73" spans="2:14" x14ac:dyDescent="0.25">
      <c r="B73" s="3" t="s">
        <v>1971</v>
      </c>
      <c r="C73" s="1" t="s">
        <v>3174</v>
      </c>
      <c r="D73" s="2" t="s">
        <v>3053</v>
      </c>
      <c r="E73" s="1" t="s">
        <v>3319</v>
      </c>
      <c r="F73" s="2" t="s">
        <v>1039</v>
      </c>
      <c r="G73" s="1" t="s">
        <v>3175</v>
      </c>
      <c r="H73" s="1" t="s">
        <v>1040</v>
      </c>
      <c r="I73" t="str">
        <f t="shared" si="30"/>
        <v>2Y</v>
      </c>
      <c r="J73" t="str">
        <f t="shared" si="31"/>
        <v xml:space="preserve">1308 </v>
      </c>
      <c r="K73" t="str">
        <f t="shared" si="32"/>
        <v>1308½</v>
      </c>
      <c r="L73" t="str">
        <f t="shared" si="33"/>
        <v>Plat 1</v>
      </c>
      <c r="M73" s="8" t="str">
        <f t="shared" si="34"/>
        <v>1</v>
      </c>
      <c r="N73" t="s">
        <v>3010</v>
      </c>
    </row>
    <row r="74" spans="2:14" x14ac:dyDescent="0.25">
      <c r="B74" s="3" t="s">
        <v>1980</v>
      </c>
      <c r="C74" s="1" t="s">
        <v>3176</v>
      </c>
      <c r="D74" s="2" t="s">
        <v>3053</v>
      </c>
      <c r="E74" s="1" t="s">
        <v>3319</v>
      </c>
      <c r="F74" s="2" t="s">
        <v>1074</v>
      </c>
      <c r="G74" s="1" t="s">
        <v>3177</v>
      </c>
      <c r="H74" s="1" t="s">
        <v>1040</v>
      </c>
      <c r="I74" t="str">
        <f t="shared" si="30"/>
        <v>2N</v>
      </c>
      <c r="J74" t="str">
        <f t="shared" si="31"/>
        <v>1312½</v>
      </c>
      <c r="K74" t="str">
        <f t="shared" si="32"/>
        <v xml:space="preserve">1313 </v>
      </c>
      <c r="L74" t="str">
        <f t="shared" si="33"/>
        <v>Plat 1</v>
      </c>
      <c r="M74" s="8" t="str">
        <f t="shared" si="34"/>
        <v>1</v>
      </c>
      <c r="N74" t="s">
        <v>3010</v>
      </c>
    </row>
    <row r="75" spans="2:14" x14ac:dyDescent="0.25">
      <c r="B75" s="3" t="s">
        <v>1989</v>
      </c>
      <c r="C75" s="1" t="s">
        <v>3178</v>
      </c>
      <c r="D75" s="2" t="s">
        <v>3053</v>
      </c>
      <c r="E75" s="1" t="s">
        <v>3319</v>
      </c>
      <c r="F75" s="2" t="s">
        <v>1039</v>
      </c>
      <c r="G75" s="1" t="s">
        <v>3179</v>
      </c>
      <c r="H75" s="1" t="s">
        <v>1040</v>
      </c>
      <c r="I75" t="str">
        <f t="shared" si="30"/>
        <v>2Y</v>
      </c>
      <c r="J75" t="str">
        <f t="shared" si="31"/>
        <v>1322½</v>
      </c>
      <c r="K75" t="str">
        <f t="shared" si="32"/>
        <v xml:space="preserve">1323 </v>
      </c>
      <c r="L75" t="str">
        <f t="shared" si="33"/>
        <v>Plat 1</v>
      </c>
      <c r="M75" s="8" t="str">
        <f t="shared" si="34"/>
        <v>1</v>
      </c>
      <c r="N75" t="s">
        <v>3010</v>
      </c>
    </row>
    <row r="76" spans="2:14" x14ac:dyDescent="0.25">
      <c r="B76" s="3" t="s">
        <v>2002</v>
      </c>
      <c r="C76" s="1" t="s">
        <v>3180</v>
      </c>
      <c r="D76" s="2" t="s">
        <v>3053</v>
      </c>
      <c r="E76" s="1" t="s">
        <v>3319</v>
      </c>
      <c r="F76" s="2" t="s">
        <v>1074</v>
      </c>
      <c r="G76" s="1" t="s">
        <v>483</v>
      </c>
      <c r="H76" s="1" t="s">
        <v>1040</v>
      </c>
      <c r="I76" t="str">
        <f t="shared" si="30"/>
        <v>2N</v>
      </c>
      <c r="J76" t="str">
        <f t="shared" si="31"/>
        <v>1327½</v>
      </c>
      <c r="K76" t="str">
        <f t="shared" si="32"/>
        <v xml:space="preserve">1328 </v>
      </c>
      <c r="L76" t="str">
        <f t="shared" si="33"/>
        <v>Plat 1</v>
      </c>
      <c r="M76" s="8" t="str">
        <f t="shared" si="34"/>
        <v>1</v>
      </c>
      <c r="N76" t="s">
        <v>3010</v>
      </c>
    </row>
    <row r="77" spans="2:14" x14ac:dyDescent="0.25">
      <c r="B77" s="3" t="s">
        <v>2018</v>
      </c>
      <c r="C77" s="1" t="s">
        <v>3181</v>
      </c>
      <c r="D77" s="2" t="s">
        <v>3053</v>
      </c>
      <c r="E77" s="1" t="s">
        <v>3319</v>
      </c>
      <c r="F77" s="2" t="s">
        <v>1039</v>
      </c>
      <c r="G77" s="1" t="s">
        <v>3182</v>
      </c>
      <c r="H77" s="1" t="s">
        <v>1040</v>
      </c>
      <c r="I77" t="str">
        <f t="shared" ref="I77:I88" si="35">LEFT(B77,2)</f>
        <v>2Y</v>
      </c>
      <c r="J77" t="str">
        <f t="shared" ref="J77:J88" si="36">LEFT(C77,5)</f>
        <v>1337½</v>
      </c>
      <c r="K77" t="str">
        <f t="shared" ref="K77:K88" si="37">LEFT(G77,5)</f>
        <v xml:space="preserve">1338 </v>
      </c>
      <c r="L77" t="str">
        <f t="shared" ref="L77:L88" si="38">LEFT(E77,6)</f>
        <v>Plat 1</v>
      </c>
      <c r="M77" s="8" t="str">
        <f t="shared" ref="M77:M88" si="39">RIGHT(L77,1)</f>
        <v>1</v>
      </c>
      <c r="N77" t="s">
        <v>3010</v>
      </c>
    </row>
    <row r="78" spans="2:14" x14ac:dyDescent="0.25">
      <c r="B78" s="3" t="s">
        <v>2025</v>
      </c>
      <c r="C78" s="1" t="s">
        <v>3183</v>
      </c>
      <c r="D78" s="2" t="s">
        <v>3053</v>
      </c>
      <c r="E78" s="1" t="s">
        <v>3319</v>
      </c>
      <c r="F78" s="2" t="s">
        <v>1074</v>
      </c>
      <c r="G78" s="1" t="s">
        <v>3184</v>
      </c>
      <c r="H78" s="1" t="s">
        <v>1040</v>
      </c>
      <c r="I78" t="str">
        <f t="shared" si="35"/>
        <v>2N</v>
      </c>
      <c r="J78" t="str">
        <f t="shared" si="36"/>
        <v xml:space="preserve">1343 </v>
      </c>
      <c r="K78" t="str">
        <f t="shared" si="37"/>
        <v>1343½</v>
      </c>
      <c r="L78" t="str">
        <f t="shared" si="38"/>
        <v>Plat 1</v>
      </c>
      <c r="M78" s="8" t="str">
        <f t="shared" si="39"/>
        <v>1</v>
      </c>
      <c r="N78" t="s">
        <v>3010</v>
      </c>
    </row>
    <row r="79" spans="2:14" x14ac:dyDescent="0.25">
      <c r="B79" s="3" t="s">
        <v>2041</v>
      </c>
      <c r="C79" s="1" t="s">
        <v>3185</v>
      </c>
      <c r="D79" s="2" t="s">
        <v>3053</v>
      </c>
      <c r="E79" s="1" t="s">
        <v>3319</v>
      </c>
      <c r="F79" s="2" t="s">
        <v>1039</v>
      </c>
      <c r="G79" s="1" t="s">
        <v>3186</v>
      </c>
      <c r="H79" s="1" t="s">
        <v>1040</v>
      </c>
      <c r="I79" t="str">
        <f t="shared" si="35"/>
        <v>2Y</v>
      </c>
      <c r="J79" t="str">
        <f t="shared" si="36"/>
        <v>1352½</v>
      </c>
      <c r="K79" t="str">
        <f t="shared" si="37"/>
        <v xml:space="preserve">1353 </v>
      </c>
      <c r="L79" t="str">
        <f t="shared" si="38"/>
        <v>Plat 1</v>
      </c>
      <c r="M79" s="8" t="str">
        <f t="shared" si="39"/>
        <v>1</v>
      </c>
      <c r="N79" t="s">
        <v>3010</v>
      </c>
    </row>
    <row r="80" spans="2:14" x14ac:dyDescent="0.25">
      <c r="B80" s="3" t="s">
        <v>2049</v>
      </c>
      <c r="C80" s="1" t="s">
        <v>3187</v>
      </c>
      <c r="D80" s="2" t="s">
        <v>3053</v>
      </c>
      <c r="E80" s="1" t="s">
        <v>3319</v>
      </c>
      <c r="F80" s="2" t="s">
        <v>1074</v>
      </c>
      <c r="G80" s="1" t="s">
        <v>514</v>
      </c>
      <c r="H80" s="1" t="s">
        <v>1040</v>
      </c>
      <c r="I80" t="str">
        <f t="shared" si="35"/>
        <v>2N</v>
      </c>
      <c r="J80" t="str">
        <f t="shared" si="36"/>
        <v>1357½</v>
      </c>
      <c r="K80" t="str">
        <f t="shared" si="37"/>
        <v xml:space="preserve">1358 </v>
      </c>
      <c r="L80" t="str">
        <f t="shared" si="38"/>
        <v>Plat 1</v>
      </c>
      <c r="M80" s="8" t="str">
        <f t="shared" si="39"/>
        <v>1</v>
      </c>
      <c r="N80" t="s">
        <v>3010</v>
      </c>
    </row>
    <row r="81" spans="2:14" x14ac:dyDescent="0.25">
      <c r="B81" s="3" t="s">
        <v>2066</v>
      </c>
      <c r="C81" s="1" t="s">
        <v>3188</v>
      </c>
      <c r="D81" s="2" t="s">
        <v>3053</v>
      </c>
      <c r="E81" s="1" t="s">
        <v>3319</v>
      </c>
      <c r="F81" s="2" t="s">
        <v>1039</v>
      </c>
      <c r="G81" s="1" t="s">
        <v>3189</v>
      </c>
      <c r="H81" s="1" t="s">
        <v>1040</v>
      </c>
      <c r="I81" t="str">
        <f t="shared" si="35"/>
        <v>2Y</v>
      </c>
      <c r="J81" t="str">
        <f t="shared" si="36"/>
        <v xml:space="preserve">1408 </v>
      </c>
      <c r="K81" t="str">
        <f t="shared" si="37"/>
        <v>1408½</v>
      </c>
      <c r="L81" t="str">
        <f t="shared" si="38"/>
        <v>Plat 1</v>
      </c>
      <c r="M81" s="8" t="str">
        <f t="shared" si="39"/>
        <v>1</v>
      </c>
      <c r="N81" t="s">
        <v>3010</v>
      </c>
    </row>
    <row r="82" spans="2:14" x14ac:dyDescent="0.25">
      <c r="B82" s="3" t="s">
        <v>2071</v>
      </c>
      <c r="C82" s="1" t="s">
        <v>3190</v>
      </c>
      <c r="D82" s="2" t="s">
        <v>3053</v>
      </c>
      <c r="E82" s="1" t="s">
        <v>3319</v>
      </c>
      <c r="F82" s="2" t="s">
        <v>1074</v>
      </c>
      <c r="G82" s="1" t="s">
        <v>3191</v>
      </c>
      <c r="H82" s="1" t="s">
        <v>1040</v>
      </c>
      <c r="I82" t="str">
        <f t="shared" si="35"/>
        <v>2N</v>
      </c>
      <c r="J82" t="str">
        <f t="shared" si="36"/>
        <v>1412½</v>
      </c>
      <c r="K82" t="str">
        <f t="shared" si="37"/>
        <v xml:space="preserve">1413 </v>
      </c>
      <c r="L82" t="str">
        <f t="shared" si="38"/>
        <v>Plat 1</v>
      </c>
      <c r="M82" s="8" t="str">
        <f t="shared" si="39"/>
        <v>1</v>
      </c>
      <c r="N82" t="s">
        <v>3010</v>
      </c>
    </row>
    <row r="83" spans="2:14" x14ac:dyDescent="0.25">
      <c r="B83" s="3" t="s">
        <v>2081</v>
      </c>
      <c r="C83" s="1" t="s">
        <v>3192</v>
      </c>
      <c r="D83" s="2" t="s">
        <v>3053</v>
      </c>
      <c r="E83" s="1" t="s">
        <v>3319</v>
      </c>
      <c r="F83" s="2" t="s">
        <v>1039</v>
      </c>
      <c r="G83" s="1" t="s">
        <v>3193</v>
      </c>
      <c r="H83" s="1" t="s">
        <v>1040</v>
      </c>
      <c r="I83" t="str">
        <f t="shared" si="35"/>
        <v>2Y</v>
      </c>
      <c r="J83" t="str">
        <f t="shared" si="36"/>
        <v>1422½</v>
      </c>
      <c r="K83" t="str">
        <f t="shared" si="37"/>
        <v xml:space="preserve">1423 </v>
      </c>
      <c r="L83" t="str">
        <f t="shared" si="38"/>
        <v>Plat 1</v>
      </c>
      <c r="M83" s="8" t="str">
        <f t="shared" si="39"/>
        <v>1</v>
      </c>
      <c r="N83" t="s">
        <v>3010</v>
      </c>
    </row>
    <row r="84" spans="2:14" x14ac:dyDescent="0.25">
      <c r="B84" s="3" t="s">
        <v>2093</v>
      </c>
      <c r="C84" s="1" t="s">
        <v>3194</v>
      </c>
      <c r="D84" s="2" t="s">
        <v>3053</v>
      </c>
      <c r="E84" s="1" t="s">
        <v>3319</v>
      </c>
      <c r="F84" s="2" t="s">
        <v>1074</v>
      </c>
      <c r="G84" s="1" t="s">
        <v>536</v>
      </c>
      <c r="H84" s="1" t="s">
        <v>1040</v>
      </c>
      <c r="I84" t="str">
        <f t="shared" si="35"/>
        <v>2N</v>
      </c>
      <c r="J84" t="str">
        <f t="shared" si="36"/>
        <v>1427½</v>
      </c>
      <c r="K84" t="str">
        <f t="shared" si="37"/>
        <v xml:space="preserve">1428 </v>
      </c>
      <c r="L84" t="str">
        <f t="shared" si="38"/>
        <v>Plat 1</v>
      </c>
      <c r="M84" s="8" t="str">
        <f t="shared" si="39"/>
        <v>1</v>
      </c>
      <c r="N84" t="s">
        <v>3010</v>
      </c>
    </row>
    <row r="85" spans="2:14" x14ac:dyDescent="0.25">
      <c r="B85" s="3" t="s">
        <v>2108</v>
      </c>
      <c r="C85" s="1" t="s">
        <v>3195</v>
      </c>
      <c r="D85" s="2" t="s">
        <v>3053</v>
      </c>
      <c r="E85" s="1" t="s">
        <v>3319</v>
      </c>
      <c r="F85" s="2" t="s">
        <v>1039</v>
      </c>
      <c r="G85" s="1" t="s">
        <v>3196</v>
      </c>
      <c r="H85" s="1" t="s">
        <v>1040</v>
      </c>
      <c r="I85" t="str">
        <f t="shared" si="35"/>
        <v>2Y</v>
      </c>
      <c r="J85" t="str">
        <f t="shared" si="36"/>
        <v xml:space="preserve">1438 </v>
      </c>
      <c r="K85" t="str">
        <f t="shared" si="37"/>
        <v>1438½</v>
      </c>
      <c r="L85" t="str">
        <f t="shared" si="38"/>
        <v>Plat 1</v>
      </c>
      <c r="M85" s="8" t="str">
        <f t="shared" si="39"/>
        <v>1</v>
      </c>
      <c r="N85" t="s">
        <v>3010</v>
      </c>
    </row>
    <row r="86" spans="2:14" x14ac:dyDescent="0.25">
      <c r="B86" s="3" t="s">
        <v>2116</v>
      </c>
      <c r="C86" s="1" t="s">
        <v>3197</v>
      </c>
      <c r="D86" s="2" t="s">
        <v>3053</v>
      </c>
      <c r="E86" s="1" t="s">
        <v>3319</v>
      </c>
      <c r="F86" s="2" t="s">
        <v>1074</v>
      </c>
      <c r="G86" s="1" t="s">
        <v>3198</v>
      </c>
      <c r="H86" s="1" t="s">
        <v>1040</v>
      </c>
      <c r="I86" t="str">
        <f t="shared" si="35"/>
        <v>2N</v>
      </c>
      <c r="J86" t="str">
        <f t="shared" si="36"/>
        <v>1442½</v>
      </c>
      <c r="K86" t="str">
        <f t="shared" si="37"/>
        <v xml:space="preserve">1443 </v>
      </c>
      <c r="L86" t="str">
        <f t="shared" si="38"/>
        <v>Plat 1</v>
      </c>
      <c r="M86" s="8" t="str">
        <f t="shared" si="39"/>
        <v>1</v>
      </c>
      <c r="N86" t="s">
        <v>3010</v>
      </c>
    </row>
    <row r="87" spans="2:14" x14ac:dyDescent="0.25">
      <c r="B87" s="3" t="s">
        <v>2128</v>
      </c>
      <c r="C87" s="1" t="s">
        <v>3199</v>
      </c>
      <c r="D87" s="2" t="s">
        <v>3053</v>
      </c>
      <c r="E87" s="1" t="s">
        <v>3319</v>
      </c>
      <c r="F87" s="2" t="s">
        <v>1039</v>
      </c>
      <c r="G87" s="1" t="s">
        <v>3200</v>
      </c>
      <c r="H87" s="1" t="s">
        <v>1040</v>
      </c>
      <c r="I87" t="str">
        <f t="shared" si="35"/>
        <v>2Y</v>
      </c>
      <c r="J87" t="str">
        <f t="shared" si="36"/>
        <v>1452½</v>
      </c>
      <c r="K87" t="str">
        <f t="shared" si="37"/>
        <v xml:space="preserve">1453 </v>
      </c>
      <c r="L87" t="str">
        <f t="shared" si="38"/>
        <v>Plat 1</v>
      </c>
      <c r="M87" s="8" t="str">
        <f t="shared" si="39"/>
        <v>1</v>
      </c>
      <c r="N87" t="s">
        <v>3010</v>
      </c>
    </row>
    <row r="88" spans="2:14" x14ac:dyDescent="0.25">
      <c r="B88" s="3" t="s">
        <v>2135</v>
      </c>
      <c r="C88" s="1" t="s">
        <v>562</v>
      </c>
      <c r="D88" s="2" t="s">
        <v>3053</v>
      </c>
      <c r="E88" s="1" t="s">
        <v>3319</v>
      </c>
      <c r="F88" s="2" t="s">
        <v>1074</v>
      </c>
      <c r="G88" s="1" t="s">
        <v>2139</v>
      </c>
      <c r="H88" s="1" t="s">
        <v>1040</v>
      </c>
      <c r="I88" t="str">
        <f t="shared" si="35"/>
        <v>2N</v>
      </c>
      <c r="J88" t="str">
        <f t="shared" si="36"/>
        <v xml:space="preserve">1458 </v>
      </c>
      <c r="K88" t="str">
        <f t="shared" si="37"/>
        <v>1458½</v>
      </c>
      <c r="L88" t="str">
        <f t="shared" si="38"/>
        <v>Plat 1</v>
      </c>
      <c r="M88" s="8" t="str">
        <f t="shared" si="39"/>
        <v>1</v>
      </c>
      <c r="N88" t="s">
        <v>3010</v>
      </c>
    </row>
    <row r="89" spans="2:14" x14ac:dyDescent="0.25">
      <c r="B89" s="3" t="s">
        <v>2147</v>
      </c>
      <c r="C89" s="1" t="s">
        <v>3201</v>
      </c>
      <c r="D89" s="2" t="s">
        <v>3053</v>
      </c>
      <c r="E89" s="1" t="s">
        <v>3319</v>
      </c>
      <c r="F89" s="2" t="s">
        <v>1039</v>
      </c>
      <c r="G89" s="1" t="s">
        <v>3202</v>
      </c>
      <c r="H89" s="1" t="s">
        <v>1040</v>
      </c>
      <c r="I89" t="str">
        <f t="shared" ref="I89:I101" si="40">LEFT(B89,2)</f>
        <v>2Y</v>
      </c>
      <c r="J89" t="str">
        <f t="shared" ref="J89:J101" si="41">LEFT(C89,5)</f>
        <v xml:space="preserve">1507 </v>
      </c>
      <c r="K89" t="str">
        <f t="shared" ref="K89:K101" si="42">LEFT(G89,5)</f>
        <v>1507½</v>
      </c>
      <c r="L89" t="str">
        <f t="shared" ref="L89:L101" si="43">LEFT(E89,6)</f>
        <v>Plat 1</v>
      </c>
      <c r="M89" s="8" t="str">
        <f t="shared" ref="M89:M101" si="44">RIGHT(L89,1)</f>
        <v>1</v>
      </c>
      <c r="N89" t="s">
        <v>3010</v>
      </c>
    </row>
    <row r="90" spans="2:14" x14ac:dyDescent="0.25">
      <c r="B90" s="3" t="s">
        <v>1267</v>
      </c>
      <c r="C90" s="1" t="s">
        <v>3203</v>
      </c>
      <c r="D90" s="2" t="s">
        <v>3053</v>
      </c>
      <c r="E90" s="1" t="s">
        <v>3319</v>
      </c>
      <c r="F90" s="2" t="s">
        <v>1074</v>
      </c>
      <c r="G90" s="1" t="s">
        <v>3204</v>
      </c>
      <c r="H90" s="1" t="s">
        <v>1040</v>
      </c>
      <c r="I90" t="str">
        <f t="shared" si="40"/>
        <v>2N</v>
      </c>
      <c r="J90" t="str">
        <f t="shared" si="41"/>
        <v xml:space="preserve">1513 </v>
      </c>
      <c r="K90" t="str">
        <f t="shared" si="42"/>
        <v>1513½</v>
      </c>
      <c r="L90" t="str">
        <f t="shared" si="43"/>
        <v>Plat 1</v>
      </c>
      <c r="M90" s="8" t="str">
        <f t="shared" si="44"/>
        <v>1</v>
      </c>
      <c r="N90" t="s">
        <v>3010</v>
      </c>
    </row>
    <row r="91" spans="2:14" x14ac:dyDescent="0.25">
      <c r="B91" s="3" t="s">
        <v>2163</v>
      </c>
      <c r="C91" s="1" t="s">
        <v>3205</v>
      </c>
      <c r="D91" s="2" t="s">
        <v>3053</v>
      </c>
      <c r="E91" s="1" t="s">
        <v>3319</v>
      </c>
      <c r="F91" s="2" t="s">
        <v>1039</v>
      </c>
      <c r="G91" s="1" t="s">
        <v>3206</v>
      </c>
      <c r="H91" s="1" t="s">
        <v>1040</v>
      </c>
      <c r="I91" t="str">
        <f t="shared" si="40"/>
        <v>2Y</v>
      </c>
      <c r="J91" t="str">
        <f t="shared" si="41"/>
        <v>1522½</v>
      </c>
      <c r="K91" t="str">
        <f t="shared" si="42"/>
        <v xml:space="preserve">1523 </v>
      </c>
      <c r="L91" t="str">
        <f t="shared" si="43"/>
        <v>Plat 1</v>
      </c>
      <c r="M91" s="8" t="str">
        <f t="shared" si="44"/>
        <v>1</v>
      </c>
      <c r="N91" t="s">
        <v>3010</v>
      </c>
    </row>
    <row r="92" spans="2:14" x14ac:dyDescent="0.25">
      <c r="B92" s="3" t="s">
        <v>2173</v>
      </c>
      <c r="C92" s="1" t="s">
        <v>3207</v>
      </c>
      <c r="D92" s="2" t="s">
        <v>3053</v>
      </c>
      <c r="E92" s="1" t="s">
        <v>3319</v>
      </c>
      <c r="F92" s="2" t="s">
        <v>1074</v>
      </c>
      <c r="G92" s="1" t="s">
        <v>584</v>
      </c>
      <c r="H92" s="1" t="s">
        <v>1040</v>
      </c>
      <c r="I92" t="str">
        <f t="shared" si="40"/>
        <v>2N</v>
      </c>
      <c r="J92" t="str">
        <f t="shared" si="41"/>
        <v>1527½</v>
      </c>
      <c r="K92" t="str">
        <f t="shared" si="42"/>
        <v xml:space="preserve">1528 </v>
      </c>
      <c r="L92" t="str">
        <f t="shared" si="43"/>
        <v>Plat 1</v>
      </c>
      <c r="M92" s="8" t="str">
        <f t="shared" si="44"/>
        <v>1</v>
      </c>
      <c r="N92" t="s">
        <v>3010</v>
      </c>
    </row>
    <row r="93" spans="2:14" x14ac:dyDescent="0.25">
      <c r="B93" s="3" t="s">
        <v>2180</v>
      </c>
      <c r="C93" s="1" t="s">
        <v>3208</v>
      </c>
      <c r="D93" s="2" t="s">
        <v>3053</v>
      </c>
      <c r="E93" s="1" t="s">
        <v>3319</v>
      </c>
      <c r="F93" s="2" t="s">
        <v>1039</v>
      </c>
      <c r="G93" s="1" t="s">
        <v>3209</v>
      </c>
      <c r="H93" s="1" t="s">
        <v>1040</v>
      </c>
      <c r="I93" t="str">
        <f t="shared" si="40"/>
        <v>2Y</v>
      </c>
      <c r="J93" t="str">
        <f t="shared" si="41"/>
        <v>1533½</v>
      </c>
      <c r="K93" t="str">
        <f t="shared" si="42"/>
        <v xml:space="preserve">1534 </v>
      </c>
      <c r="L93" t="str">
        <f t="shared" si="43"/>
        <v>Plat 1</v>
      </c>
      <c r="M93" s="8" t="str">
        <f t="shared" si="44"/>
        <v>1</v>
      </c>
      <c r="N93" t="s">
        <v>3010</v>
      </c>
    </row>
    <row r="94" spans="2:14" x14ac:dyDescent="0.25">
      <c r="B94" s="3" t="s">
        <v>2194</v>
      </c>
      <c r="C94" s="1" t="s">
        <v>3210</v>
      </c>
      <c r="D94" s="2" t="s">
        <v>3053</v>
      </c>
      <c r="E94" s="1" t="s">
        <v>3319</v>
      </c>
      <c r="F94" s="2" t="s">
        <v>1074</v>
      </c>
      <c r="G94" s="1" t="s">
        <v>3211</v>
      </c>
      <c r="H94" s="1" t="s">
        <v>1040</v>
      </c>
      <c r="I94" t="str">
        <f t="shared" si="40"/>
        <v>2N</v>
      </c>
      <c r="J94" t="str">
        <f t="shared" si="41"/>
        <v>1542½</v>
      </c>
      <c r="K94" t="str">
        <f t="shared" si="42"/>
        <v xml:space="preserve">1543 </v>
      </c>
      <c r="L94" t="str">
        <f t="shared" si="43"/>
        <v>Plat 1</v>
      </c>
      <c r="M94" s="8" t="str">
        <f t="shared" si="44"/>
        <v>1</v>
      </c>
      <c r="N94" t="s">
        <v>3010</v>
      </c>
    </row>
    <row r="95" spans="2:14" x14ac:dyDescent="0.25">
      <c r="B95" s="3" t="s">
        <v>2204</v>
      </c>
      <c r="C95" s="1" t="s">
        <v>3212</v>
      </c>
      <c r="D95" s="2" t="s">
        <v>3053</v>
      </c>
      <c r="E95" s="1" t="s">
        <v>3319</v>
      </c>
      <c r="F95" s="2" t="s">
        <v>1039</v>
      </c>
      <c r="G95" s="1" t="s">
        <v>3213</v>
      </c>
      <c r="H95" s="1" t="s">
        <v>1040</v>
      </c>
      <c r="I95" t="str">
        <f t="shared" si="40"/>
        <v>2Y</v>
      </c>
      <c r="J95" t="str">
        <f t="shared" si="41"/>
        <v>1552½</v>
      </c>
      <c r="K95" t="str">
        <f t="shared" si="42"/>
        <v xml:space="preserve">1553 </v>
      </c>
      <c r="L95" t="str">
        <f t="shared" si="43"/>
        <v>Plat 1</v>
      </c>
      <c r="M95" s="8" t="str">
        <f t="shared" si="44"/>
        <v>1</v>
      </c>
      <c r="N95" t="s">
        <v>3010</v>
      </c>
    </row>
    <row r="96" spans="2:14" x14ac:dyDescent="0.25">
      <c r="B96" s="3" t="s">
        <v>2208</v>
      </c>
      <c r="C96" s="1" t="s">
        <v>3214</v>
      </c>
      <c r="D96" s="2" t="s">
        <v>3053</v>
      </c>
      <c r="E96" s="1" t="s">
        <v>3319</v>
      </c>
      <c r="F96" s="2" t="s">
        <v>1074</v>
      </c>
      <c r="G96" s="1" t="s">
        <v>610</v>
      </c>
      <c r="H96" s="1" t="s">
        <v>1040</v>
      </c>
      <c r="I96" t="str">
        <f t="shared" si="40"/>
        <v>2N</v>
      </c>
      <c r="J96" t="str">
        <f t="shared" si="41"/>
        <v>1557½</v>
      </c>
      <c r="K96" t="str">
        <f t="shared" si="42"/>
        <v xml:space="preserve">1558 </v>
      </c>
      <c r="L96" t="str">
        <f t="shared" si="43"/>
        <v>Plat 1</v>
      </c>
      <c r="M96" s="8" t="str">
        <f t="shared" si="44"/>
        <v>1</v>
      </c>
      <c r="N96" t="s">
        <v>3010</v>
      </c>
    </row>
    <row r="97" spans="2:14" x14ac:dyDescent="0.25">
      <c r="B97" s="3" t="s">
        <v>2218</v>
      </c>
      <c r="C97" s="1" t="s">
        <v>3215</v>
      </c>
      <c r="D97" s="2" t="s">
        <v>3053</v>
      </c>
      <c r="E97" s="1" t="s">
        <v>3319</v>
      </c>
      <c r="F97" s="2" t="s">
        <v>1039</v>
      </c>
      <c r="G97" s="1" t="s">
        <v>3216</v>
      </c>
      <c r="H97" s="1" t="s">
        <v>1040</v>
      </c>
      <c r="I97" t="str">
        <f t="shared" si="40"/>
        <v>2Y</v>
      </c>
      <c r="J97" t="str">
        <f t="shared" si="41"/>
        <v>1607½</v>
      </c>
      <c r="K97" t="str">
        <f t="shared" si="42"/>
        <v xml:space="preserve">1608 </v>
      </c>
      <c r="L97" t="str">
        <f t="shared" si="43"/>
        <v>Plat 1</v>
      </c>
      <c r="M97" s="8" t="str">
        <f t="shared" si="44"/>
        <v>1</v>
      </c>
      <c r="N97" t="s">
        <v>3010</v>
      </c>
    </row>
    <row r="98" spans="2:14" x14ac:dyDescent="0.25">
      <c r="B98" s="3" t="s">
        <v>2231</v>
      </c>
      <c r="C98" s="1" t="s">
        <v>3217</v>
      </c>
      <c r="D98" s="2" t="s">
        <v>3053</v>
      </c>
      <c r="E98" s="1" t="s">
        <v>3319</v>
      </c>
      <c r="F98" s="2" t="s">
        <v>1074</v>
      </c>
      <c r="G98" s="1" t="s">
        <v>3218</v>
      </c>
      <c r="H98" s="1" t="s">
        <v>1040</v>
      </c>
      <c r="I98" t="str">
        <f t="shared" si="40"/>
        <v>2N</v>
      </c>
      <c r="J98" t="str">
        <f t="shared" si="41"/>
        <v>1612½</v>
      </c>
      <c r="K98" t="str">
        <f t="shared" si="42"/>
        <v xml:space="preserve">1613 </v>
      </c>
      <c r="L98" t="str">
        <f t="shared" si="43"/>
        <v>Plat 1</v>
      </c>
      <c r="M98" s="8" t="str">
        <f t="shared" si="44"/>
        <v>1</v>
      </c>
      <c r="N98" t="s">
        <v>3010</v>
      </c>
    </row>
    <row r="99" spans="2:14" x14ac:dyDescent="0.25">
      <c r="B99" s="3" t="s">
        <v>2242</v>
      </c>
      <c r="C99" s="1" t="s">
        <v>2251</v>
      </c>
      <c r="D99" s="2" t="s">
        <v>3053</v>
      </c>
      <c r="E99" s="1" t="s">
        <v>3319</v>
      </c>
      <c r="F99" s="2" t="s">
        <v>1062</v>
      </c>
      <c r="G99" s="1" t="s">
        <v>624</v>
      </c>
      <c r="H99" s="1" t="s">
        <v>1040</v>
      </c>
      <c r="I99" t="str">
        <f t="shared" si="40"/>
        <v>2G</v>
      </c>
      <c r="J99" t="str">
        <f t="shared" si="41"/>
        <v>1616½</v>
      </c>
      <c r="K99" t="str">
        <f t="shared" si="42"/>
        <v xml:space="preserve">1617 </v>
      </c>
      <c r="L99" t="str">
        <f t="shared" si="43"/>
        <v>Plat 1</v>
      </c>
      <c r="M99" s="8" t="str">
        <f t="shared" si="44"/>
        <v>1</v>
      </c>
      <c r="N99" t="s">
        <v>3010</v>
      </c>
    </row>
    <row r="100" spans="2:14" x14ac:dyDescent="0.25">
      <c r="B100" s="3" t="s">
        <v>2246</v>
      </c>
      <c r="C100" s="1" t="s">
        <v>3219</v>
      </c>
      <c r="D100" s="2" t="s">
        <v>3053</v>
      </c>
      <c r="E100" s="1" t="s">
        <v>3319</v>
      </c>
      <c r="F100" s="2" t="s">
        <v>1039</v>
      </c>
      <c r="G100" s="1" t="s">
        <v>3220</v>
      </c>
      <c r="H100" s="1" t="s">
        <v>1040</v>
      </c>
      <c r="I100" t="str">
        <f t="shared" si="40"/>
        <v>2Y</v>
      </c>
      <c r="J100" t="str">
        <f t="shared" si="41"/>
        <v>1622½</v>
      </c>
      <c r="K100" t="str">
        <f t="shared" si="42"/>
        <v xml:space="preserve">1623 </v>
      </c>
      <c r="L100" t="str">
        <f t="shared" si="43"/>
        <v>Plat 1</v>
      </c>
      <c r="M100" s="8" t="str">
        <f t="shared" si="44"/>
        <v>1</v>
      </c>
      <c r="N100" t="s">
        <v>3010</v>
      </c>
    </row>
    <row r="101" spans="2:14" x14ac:dyDescent="0.25">
      <c r="B101" s="3" t="s">
        <v>2256</v>
      </c>
      <c r="C101" s="1" t="s">
        <v>3221</v>
      </c>
      <c r="D101" s="2" t="s">
        <v>3053</v>
      </c>
      <c r="E101" s="1" t="s">
        <v>3319</v>
      </c>
      <c r="F101" s="2" t="s">
        <v>1074</v>
      </c>
      <c r="G101" s="1" t="s">
        <v>631</v>
      </c>
      <c r="H101" s="1" t="s">
        <v>1040</v>
      </c>
      <c r="I101" t="str">
        <f t="shared" si="40"/>
        <v>2N</v>
      </c>
      <c r="J101" t="str">
        <f t="shared" si="41"/>
        <v>1627½</v>
      </c>
      <c r="K101" t="str">
        <f t="shared" si="42"/>
        <v xml:space="preserve">1628 </v>
      </c>
      <c r="L101" t="str">
        <f t="shared" si="43"/>
        <v>Plat 1</v>
      </c>
      <c r="M101" s="8" t="str">
        <f t="shared" si="44"/>
        <v>1</v>
      </c>
      <c r="N101" t="s">
        <v>3010</v>
      </c>
    </row>
    <row r="102" spans="2:14" x14ac:dyDescent="0.25">
      <c r="B102" s="3" t="s">
        <v>2276</v>
      </c>
      <c r="C102" s="1" t="s">
        <v>3222</v>
      </c>
      <c r="D102" s="2" t="s">
        <v>3053</v>
      </c>
      <c r="E102" s="1" t="s">
        <v>3319</v>
      </c>
      <c r="F102" s="2" t="s">
        <v>1039</v>
      </c>
      <c r="G102" s="1" t="s">
        <v>3223</v>
      </c>
      <c r="H102" s="1" t="s">
        <v>1040</v>
      </c>
      <c r="I102" t="str">
        <f t="shared" ref="I102:I116" si="45">LEFT(B102,2)</f>
        <v>2Y</v>
      </c>
      <c r="J102" t="str">
        <f t="shared" ref="J102:J116" si="46">LEFT(C102,5)</f>
        <v xml:space="preserve">1638 </v>
      </c>
      <c r="K102" t="str">
        <f t="shared" ref="K102:K116" si="47">LEFT(G102,5)</f>
        <v>1638½</v>
      </c>
      <c r="L102" t="str">
        <f t="shared" ref="L102:L116" si="48">LEFT(E102,6)</f>
        <v>Plat 1</v>
      </c>
      <c r="M102" s="8" t="str">
        <f t="shared" ref="M102:M116" si="49">RIGHT(L102,1)</f>
        <v>1</v>
      </c>
      <c r="N102" t="s">
        <v>3010</v>
      </c>
    </row>
    <row r="103" spans="2:14" x14ac:dyDescent="0.25">
      <c r="B103" s="3" t="s">
        <v>2290</v>
      </c>
      <c r="C103" s="1" t="s">
        <v>2300</v>
      </c>
      <c r="D103" s="2" t="s">
        <v>3053</v>
      </c>
      <c r="E103" s="1" t="s">
        <v>3319</v>
      </c>
      <c r="F103" s="2" t="s">
        <v>1074</v>
      </c>
      <c r="G103" s="1" t="s">
        <v>3224</v>
      </c>
      <c r="H103" s="1" t="s">
        <v>1040</v>
      </c>
      <c r="I103" t="str">
        <f t="shared" si="45"/>
        <v>2N</v>
      </c>
      <c r="J103" t="str">
        <f t="shared" si="46"/>
        <v>1642½</v>
      </c>
      <c r="K103" t="str">
        <f t="shared" si="47"/>
        <v xml:space="preserve">1643 </v>
      </c>
      <c r="L103" t="str">
        <f t="shared" si="48"/>
        <v>Plat 1</v>
      </c>
      <c r="M103" s="8" t="str">
        <f t="shared" si="49"/>
        <v>1</v>
      </c>
      <c r="N103" t="s">
        <v>3010</v>
      </c>
    </row>
    <row r="104" spans="2:14" x14ac:dyDescent="0.25">
      <c r="B104" s="3" t="s">
        <v>2296</v>
      </c>
      <c r="C104" s="1" t="s">
        <v>2312</v>
      </c>
      <c r="D104" s="2" t="s">
        <v>3053</v>
      </c>
      <c r="E104" s="1" t="s">
        <v>3319</v>
      </c>
      <c r="F104" s="2" t="s">
        <v>1062</v>
      </c>
      <c r="G104" s="1" t="s">
        <v>2307</v>
      </c>
      <c r="H104" s="1" t="s">
        <v>1040</v>
      </c>
      <c r="I104" t="str">
        <f t="shared" si="45"/>
        <v>2G</v>
      </c>
      <c r="J104" t="str">
        <f t="shared" si="46"/>
        <v>1646½</v>
      </c>
      <c r="K104" t="str">
        <f t="shared" si="47"/>
        <v xml:space="preserve">1647 </v>
      </c>
      <c r="L104" t="str">
        <f t="shared" si="48"/>
        <v>Plat 1</v>
      </c>
      <c r="M104" s="8" t="str">
        <f t="shared" si="49"/>
        <v>1</v>
      </c>
      <c r="N104" t="s">
        <v>3010</v>
      </c>
    </row>
    <row r="105" spans="2:14" x14ac:dyDescent="0.25">
      <c r="B105" s="3" t="s">
        <v>2304</v>
      </c>
      <c r="C105" s="1" t="s">
        <v>3225</v>
      </c>
      <c r="D105" s="2" t="s">
        <v>3053</v>
      </c>
      <c r="E105" s="1" t="s">
        <v>3319</v>
      </c>
      <c r="F105" s="2" t="s">
        <v>1039</v>
      </c>
      <c r="G105" s="1" t="s">
        <v>3226</v>
      </c>
      <c r="H105" s="1" t="s">
        <v>1040</v>
      </c>
      <c r="I105" t="str">
        <f t="shared" si="45"/>
        <v>2Y</v>
      </c>
      <c r="J105" t="str">
        <f t="shared" si="46"/>
        <v>1652½</v>
      </c>
      <c r="K105" t="str">
        <f t="shared" si="47"/>
        <v xml:space="preserve">1653 </v>
      </c>
      <c r="L105" t="str">
        <f t="shared" si="48"/>
        <v>Plat 1</v>
      </c>
      <c r="M105" s="8" t="str">
        <f t="shared" si="49"/>
        <v>1</v>
      </c>
      <c r="N105" t="s">
        <v>3010</v>
      </c>
    </row>
    <row r="106" spans="2:14" x14ac:dyDescent="0.25">
      <c r="B106" s="3" t="s">
        <v>2316</v>
      </c>
      <c r="C106" s="1" t="s">
        <v>3227</v>
      </c>
      <c r="D106" s="2" t="s">
        <v>3053</v>
      </c>
      <c r="E106" s="1" t="s">
        <v>3319</v>
      </c>
      <c r="F106" s="2" t="s">
        <v>1074</v>
      </c>
      <c r="G106" s="1" t="s">
        <v>667</v>
      </c>
      <c r="H106" s="1" t="s">
        <v>1040</v>
      </c>
      <c r="I106" t="str">
        <f t="shared" si="45"/>
        <v>2N</v>
      </c>
      <c r="J106" t="str">
        <f t="shared" si="46"/>
        <v>1657½</v>
      </c>
      <c r="K106" t="str">
        <f t="shared" si="47"/>
        <v xml:space="preserve">1658 </v>
      </c>
      <c r="L106" t="str">
        <f t="shared" si="48"/>
        <v>Plat 1</v>
      </c>
      <c r="M106" s="8" t="str">
        <f t="shared" si="49"/>
        <v>1</v>
      </c>
      <c r="N106" t="s">
        <v>3010</v>
      </c>
    </row>
    <row r="107" spans="2:14" x14ac:dyDescent="0.25">
      <c r="B107" s="3" t="s">
        <v>2332</v>
      </c>
      <c r="C107" s="1" t="s">
        <v>3228</v>
      </c>
      <c r="D107" s="2" t="s">
        <v>3053</v>
      </c>
      <c r="E107" s="1" t="s">
        <v>3319</v>
      </c>
      <c r="F107" s="2" t="s">
        <v>1039</v>
      </c>
      <c r="G107" s="1" t="s">
        <v>3229</v>
      </c>
      <c r="H107" s="1" t="s">
        <v>1040</v>
      </c>
      <c r="I107" t="str">
        <f t="shared" si="45"/>
        <v>2Y</v>
      </c>
      <c r="J107" t="str">
        <f t="shared" si="46"/>
        <v>1707½</v>
      </c>
      <c r="K107" t="str">
        <f t="shared" si="47"/>
        <v xml:space="preserve">1708 </v>
      </c>
      <c r="L107" t="str">
        <f t="shared" si="48"/>
        <v>Plat 1</v>
      </c>
      <c r="M107" s="8" t="str">
        <f t="shared" si="49"/>
        <v>1</v>
      </c>
      <c r="N107" t="s">
        <v>3010</v>
      </c>
    </row>
    <row r="108" spans="2:14" x14ac:dyDescent="0.25">
      <c r="B108" s="3" t="s">
        <v>2345</v>
      </c>
      <c r="C108" s="1" t="s">
        <v>2361</v>
      </c>
      <c r="D108" s="2" t="s">
        <v>3053</v>
      </c>
      <c r="E108" s="1" t="s">
        <v>3319</v>
      </c>
      <c r="F108" s="2" t="s">
        <v>1074</v>
      </c>
      <c r="G108" s="1" t="s">
        <v>3230</v>
      </c>
      <c r="H108" s="1" t="s">
        <v>1040</v>
      </c>
      <c r="I108" t="str">
        <f t="shared" si="45"/>
        <v>2N</v>
      </c>
      <c r="J108" t="str">
        <f t="shared" si="46"/>
        <v>1712½</v>
      </c>
      <c r="K108" t="str">
        <f t="shared" si="47"/>
        <v xml:space="preserve">1713 </v>
      </c>
      <c r="L108" t="str">
        <f t="shared" si="48"/>
        <v>Plat 1</v>
      </c>
      <c r="M108" s="8" t="str">
        <f t="shared" si="49"/>
        <v>1</v>
      </c>
      <c r="N108" t="s">
        <v>3010</v>
      </c>
    </row>
    <row r="109" spans="2:14" x14ac:dyDescent="0.25">
      <c r="B109" s="3" t="s">
        <v>2357</v>
      </c>
      <c r="C109" s="1" t="s">
        <v>2374</v>
      </c>
      <c r="D109" s="2" t="s">
        <v>3053</v>
      </c>
      <c r="E109" s="1" t="s">
        <v>3319</v>
      </c>
      <c r="F109" s="2" t="s">
        <v>1062</v>
      </c>
      <c r="G109" s="1" t="s">
        <v>682</v>
      </c>
      <c r="H109" s="1" t="s">
        <v>1040</v>
      </c>
      <c r="I109" t="str">
        <f t="shared" si="45"/>
        <v>2G</v>
      </c>
      <c r="J109" t="str">
        <f t="shared" si="46"/>
        <v>1716½</v>
      </c>
      <c r="K109" t="str">
        <f t="shared" si="47"/>
        <v xml:space="preserve">1717 </v>
      </c>
      <c r="L109" t="str">
        <f t="shared" si="48"/>
        <v>Plat 1</v>
      </c>
      <c r="M109" s="8" t="str">
        <f t="shared" si="49"/>
        <v>1</v>
      </c>
      <c r="N109" t="s">
        <v>3010</v>
      </c>
    </row>
    <row r="110" spans="2:14" x14ac:dyDescent="0.25">
      <c r="B110" s="3" t="s">
        <v>2367</v>
      </c>
      <c r="C110" s="1" t="s">
        <v>3231</v>
      </c>
      <c r="D110" s="2" t="s">
        <v>3053</v>
      </c>
      <c r="E110" s="1" t="s">
        <v>3319</v>
      </c>
      <c r="F110" s="2" t="s">
        <v>1039</v>
      </c>
      <c r="G110" s="1" t="s">
        <v>3232</v>
      </c>
      <c r="H110" s="1" t="s">
        <v>1040</v>
      </c>
      <c r="I110" t="str">
        <f t="shared" si="45"/>
        <v>2Y</v>
      </c>
      <c r="J110" t="str">
        <f t="shared" si="46"/>
        <v>1722½</v>
      </c>
      <c r="K110" t="str">
        <f t="shared" si="47"/>
        <v xml:space="preserve">1723 </v>
      </c>
      <c r="L110" t="str">
        <f t="shared" si="48"/>
        <v>Plat 1</v>
      </c>
      <c r="M110" s="8" t="str">
        <f t="shared" si="49"/>
        <v>1</v>
      </c>
      <c r="N110" t="s">
        <v>3010</v>
      </c>
    </row>
    <row r="111" spans="2:14" x14ac:dyDescent="0.25">
      <c r="B111" s="3" t="s">
        <v>2382</v>
      </c>
      <c r="C111" s="1" t="s">
        <v>3233</v>
      </c>
      <c r="D111" s="2" t="s">
        <v>3053</v>
      </c>
      <c r="E111" s="1" t="s">
        <v>3319</v>
      </c>
      <c r="F111" s="2" t="s">
        <v>1074</v>
      </c>
      <c r="G111" s="1" t="s">
        <v>689</v>
      </c>
      <c r="H111" s="1" t="s">
        <v>1040</v>
      </c>
      <c r="I111" t="str">
        <f t="shared" si="45"/>
        <v>2N</v>
      </c>
      <c r="J111" t="str">
        <f t="shared" si="46"/>
        <v>1727½</v>
      </c>
      <c r="K111" t="str">
        <f t="shared" si="47"/>
        <v xml:space="preserve">1728 </v>
      </c>
      <c r="L111" t="str">
        <f t="shared" si="48"/>
        <v>Plat 1</v>
      </c>
      <c r="M111" s="8" t="str">
        <f t="shared" si="49"/>
        <v>1</v>
      </c>
      <c r="N111" t="s">
        <v>3010</v>
      </c>
    </row>
    <row r="112" spans="2:14" x14ac:dyDescent="0.25">
      <c r="B112" s="3" t="s">
        <v>2404</v>
      </c>
      <c r="C112" s="1" t="s">
        <v>3234</v>
      </c>
      <c r="D112" s="2" t="s">
        <v>3053</v>
      </c>
      <c r="E112" s="1" t="s">
        <v>3319</v>
      </c>
      <c r="F112" s="2" t="s">
        <v>1039</v>
      </c>
      <c r="G112" s="1" t="s">
        <v>3235</v>
      </c>
      <c r="H112" s="1" t="s">
        <v>1040</v>
      </c>
      <c r="I112" t="str">
        <f t="shared" si="45"/>
        <v>2Y</v>
      </c>
      <c r="J112" t="str">
        <f t="shared" si="46"/>
        <v>1737½</v>
      </c>
      <c r="K112" t="str">
        <f t="shared" si="47"/>
        <v xml:space="preserve">1738 </v>
      </c>
      <c r="L112" t="str">
        <f t="shared" si="48"/>
        <v>Plat 1</v>
      </c>
      <c r="M112" s="8" t="str">
        <f t="shared" si="49"/>
        <v>1</v>
      </c>
      <c r="N112" t="s">
        <v>3010</v>
      </c>
    </row>
    <row r="113" spans="2:14" x14ac:dyDescent="0.25">
      <c r="B113" s="3" t="s">
        <v>2416</v>
      </c>
      <c r="C113" s="1" t="s">
        <v>2432</v>
      </c>
      <c r="D113" s="2" t="s">
        <v>3053</v>
      </c>
      <c r="E113" s="1" t="s">
        <v>3319</v>
      </c>
      <c r="F113" s="2" t="s">
        <v>1074</v>
      </c>
      <c r="G113" s="1" t="s">
        <v>3236</v>
      </c>
      <c r="H113" s="1" t="s">
        <v>1040</v>
      </c>
      <c r="I113" t="str">
        <f t="shared" si="45"/>
        <v>2N</v>
      </c>
      <c r="J113" t="str">
        <f t="shared" si="46"/>
        <v>1742½</v>
      </c>
      <c r="K113" t="str">
        <f t="shared" si="47"/>
        <v xml:space="preserve">1743 </v>
      </c>
      <c r="L113" t="str">
        <f t="shared" si="48"/>
        <v>Plat 1</v>
      </c>
      <c r="M113" s="8" t="str">
        <f t="shared" si="49"/>
        <v>1</v>
      </c>
      <c r="N113" t="s">
        <v>3010</v>
      </c>
    </row>
    <row r="114" spans="2:14" x14ac:dyDescent="0.25">
      <c r="B114" s="3" t="s">
        <v>2428</v>
      </c>
      <c r="C114" s="1" t="s">
        <v>2445</v>
      </c>
      <c r="D114" s="2" t="s">
        <v>3053</v>
      </c>
      <c r="E114" s="1" t="s">
        <v>3319</v>
      </c>
      <c r="F114" s="2" t="s">
        <v>1062</v>
      </c>
      <c r="G114" s="1" t="s">
        <v>2443</v>
      </c>
      <c r="H114" s="1" t="s">
        <v>1040</v>
      </c>
      <c r="I114" t="str">
        <f t="shared" si="45"/>
        <v>2G</v>
      </c>
      <c r="J114" t="str">
        <f t="shared" si="46"/>
        <v>1746½</v>
      </c>
      <c r="K114" t="str">
        <f t="shared" si="47"/>
        <v xml:space="preserve">1747 </v>
      </c>
      <c r="L114" t="str">
        <f t="shared" si="48"/>
        <v>Plat 1</v>
      </c>
      <c r="M114" s="8" t="str">
        <f t="shared" si="49"/>
        <v>1</v>
      </c>
      <c r="N114" t="s">
        <v>3010</v>
      </c>
    </row>
    <row r="115" spans="2:14" x14ac:dyDescent="0.25">
      <c r="B115" s="3" t="s">
        <v>2436</v>
      </c>
      <c r="C115" s="1" t="s">
        <v>3237</v>
      </c>
      <c r="D115" s="2" t="s">
        <v>3053</v>
      </c>
      <c r="E115" s="1" t="s">
        <v>3319</v>
      </c>
      <c r="F115" s="2" t="s">
        <v>1039</v>
      </c>
      <c r="G115" s="1" t="s">
        <v>3238</v>
      </c>
      <c r="H115" s="1" t="s">
        <v>1040</v>
      </c>
      <c r="I115" t="str">
        <f t="shared" si="45"/>
        <v>2Y</v>
      </c>
      <c r="J115" t="str">
        <f t="shared" si="46"/>
        <v>1752½</v>
      </c>
      <c r="K115" t="str">
        <f t="shared" si="47"/>
        <v xml:space="preserve">1753 </v>
      </c>
      <c r="L115" t="str">
        <f t="shared" si="48"/>
        <v>Plat 1</v>
      </c>
      <c r="M115" s="8" t="str">
        <f t="shared" si="49"/>
        <v>1</v>
      </c>
      <c r="N115" t="s">
        <v>3010</v>
      </c>
    </row>
    <row r="116" spans="2:14" x14ac:dyDescent="0.25">
      <c r="B116" s="3" t="s">
        <v>2454</v>
      </c>
      <c r="C116" s="1" t="s">
        <v>715</v>
      </c>
      <c r="D116" s="2" t="s">
        <v>3053</v>
      </c>
      <c r="E116" s="1" t="s">
        <v>3319</v>
      </c>
      <c r="F116" s="2" t="s">
        <v>1074</v>
      </c>
      <c r="G116" s="1" t="s">
        <v>3239</v>
      </c>
      <c r="H116" s="1" t="s">
        <v>1040</v>
      </c>
      <c r="I116" t="str">
        <f t="shared" si="45"/>
        <v>2N</v>
      </c>
      <c r="J116" t="str">
        <f t="shared" si="46"/>
        <v xml:space="preserve">1758 </v>
      </c>
      <c r="K116" t="str">
        <f t="shared" si="47"/>
        <v>1758½</v>
      </c>
      <c r="L116" t="str">
        <f t="shared" si="48"/>
        <v>Plat 1</v>
      </c>
      <c r="M116" s="8" t="str">
        <f t="shared" si="49"/>
        <v>1</v>
      </c>
      <c r="N116" t="s">
        <v>3010</v>
      </c>
    </row>
    <row r="117" spans="2:14" x14ac:dyDescent="0.25">
      <c r="B117" s="3" t="s">
        <v>2470</v>
      </c>
      <c r="C117" s="1" t="s">
        <v>3240</v>
      </c>
      <c r="D117" s="2" t="s">
        <v>3053</v>
      </c>
      <c r="E117" s="1" t="s">
        <v>3319</v>
      </c>
      <c r="F117" s="2" t="s">
        <v>1039</v>
      </c>
      <c r="G117" s="1" t="s">
        <v>3241</v>
      </c>
      <c r="H117" s="1" t="s">
        <v>1040</v>
      </c>
      <c r="I117" t="str">
        <f t="shared" ref="I117:I131" si="50">LEFT(B117,2)</f>
        <v>2Y</v>
      </c>
      <c r="J117" t="str">
        <f t="shared" ref="J117:J131" si="51">LEFT(C117,5)</f>
        <v>1807½</v>
      </c>
      <c r="K117" t="str">
        <f t="shared" ref="K117:K131" si="52">LEFT(G117,5)</f>
        <v xml:space="preserve">1808 </v>
      </c>
      <c r="L117" t="str">
        <f t="shared" ref="L117:L131" si="53">LEFT(E117,6)</f>
        <v>Plat 1</v>
      </c>
      <c r="M117" s="8" t="str">
        <f t="shared" ref="M117:M131" si="54">RIGHT(L117,1)</f>
        <v>1</v>
      </c>
      <c r="N117" t="s">
        <v>3010</v>
      </c>
    </row>
    <row r="118" spans="2:14" x14ac:dyDescent="0.25">
      <c r="B118" s="3" t="s">
        <v>1197</v>
      </c>
      <c r="C118" s="1" t="s">
        <v>3242</v>
      </c>
      <c r="D118" s="2" t="s">
        <v>3053</v>
      </c>
      <c r="E118" s="1" t="s">
        <v>3319</v>
      </c>
      <c r="F118" s="2" t="s">
        <v>1074</v>
      </c>
      <c r="G118" s="1" t="s">
        <v>3243</v>
      </c>
      <c r="H118" s="1" t="s">
        <v>1040</v>
      </c>
      <c r="I118" t="str">
        <f t="shared" si="50"/>
        <v>2N</v>
      </c>
      <c r="J118" t="str">
        <f t="shared" si="51"/>
        <v>1812½</v>
      </c>
      <c r="K118" t="str">
        <f t="shared" si="52"/>
        <v xml:space="preserve">1813 </v>
      </c>
      <c r="L118" t="str">
        <f t="shared" si="53"/>
        <v>Plat 1</v>
      </c>
      <c r="M118" s="8" t="str">
        <f t="shared" si="54"/>
        <v>1</v>
      </c>
      <c r="N118" t="s">
        <v>3010</v>
      </c>
    </row>
    <row r="119" spans="2:14" x14ac:dyDescent="0.25">
      <c r="B119" s="3" t="s">
        <v>2497</v>
      </c>
      <c r="C119" s="1" t="s">
        <v>2515</v>
      </c>
      <c r="D119" s="2" t="s">
        <v>3053</v>
      </c>
      <c r="E119" s="1" t="s">
        <v>3319</v>
      </c>
      <c r="F119" s="2" t="s">
        <v>1062</v>
      </c>
      <c r="G119" s="1" t="s">
        <v>730</v>
      </c>
      <c r="H119" s="1" t="s">
        <v>1040</v>
      </c>
      <c r="I119" t="str">
        <f t="shared" si="50"/>
        <v>2G</v>
      </c>
      <c r="J119" t="str">
        <f t="shared" si="51"/>
        <v>1816½</v>
      </c>
      <c r="K119" t="str">
        <f t="shared" si="52"/>
        <v xml:space="preserve">1817 </v>
      </c>
      <c r="L119" t="str">
        <f t="shared" si="53"/>
        <v>Plat 1</v>
      </c>
      <c r="M119" s="8" t="str">
        <f t="shared" si="54"/>
        <v>1</v>
      </c>
      <c r="N119" t="s">
        <v>3010</v>
      </c>
    </row>
    <row r="120" spans="2:14" x14ac:dyDescent="0.25">
      <c r="B120" s="3" t="s">
        <v>2509</v>
      </c>
      <c r="C120" s="1" t="s">
        <v>3244</v>
      </c>
      <c r="D120" s="2" t="s">
        <v>3053</v>
      </c>
      <c r="E120" s="1" t="s">
        <v>3319</v>
      </c>
      <c r="F120" s="2" t="s">
        <v>1039</v>
      </c>
      <c r="G120" s="1" t="s">
        <v>3245</v>
      </c>
      <c r="H120" s="1" t="s">
        <v>1040</v>
      </c>
      <c r="I120" t="str">
        <f t="shared" si="50"/>
        <v>2Y</v>
      </c>
      <c r="J120" t="str">
        <f t="shared" si="51"/>
        <v>1822½</v>
      </c>
      <c r="K120" t="str">
        <f t="shared" si="52"/>
        <v xml:space="preserve">1823 </v>
      </c>
      <c r="L120" t="str">
        <f t="shared" si="53"/>
        <v>Plat 1</v>
      </c>
      <c r="M120" s="8" t="str">
        <f t="shared" si="54"/>
        <v>1</v>
      </c>
      <c r="N120" t="s">
        <v>3010</v>
      </c>
    </row>
    <row r="121" spans="2:14" x14ac:dyDescent="0.25">
      <c r="B121" s="3" t="s">
        <v>2525</v>
      </c>
      <c r="C121" s="1" t="s">
        <v>3246</v>
      </c>
      <c r="D121" s="2" t="s">
        <v>3053</v>
      </c>
      <c r="E121" s="1" t="s">
        <v>3319</v>
      </c>
      <c r="F121" s="2" t="s">
        <v>1074</v>
      </c>
      <c r="G121" s="1" t="s">
        <v>2546</v>
      </c>
      <c r="H121" s="1" t="s">
        <v>1040</v>
      </c>
      <c r="I121" t="str">
        <f t="shared" si="50"/>
        <v>2N</v>
      </c>
      <c r="J121" t="str">
        <f t="shared" si="51"/>
        <v xml:space="preserve">1829 </v>
      </c>
      <c r="K121" t="str">
        <f t="shared" si="52"/>
        <v>1829½</v>
      </c>
      <c r="L121" t="str">
        <f t="shared" si="53"/>
        <v>Plat 1</v>
      </c>
      <c r="M121" s="8" t="str">
        <f t="shared" si="54"/>
        <v>1</v>
      </c>
      <c r="N121" t="s">
        <v>3010</v>
      </c>
    </row>
    <row r="122" spans="2:14" x14ac:dyDescent="0.25">
      <c r="B122" s="3" t="s">
        <v>2547</v>
      </c>
      <c r="C122" s="1" t="s">
        <v>3247</v>
      </c>
      <c r="D122" s="2" t="s">
        <v>3053</v>
      </c>
      <c r="E122" s="1" t="s">
        <v>3319</v>
      </c>
      <c r="F122" s="2" t="s">
        <v>1039</v>
      </c>
      <c r="G122" s="1" t="s">
        <v>3248</v>
      </c>
      <c r="H122" s="1" t="s">
        <v>1040</v>
      </c>
      <c r="I122" t="str">
        <f t="shared" si="50"/>
        <v>2Y</v>
      </c>
      <c r="J122" t="str">
        <f t="shared" si="51"/>
        <v>1837½</v>
      </c>
      <c r="K122" t="str">
        <f t="shared" si="52"/>
        <v xml:space="preserve">1838 </v>
      </c>
      <c r="L122" t="str">
        <f t="shared" si="53"/>
        <v>Plat 1</v>
      </c>
      <c r="M122" s="8" t="str">
        <f t="shared" si="54"/>
        <v>1</v>
      </c>
      <c r="N122" t="s">
        <v>3010</v>
      </c>
    </row>
    <row r="123" spans="2:14" x14ac:dyDescent="0.25">
      <c r="B123" s="3" t="s">
        <v>1218</v>
      </c>
      <c r="C123" s="1" t="s">
        <v>2581</v>
      </c>
      <c r="D123" s="2" t="s">
        <v>3053</v>
      </c>
      <c r="E123" s="1" t="s">
        <v>3319</v>
      </c>
      <c r="F123" s="2" t="s">
        <v>1074</v>
      </c>
      <c r="G123" s="1" t="s">
        <v>3249</v>
      </c>
      <c r="H123" s="1" t="s">
        <v>1040</v>
      </c>
      <c r="I123" t="str">
        <f t="shared" si="50"/>
        <v>2N</v>
      </c>
      <c r="J123" t="str">
        <f t="shared" si="51"/>
        <v>1842½</v>
      </c>
      <c r="K123" t="str">
        <f t="shared" si="52"/>
        <v xml:space="preserve">1843 </v>
      </c>
      <c r="L123" t="str">
        <f t="shared" si="53"/>
        <v>Plat 1</v>
      </c>
      <c r="M123" s="8" t="str">
        <f t="shared" si="54"/>
        <v>1</v>
      </c>
      <c r="N123" t="s">
        <v>3010</v>
      </c>
    </row>
    <row r="124" spans="2:14" x14ac:dyDescent="0.25">
      <c r="B124" s="3" t="s">
        <v>2575</v>
      </c>
      <c r="C124" s="1" t="s">
        <v>2595</v>
      </c>
      <c r="D124" s="2" t="s">
        <v>3053</v>
      </c>
      <c r="E124" s="1" t="s">
        <v>3319</v>
      </c>
      <c r="F124" s="2" t="s">
        <v>1062</v>
      </c>
      <c r="G124" s="1" t="s">
        <v>2594</v>
      </c>
      <c r="H124" s="1" t="s">
        <v>1040</v>
      </c>
      <c r="I124" t="str">
        <f t="shared" si="50"/>
        <v>2G</v>
      </c>
      <c r="J124" t="str">
        <f t="shared" si="51"/>
        <v>1846½</v>
      </c>
      <c r="K124" t="str">
        <f t="shared" si="52"/>
        <v xml:space="preserve">1847 </v>
      </c>
      <c r="L124" t="str">
        <f t="shared" si="53"/>
        <v>Plat 1</v>
      </c>
      <c r="M124" s="8" t="str">
        <f t="shared" si="54"/>
        <v>1</v>
      </c>
      <c r="N124" t="s">
        <v>3010</v>
      </c>
    </row>
    <row r="125" spans="2:14" x14ac:dyDescent="0.25">
      <c r="B125" s="3" t="s">
        <v>2587</v>
      </c>
      <c r="C125" s="1" t="s">
        <v>3250</v>
      </c>
      <c r="D125" s="2" t="s">
        <v>3053</v>
      </c>
      <c r="E125" s="1" t="s">
        <v>3319</v>
      </c>
      <c r="F125" s="2" t="s">
        <v>1039</v>
      </c>
      <c r="G125" s="1" t="s">
        <v>3251</v>
      </c>
      <c r="H125" s="1" t="s">
        <v>1040</v>
      </c>
      <c r="I125" t="str">
        <f t="shared" si="50"/>
        <v>2Y</v>
      </c>
      <c r="J125" t="str">
        <f t="shared" si="51"/>
        <v>1852½</v>
      </c>
      <c r="K125" t="str">
        <f t="shared" si="52"/>
        <v xml:space="preserve">1853 </v>
      </c>
      <c r="L125" t="str">
        <f t="shared" si="53"/>
        <v>Plat 1</v>
      </c>
      <c r="M125" s="8" t="str">
        <f t="shared" si="54"/>
        <v>1</v>
      </c>
      <c r="N125" t="s">
        <v>3010</v>
      </c>
    </row>
    <row r="126" spans="2:14" x14ac:dyDescent="0.25">
      <c r="B126" s="3" t="s">
        <v>1244</v>
      </c>
      <c r="C126" s="1" t="s">
        <v>3252</v>
      </c>
      <c r="D126" s="2" t="s">
        <v>3053</v>
      </c>
      <c r="E126" s="1" t="s">
        <v>3319</v>
      </c>
      <c r="F126" s="2" t="s">
        <v>1074</v>
      </c>
      <c r="G126" s="1" t="s">
        <v>763</v>
      </c>
      <c r="H126" s="1" t="s">
        <v>1040</v>
      </c>
      <c r="I126" t="str">
        <f t="shared" si="50"/>
        <v>2N</v>
      </c>
      <c r="J126" t="str">
        <f t="shared" si="51"/>
        <v>1857½</v>
      </c>
      <c r="K126" t="str">
        <f t="shared" si="52"/>
        <v xml:space="preserve">1858 </v>
      </c>
      <c r="L126" t="str">
        <f t="shared" si="53"/>
        <v>Plat 1</v>
      </c>
      <c r="M126" s="8" t="str">
        <f t="shared" si="54"/>
        <v>1</v>
      </c>
      <c r="N126" t="s">
        <v>3010</v>
      </c>
    </row>
    <row r="127" spans="2:14" x14ac:dyDescent="0.25">
      <c r="B127" s="3" t="s">
        <v>2619</v>
      </c>
      <c r="C127" s="1" t="s">
        <v>3253</v>
      </c>
      <c r="D127" s="2" t="s">
        <v>3053</v>
      </c>
      <c r="E127" s="1" t="s">
        <v>3319</v>
      </c>
      <c r="F127" s="2" t="s">
        <v>1039</v>
      </c>
      <c r="G127" s="1" t="s">
        <v>3254</v>
      </c>
      <c r="H127" s="1" t="s">
        <v>1040</v>
      </c>
      <c r="I127" t="str">
        <f t="shared" si="50"/>
        <v>2Y</v>
      </c>
      <c r="J127" t="str">
        <f t="shared" si="51"/>
        <v>1907½</v>
      </c>
      <c r="K127" t="str">
        <f t="shared" si="52"/>
        <v xml:space="preserve">1908 </v>
      </c>
      <c r="L127" t="str">
        <f t="shared" si="53"/>
        <v>Plat 1</v>
      </c>
      <c r="M127" s="8" t="str">
        <f t="shared" si="54"/>
        <v>1</v>
      </c>
      <c r="N127" t="s">
        <v>3010</v>
      </c>
    </row>
    <row r="128" spans="2:14" x14ac:dyDescent="0.25">
      <c r="B128" s="3" t="s">
        <v>1275</v>
      </c>
      <c r="C128" s="1" t="s">
        <v>3255</v>
      </c>
      <c r="D128" s="2" t="s">
        <v>3053</v>
      </c>
      <c r="E128" s="1" t="s">
        <v>3319</v>
      </c>
      <c r="F128" s="2" t="s">
        <v>1074</v>
      </c>
      <c r="G128" s="1" t="s">
        <v>3256</v>
      </c>
      <c r="H128" s="1" t="s">
        <v>1040</v>
      </c>
      <c r="I128" t="str">
        <f t="shared" si="50"/>
        <v>2N</v>
      </c>
      <c r="J128" t="str">
        <f t="shared" si="51"/>
        <v>1912½</v>
      </c>
      <c r="K128" t="str">
        <f t="shared" si="52"/>
        <v xml:space="preserve">1913 </v>
      </c>
      <c r="L128" t="str">
        <f t="shared" si="53"/>
        <v>Plat 1</v>
      </c>
      <c r="M128" s="8" t="str">
        <f t="shared" si="54"/>
        <v>1</v>
      </c>
      <c r="N128" t="s">
        <v>3010</v>
      </c>
    </row>
    <row r="129" spans="2:14" x14ac:dyDescent="0.25">
      <c r="B129" s="3" t="s">
        <v>2637</v>
      </c>
      <c r="C129" s="1" t="s">
        <v>2645</v>
      </c>
      <c r="D129" s="2" t="s">
        <v>3053</v>
      </c>
      <c r="E129" s="1" t="s">
        <v>3319</v>
      </c>
      <c r="F129" s="2" t="s">
        <v>1062</v>
      </c>
      <c r="G129" s="1" t="s">
        <v>778</v>
      </c>
      <c r="H129" s="1" t="s">
        <v>1040</v>
      </c>
      <c r="I129" t="str">
        <f t="shared" si="50"/>
        <v>2G</v>
      </c>
      <c r="J129" t="str">
        <f t="shared" si="51"/>
        <v>1916½</v>
      </c>
      <c r="K129" t="str">
        <f t="shared" si="52"/>
        <v xml:space="preserve">1917 </v>
      </c>
      <c r="L129" t="str">
        <f t="shared" si="53"/>
        <v>Plat 1</v>
      </c>
      <c r="M129" s="8" t="str">
        <f t="shared" si="54"/>
        <v>1</v>
      </c>
      <c r="N129" t="s">
        <v>3010</v>
      </c>
    </row>
    <row r="130" spans="2:14" x14ac:dyDescent="0.25">
      <c r="B130" s="3" t="s">
        <v>2644</v>
      </c>
      <c r="C130" s="1" t="s">
        <v>3257</v>
      </c>
      <c r="D130" s="2" t="s">
        <v>3053</v>
      </c>
      <c r="E130" s="1" t="s">
        <v>3319</v>
      </c>
      <c r="F130" s="2" t="s">
        <v>1039</v>
      </c>
      <c r="G130" s="1" t="s">
        <v>3258</v>
      </c>
      <c r="H130" s="1" t="s">
        <v>1040</v>
      </c>
      <c r="I130" t="str">
        <f t="shared" si="50"/>
        <v>2Y</v>
      </c>
      <c r="J130" t="str">
        <f t="shared" si="51"/>
        <v>1922½</v>
      </c>
      <c r="K130" t="str">
        <f t="shared" si="52"/>
        <v xml:space="preserve">1923 </v>
      </c>
      <c r="L130" t="str">
        <f t="shared" si="53"/>
        <v>Plat 1</v>
      </c>
      <c r="M130" s="8" t="str">
        <f t="shared" si="54"/>
        <v>1</v>
      </c>
      <c r="N130" t="s">
        <v>3010</v>
      </c>
    </row>
    <row r="131" spans="2:14" x14ac:dyDescent="0.25">
      <c r="B131" s="3" t="s">
        <v>1300</v>
      </c>
      <c r="C131" s="1" t="s">
        <v>3259</v>
      </c>
      <c r="D131" s="2" t="s">
        <v>3053</v>
      </c>
      <c r="E131" s="1" t="s">
        <v>3319</v>
      </c>
      <c r="F131" s="2" t="s">
        <v>1074</v>
      </c>
      <c r="G131" s="1" t="s">
        <v>785</v>
      </c>
      <c r="H131" s="1" t="s">
        <v>1040</v>
      </c>
      <c r="I131" t="str">
        <f t="shared" si="50"/>
        <v>2N</v>
      </c>
      <c r="J131" t="str">
        <f t="shared" si="51"/>
        <v>1927½</v>
      </c>
      <c r="K131" t="str">
        <f t="shared" si="52"/>
        <v xml:space="preserve">1928 </v>
      </c>
      <c r="L131" t="str">
        <f t="shared" si="53"/>
        <v>Plat 1</v>
      </c>
      <c r="M131" s="8" t="str">
        <f t="shared" si="54"/>
        <v>1</v>
      </c>
      <c r="N131" t="s">
        <v>3010</v>
      </c>
    </row>
    <row r="132" spans="2:14" x14ac:dyDescent="0.25">
      <c r="B132" s="3" t="s">
        <v>2668</v>
      </c>
      <c r="C132" s="1" t="s">
        <v>3260</v>
      </c>
      <c r="D132" s="2" t="s">
        <v>3053</v>
      </c>
      <c r="E132" s="1" t="s">
        <v>3319</v>
      </c>
      <c r="F132" s="2" t="s">
        <v>1039</v>
      </c>
      <c r="G132" s="1" t="s">
        <v>3261</v>
      </c>
      <c r="H132" s="1" t="s">
        <v>1040</v>
      </c>
      <c r="I132" t="str">
        <f t="shared" ref="I132:I143" si="55">LEFT(B132,2)</f>
        <v>2Y</v>
      </c>
      <c r="J132" t="str">
        <f t="shared" ref="J132:J143" si="56">LEFT(C132,5)</f>
        <v xml:space="preserve">1937 </v>
      </c>
      <c r="K132" t="str">
        <f t="shared" ref="K132:K143" si="57">LEFT(G132,5)</f>
        <v>1937½</v>
      </c>
      <c r="L132" t="str">
        <f t="shared" ref="L132:L143" si="58">LEFT(E132,6)</f>
        <v>Plat 1</v>
      </c>
      <c r="M132" s="8" t="str">
        <f t="shared" ref="M132:M143" si="59">RIGHT(L132,1)</f>
        <v>1</v>
      </c>
      <c r="N132" t="s">
        <v>3010</v>
      </c>
    </row>
    <row r="133" spans="2:14" x14ac:dyDescent="0.25">
      <c r="B133" s="3" t="s">
        <v>1323</v>
      </c>
      <c r="C133" s="1" t="s">
        <v>802</v>
      </c>
      <c r="D133" s="2" t="s">
        <v>3053</v>
      </c>
      <c r="E133" s="1" t="s">
        <v>3319</v>
      </c>
      <c r="F133" s="2" t="s">
        <v>1074</v>
      </c>
      <c r="G133" s="1" t="s">
        <v>3262</v>
      </c>
      <c r="H133" s="1" t="s">
        <v>1040</v>
      </c>
      <c r="I133" t="str">
        <f t="shared" si="55"/>
        <v>2N</v>
      </c>
      <c r="J133" t="str">
        <f t="shared" si="56"/>
        <v xml:space="preserve">1945 </v>
      </c>
      <c r="K133" t="str">
        <f t="shared" si="57"/>
        <v>1945½</v>
      </c>
      <c r="L133" t="str">
        <f t="shared" si="58"/>
        <v>Plat 1</v>
      </c>
      <c r="M133" s="8" t="str">
        <f t="shared" si="59"/>
        <v>1</v>
      </c>
      <c r="N133" t="s">
        <v>3010</v>
      </c>
    </row>
    <row r="134" spans="2:14" x14ac:dyDescent="0.25">
      <c r="B134" s="3" t="s">
        <v>2685</v>
      </c>
      <c r="C134" s="1" t="s">
        <v>3263</v>
      </c>
      <c r="D134" s="2" t="s">
        <v>3053</v>
      </c>
      <c r="E134" s="1" t="s">
        <v>3319</v>
      </c>
      <c r="F134" s="2" t="s">
        <v>1039</v>
      </c>
      <c r="G134" s="1" t="s">
        <v>3264</v>
      </c>
      <c r="H134" s="1" t="s">
        <v>1040</v>
      </c>
      <c r="I134" t="str">
        <f t="shared" si="55"/>
        <v>2Y</v>
      </c>
      <c r="J134" t="str">
        <f t="shared" si="56"/>
        <v>1951½</v>
      </c>
      <c r="K134" t="str">
        <f t="shared" si="57"/>
        <v xml:space="preserve">1952 </v>
      </c>
      <c r="L134" t="str">
        <f t="shared" si="58"/>
        <v>Plat 1</v>
      </c>
      <c r="M134" s="8" t="str">
        <f t="shared" si="59"/>
        <v>1</v>
      </c>
      <c r="N134" t="s">
        <v>3010</v>
      </c>
    </row>
    <row r="135" spans="2:14" x14ac:dyDescent="0.25">
      <c r="B135" s="3" t="s">
        <v>1355</v>
      </c>
      <c r="C135" s="1" t="s">
        <v>2699</v>
      </c>
      <c r="D135" s="2" t="s">
        <v>3053</v>
      </c>
      <c r="E135" s="1" t="s">
        <v>3319</v>
      </c>
      <c r="F135" s="2" t="s">
        <v>1074</v>
      </c>
      <c r="G135" s="1" t="s">
        <v>3265</v>
      </c>
      <c r="H135" s="1" t="s">
        <v>1040</v>
      </c>
      <c r="I135" t="str">
        <f t="shared" si="55"/>
        <v>2N</v>
      </c>
      <c r="J135" t="str">
        <f t="shared" si="56"/>
        <v xml:space="preserve">2000 </v>
      </c>
      <c r="K135" t="str">
        <f t="shared" si="57"/>
        <v>2000½</v>
      </c>
      <c r="L135" t="str">
        <f t="shared" si="58"/>
        <v>Plat 1</v>
      </c>
      <c r="M135" s="8" t="str">
        <f t="shared" si="59"/>
        <v>1</v>
      </c>
      <c r="N135" t="s">
        <v>3010</v>
      </c>
    </row>
    <row r="136" spans="2:14" x14ac:dyDescent="0.25">
      <c r="B136" s="3" t="s">
        <v>2698</v>
      </c>
      <c r="C136" s="1" t="s">
        <v>3266</v>
      </c>
      <c r="D136" s="2" t="s">
        <v>3053</v>
      </c>
      <c r="E136" s="1" t="s">
        <v>3319</v>
      </c>
      <c r="F136" s="2" t="s">
        <v>1039</v>
      </c>
      <c r="G136" s="1" t="s">
        <v>3267</v>
      </c>
      <c r="H136" s="1" t="s">
        <v>1040</v>
      </c>
      <c r="I136" t="str">
        <f t="shared" si="55"/>
        <v>2Y</v>
      </c>
      <c r="J136" t="str">
        <f t="shared" si="56"/>
        <v>2007½</v>
      </c>
      <c r="K136" t="str">
        <f t="shared" si="57"/>
        <v xml:space="preserve">2008 </v>
      </c>
      <c r="L136" t="str">
        <f t="shared" si="58"/>
        <v>Plat 1</v>
      </c>
      <c r="M136" s="8" t="str">
        <f t="shared" si="59"/>
        <v>1</v>
      </c>
      <c r="N136" t="s">
        <v>3010</v>
      </c>
    </row>
    <row r="137" spans="2:14" x14ac:dyDescent="0.25">
      <c r="B137" s="3" t="s">
        <v>1380</v>
      </c>
      <c r="C137" s="1" t="s">
        <v>3268</v>
      </c>
      <c r="D137" s="2" t="s">
        <v>3053</v>
      </c>
      <c r="E137" s="1" t="s">
        <v>3319</v>
      </c>
      <c r="F137" s="2" t="s">
        <v>1074</v>
      </c>
      <c r="G137" s="1" t="s">
        <v>3269</v>
      </c>
      <c r="H137" s="1" t="s">
        <v>1040</v>
      </c>
      <c r="I137" t="str">
        <f t="shared" si="55"/>
        <v>2N</v>
      </c>
      <c r="J137" t="str">
        <f t="shared" si="56"/>
        <v>2012½</v>
      </c>
      <c r="K137" t="str">
        <f t="shared" si="57"/>
        <v xml:space="preserve">2013 </v>
      </c>
      <c r="L137" t="str">
        <f t="shared" si="58"/>
        <v>Plat 1</v>
      </c>
      <c r="M137" s="8" t="str">
        <f t="shared" si="59"/>
        <v>1</v>
      </c>
      <c r="N137" t="s">
        <v>3010</v>
      </c>
    </row>
    <row r="138" spans="2:14" x14ac:dyDescent="0.25">
      <c r="B138" s="3" t="s">
        <v>2717</v>
      </c>
      <c r="C138" s="1" t="s">
        <v>3270</v>
      </c>
      <c r="D138" s="2" t="s">
        <v>3053</v>
      </c>
      <c r="E138" s="1" t="s">
        <v>3319</v>
      </c>
      <c r="F138" s="2" t="s">
        <v>1039</v>
      </c>
      <c r="G138" s="1" t="s">
        <v>3271</v>
      </c>
      <c r="H138" s="1" t="s">
        <v>1040</v>
      </c>
      <c r="I138" t="str">
        <f t="shared" si="55"/>
        <v>2Y</v>
      </c>
      <c r="J138" t="str">
        <f t="shared" si="56"/>
        <v xml:space="preserve">2020 </v>
      </c>
      <c r="K138" t="str">
        <f t="shared" si="57"/>
        <v>2020½</v>
      </c>
      <c r="L138" t="str">
        <f t="shared" si="58"/>
        <v>Plat 1</v>
      </c>
      <c r="M138" s="8" t="str">
        <f t="shared" si="59"/>
        <v>1</v>
      </c>
      <c r="N138" t="s">
        <v>3010</v>
      </c>
    </row>
    <row r="139" spans="2:14" x14ac:dyDescent="0.25">
      <c r="B139" s="3" t="s">
        <v>1409</v>
      </c>
      <c r="C139" s="1" t="s">
        <v>3272</v>
      </c>
      <c r="D139" s="2" t="s">
        <v>3053</v>
      </c>
      <c r="E139" s="1" t="s">
        <v>3319</v>
      </c>
      <c r="F139" s="2" t="s">
        <v>1074</v>
      </c>
      <c r="G139" s="1" t="s">
        <v>833</v>
      </c>
      <c r="H139" s="1" t="s">
        <v>1040</v>
      </c>
      <c r="I139" t="str">
        <f t="shared" si="55"/>
        <v>2N</v>
      </c>
      <c r="J139" t="str">
        <f t="shared" si="56"/>
        <v>2027½</v>
      </c>
      <c r="K139" t="str">
        <f t="shared" si="57"/>
        <v xml:space="preserve">2028 </v>
      </c>
      <c r="L139" t="str">
        <f t="shared" si="58"/>
        <v>Plat 1</v>
      </c>
      <c r="M139" s="8" t="str">
        <f t="shared" si="59"/>
        <v>1</v>
      </c>
      <c r="N139" t="s">
        <v>3010</v>
      </c>
    </row>
    <row r="140" spans="2:14" x14ac:dyDescent="0.25">
      <c r="B140" s="3" t="s">
        <v>2739</v>
      </c>
      <c r="C140" s="1" t="s">
        <v>3273</v>
      </c>
      <c r="D140" s="2" t="s">
        <v>3053</v>
      </c>
      <c r="E140" s="1" t="s">
        <v>3319</v>
      </c>
      <c r="F140" s="2" t="s">
        <v>1039</v>
      </c>
      <c r="G140" s="1" t="s">
        <v>3274</v>
      </c>
      <c r="H140" s="1" t="s">
        <v>1040</v>
      </c>
      <c r="I140" t="str">
        <f t="shared" si="55"/>
        <v>2Y</v>
      </c>
      <c r="J140" t="str">
        <f t="shared" si="56"/>
        <v xml:space="preserve">2038 </v>
      </c>
      <c r="K140" t="str">
        <f t="shared" si="57"/>
        <v>2038½</v>
      </c>
      <c r="L140" t="str">
        <f t="shared" si="58"/>
        <v>Plat 1</v>
      </c>
      <c r="M140" s="8" t="str">
        <f t="shared" si="59"/>
        <v>1</v>
      </c>
      <c r="N140" t="s">
        <v>3010</v>
      </c>
    </row>
    <row r="141" spans="2:14" x14ac:dyDescent="0.25">
      <c r="B141" s="3" t="s">
        <v>1444</v>
      </c>
      <c r="C141" s="1" t="s">
        <v>3275</v>
      </c>
      <c r="D141" s="2" t="s">
        <v>3053</v>
      </c>
      <c r="E141" s="1" t="s">
        <v>3319</v>
      </c>
      <c r="F141" s="2" t="s">
        <v>1074</v>
      </c>
      <c r="G141" s="1" t="s">
        <v>3276</v>
      </c>
      <c r="H141" s="1" t="s">
        <v>1040</v>
      </c>
      <c r="I141" t="str">
        <f t="shared" si="55"/>
        <v>2N</v>
      </c>
      <c r="J141" t="str">
        <f t="shared" si="56"/>
        <v>2042½</v>
      </c>
      <c r="K141" t="str">
        <f t="shared" si="57"/>
        <v xml:space="preserve">2043 </v>
      </c>
      <c r="L141" t="str">
        <f t="shared" si="58"/>
        <v>Plat 1</v>
      </c>
      <c r="M141" s="8" t="str">
        <f t="shared" si="59"/>
        <v>1</v>
      </c>
      <c r="N141" t="s">
        <v>3010</v>
      </c>
    </row>
    <row r="142" spans="2:14" x14ac:dyDescent="0.25">
      <c r="B142" s="3" t="s">
        <v>2755</v>
      </c>
      <c r="C142" s="1" t="s">
        <v>3277</v>
      </c>
      <c r="D142" s="2" t="s">
        <v>3053</v>
      </c>
      <c r="E142" s="1" t="s">
        <v>3319</v>
      </c>
      <c r="F142" s="2" t="s">
        <v>1039</v>
      </c>
      <c r="G142" s="1" t="s">
        <v>3278</v>
      </c>
      <c r="H142" s="1" t="s">
        <v>1040</v>
      </c>
      <c r="I142" t="str">
        <f t="shared" si="55"/>
        <v>2Y</v>
      </c>
      <c r="J142" t="str">
        <f t="shared" si="56"/>
        <v>2052½</v>
      </c>
      <c r="K142" t="str">
        <f t="shared" si="57"/>
        <v xml:space="preserve">2053 </v>
      </c>
      <c r="L142" t="str">
        <f t="shared" si="58"/>
        <v>Plat 1</v>
      </c>
      <c r="M142" s="8" t="str">
        <f t="shared" si="59"/>
        <v>1</v>
      </c>
      <c r="N142" t="s">
        <v>3010</v>
      </c>
    </row>
    <row r="143" spans="2:14" x14ac:dyDescent="0.25">
      <c r="B143" s="3" t="s">
        <v>1482</v>
      </c>
      <c r="C143" s="1" t="s">
        <v>3279</v>
      </c>
      <c r="D143" s="2" t="s">
        <v>3053</v>
      </c>
      <c r="E143" s="1" t="s">
        <v>3319</v>
      </c>
      <c r="F143" s="2" t="s">
        <v>1074</v>
      </c>
      <c r="G143" s="1" t="s">
        <v>859</v>
      </c>
      <c r="H143" s="1" t="s">
        <v>1040</v>
      </c>
      <c r="I143" t="str">
        <f t="shared" si="55"/>
        <v>2N</v>
      </c>
      <c r="J143" t="str">
        <f t="shared" si="56"/>
        <v>2057½</v>
      </c>
      <c r="K143" t="str">
        <f t="shared" si="57"/>
        <v xml:space="preserve">2058 </v>
      </c>
      <c r="L143" t="str">
        <f t="shared" si="58"/>
        <v>Plat 1</v>
      </c>
      <c r="M143" s="8" t="str">
        <f t="shared" si="59"/>
        <v>1</v>
      </c>
      <c r="N143" t="s">
        <v>3010</v>
      </c>
    </row>
    <row r="144" spans="2:14" x14ac:dyDescent="0.25">
      <c r="B144" s="3" t="s">
        <v>2773</v>
      </c>
      <c r="C144" s="1" t="s">
        <v>3280</v>
      </c>
      <c r="D144" s="2" t="s">
        <v>3053</v>
      </c>
      <c r="E144" s="1" t="s">
        <v>3319</v>
      </c>
      <c r="F144" s="2" t="s">
        <v>1039</v>
      </c>
      <c r="G144" s="1" t="s">
        <v>3281</v>
      </c>
      <c r="H144" s="1" t="s">
        <v>1040</v>
      </c>
      <c r="I144" t="str">
        <f t="shared" ref="I144:I155" si="60">LEFT(B144,2)</f>
        <v>2Y</v>
      </c>
      <c r="J144" t="str">
        <f t="shared" ref="J144:J155" si="61">LEFT(C144,5)</f>
        <v>2108½</v>
      </c>
      <c r="K144" t="str">
        <f t="shared" ref="K144:K155" si="62">LEFT(G144,5)</f>
        <v xml:space="preserve">2109 </v>
      </c>
      <c r="L144" t="str">
        <f t="shared" ref="L144:L155" si="63">LEFT(E144,6)</f>
        <v>Plat 1</v>
      </c>
      <c r="M144" s="8" t="str">
        <f t="shared" ref="M144:M155" si="64">RIGHT(L144,1)</f>
        <v>1</v>
      </c>
      <c r="N144" t="s">
        <v>3010</v>
      </c>
    </row>
    <row r="145" spans="2:14" x14ac:dyDescent="0.25">
      <c r="B145" s="3" t="s">
        <v>1514</v>
      </c>
      <c r="C145" s="1" t="s">
        <v>3282</v>
      </c>
      <c r="D145" s="2" t="s">
        <v>3053</v>
      </c>
      <c r="E145" s="1" t="s">
        <v>3319</v>
      </c>
      <c r="F145" s="2" t="s">
        <v>1074</v>
      </c>
      <c r="G145" s="1" t="s">
        <v>3283</v>
      </c>
      <c r="H145" s="1" t="s">
        <v>1040</v>
      </c>
      <c r="I145" t="str">
        <f t="shared" si="60"/>
        <v>2N</v>
      </c>
      <c r="J145" t="str">
        <f t="shared" si="61"/>
        <v>2112½</v>
      </c>
      <c r="K145" t="str">
        <f t="shared" si="62"/>
        <v xml:space="preserve">2113 </v>
      </c>
      <c r="L145" t="str">
        <f t="shared" si="63"/>
        <v>Plat 1</v>
      </c>
      <c r="M145" s="8" t="str">
        <f t="shared" si="64"/>
        <v>1</v>
      </c>
      <c r="N145" t="s">
        <v>3010</v>
      </c>
    </row>
    <row r="146" spans="2:14" x14ac:dyDescent="0.25">
      <c r="B146" s="3" t="s">
        <v>2785</v>
      </c>
      <c r="C146" s="1" t="s">
        <v>3284</v>
      </c>
      <c r="D146" s="2" t="s">
        <v>3053</v>
      </c>
      <c r="E146" s="1" t="s">
        <v>3319</v>
      </c>
      <c r="F146" s="2" t="s">
        <v>1039</v>
      </c>
      <c r="G146" s="1" t="s">
        <v>3285</v>
      </c>
      <c r="H146" s="1" t="s">
        <v>1040</v>
      </c>
      <c r="I146" t="str">
        <f t="shared" si="60"/>
        <v>2Y</v>
      </c>
      <c r="J146" t="str">
        <f t="shared" si="61"/>
        <v>2122½</v>
      </c>
      <c r="K146" t="str">
        <f t="shared" si="62"/>
        <v xml:space="preserve">2123 </v>
      </c>
      <c r="L146" t="str">
        <f t="shared" si="63"/>
        <v>Plat 1</v>
      </c>
      <c r="M146" s="8" t="str">
        <f t="shared" si="64"/>
        <v>1</v>
      </c>
      <c r="N146" t="s">
        <v>3010</v>
      </c>
    </row>
    <row r="147" spans="2:14" x14ac:dyDescent="0.25">
      <c r="B147" s="3" t="s">
        <v>1549</v>
      </c>
      <c r="C147" s="1" t="s">
        <v>3286</v>
      </c>
      <c r="D147" s="2" t="s">
        <v>3053</v>
      </c>
      <c r="E147" s="1" t="s">
        <v>3319</v>
      </c>
      <c r="F147" s="2" t="s">
        <v>1074</v>
      </c>
      <c r="G147" s="1" t="s">
        <v>886</v>
      </c>
      <c r="H147" s="1" t="s">
        <v>1040</v>
      </c>
      <c r="I147" t="str">
        <f t="shared" si="60"/>
        <v>2N</v>
      </c>
      <c r="J147" t="str">
        <f t="shared" si="61"/>
        <v>2130½</v>
      </c>
      <c r="K147" t="str">
        <f t="shared" si="62"/>
        <v xml:space="preserve">2131 </v>
      </c>
      <c r="L147" t="str">
        <f t="shared" si="63"/>
        <v>Plat 1</v>
      </c>
      <c r="M147" s="8" t="str">
        <f t="shared" si="64"/>
        <v>1</v>
      </c>
      <c r="N147" t="s">
        <v>3010</v>
      </c>
    </row>
    <row r="148" spans="2:14" x14ac:dyDescent="0.25">
      <c r="B148" s="3" t="s">
        <v>2807</v>
      </c>
      <c r="C148" s="1" t="s">
        <v>3287</v>
      </c>
      <c r="D148" s="2" t="s">
        <v>3053</v>
      </c>
      <c r="E148" s="1" t="s">
        <v>3319</v>
      </c>
      <c r="F148" s="2" t="s">
        <v>1039</v>
      </c>
      <c r="G148" s="1" t="s">
        <v>3288</v>
      </c>
      <c r="H148" s="1" t="s">
        <v>1040</v>
      </c>
      <c r="I148" t="str">
        <f t="shared" si="60"/>
        <v>2Y</v>
      </c>
      <c r="J148" t="str">
        <f t="shared" si="61"/>
        <v xml:space="preserve">2138 </v>
      </c>
      <c r="K148" t="str">
        <f t="shared" si="62"/>
        <v>2138½</v>
      </c>
      <c r="L148" t="str">
        <f t="shared" si="63"/>
        <v>Plat 1</v>
      </c>
      <c r="M148" s="8" t="str">
        <f t="shared" si="64"/>
        <v>1</v>
      </c>
      <c r="N148" t="s">
        <v>3010</v>
      </c>
    </row>
    <row r="149" spans="2:14" x14ac:dyDescent="0.25">
      <c r="B149" s="3" t="s">
        <v>1593</v>
      </c>
      <c r="C149" s="1" t="s">
        <v>3289</v>
      </c>
      <c r="D149" s="2" t="s">
        <v>3053</v>
      </c>
      <c r="E149" s="1" t="s">
        <v>3319</v>
      </c>
      <c r="F149" s="2" t="s">
        <v>1074</v>
      </c>
      <c r="G149" s="1" t="s">
        <v>3290</v>
      </c>
      <c r="H149" s="1" t="s">
        <v>1040</v>
      </c>
      <c r="I149" t="str">
        <f t="shared" si="60"/>
        <v>2N</v>
      </c>
      <c r="J149" t="str">
        <f t="shared" si="61"/>
        <v xml:space="preserve">2143 </v>
      </c>
      <c r="K149" t="str">
        <f t="shared" si="62"/>
        <v>2143½</v>
      </c>
      <c r="L149" t="str">
        <f t="shared" si="63"/>
        <v>Plat 1</v>
      </c>
      <c r="M149" s="8" t="str">
        <f t="shared" si="64"/>
        <v>1</v>
      </c>
      <c r="N149" t="s">
        <v>3010</v>
      </c>
    </row>
    <row r="150" spans="2:14" x14ac:dyDescent="0.25">
      <c r="B150" s="3" t="s">
        <v>2820</v>
      </c>
      <c r="C150" s="1" t="s">
        <v>3291</v>
      </c>
      <c r="D150" s="2" t="s">
        <v>3053</v>
      </c>
      <c r="E150" s="1" t="s">
        <v>3319</v>
      </c>
      <c r="F150" s="2" t="s">
        <v>1039</v>
      </c>
      <c r="G150" s="1" t="s">
        <v>3292</v>
      </c>
      <c r="H150" s="1" t="s">
        <v>1040</v>
      </c>
      <c r="I150" t="str">
        <f t="shared" si="60"/>
        <v>2Y</v>
      </c>
      <c r="J150" t="str">
        <f t="shared" si="61"/>
        <v>2152½</v>
      </c>
      <c r="K150" t="str">
        <f t="shared" si="62"/>
        <v xml:space="preserve">2153 </v>
      </c>
      <c r="L150" t="str">
        <f t="shared" si="63"/>
        <v>Plat 1</v>
      </c>
      <c r="M150" s="8" t="str">
        <f t="shared" si="64"/>
        <v>1</v>
      </c>
      <c r="N150" t="s">
        <v>3010</v>
      </c>
    </row>
    <row r="151" spans="2:14" x14ac:dyDescent="0.25">
      <c r="B151" s="3" t="s">
        <v>1623</v>
      </c>
      <c r="C151" s="1" t="s">
        <v>3293</v>
      </c>
      <c r="D151" s="2" t="s">
        <v>3053</v>
      </c>
      <c r="E151" s="1" t="s">
        <v>3319</v>
      </c>
      <c r="F151" s="2" t="s">
        <v>1074</v>
      </c>
      <c r="G151" s="1" t="s">
        <v>907</v>
      </c>
      <c r="H151" s="1" t="s">
        <v>1040</v>
      </c>
      <c r="I151" t="str">
        <f t="shared" si="60"/>
        <v>2N</v>
      </c>
      <c r="J151" t="str">
        <f t="shared" si="61"/>
        <v>2157½</v>
      </c>
      <c r="K151" t="str">
        <f t="shared" si="62"/>
        <v xml:space="preserve">2158 </v>
      </c>
      <c r="L151" t="str">
        <f t="shared" si="63"/>
        <v>Plat 1</v>
      </c>
      <c r="M151" s="8" t="str">
        <f t="shared" si="64"/>
        <v>1</v>
      </c>
      <c r="N151" t="s">
        <v>3010</v>
      </c>
    </row>
    <row r="152" spans="2:14" x14ac:dyDescent="0.25">
      <c r="B152" s="3" t="s">
        <v>2835</v>
      </c>
      <c r="C152" s="1" t="s">
        <v>3294</v>
      </c>
      <c r="D152" s="2" t="s">
        <v>3053</v>
      </c>
      <c r="E152" s="1" t="s">
        <v>3319</v>
      </c>
      <c r="F152" s="2" t="s">
        <v>1039</v>
      </c>
      <c r="G152" s="1" t="s">
        <v>3295</v>
      </c>
      <c r="H152" s="1" t="s">
        <v>1040</v>
      </c>
      <c r="I152" t="str">
        <f t="shared" si="60"/>
        <v>2Y</v>
      </c>
      <c r="J152" t="str">
        <f t="shared" si="61"/>
        <v>2207½</v>
      </c>
      <c r="K152" t="str">
        <f t="shared" si="62"/>
        <v xml:space="preserve">2208 </v>
      </c>
      <c r="L152" t="str">
        <f t="shared" si="63"/>
        <v>Plat 1</v>
      </c>
      <c r="M152" s="8" t="str">
        <f t="shared" si="64"/>
        <v>1</v>
      </c>
      <c r="N152" t="s">
        <v>3010</v>
      </c>
    </row>
    <row r="153" spans="2:14" x14ac:dyDescent="0.25">
      <c r="B153" s="3" t="s">
        <v>1655</v>
      </c>
      <c r="C153" s="1" t="s">
        <v>3296</v>
      </c>
      <c r="D153" s="2" t="s">
        <v>3053</v>
      </c>
      <c r="E153" s="1" t="s">
        <v>3319</v>
      </c>
      <c r="F153" s="2" t="s">
        <v>1074</v>
      </c>
      <c r="G153" s="1" t="s">
        <v>2849</v>
      </c>
      <c r="H153" s="1" t="s">
        <v>1040</v>
      </c>
      <c r="I153" t="str">
        <f t="shared" si="60"/>
        <v>2N</v>
      </c>
      <c r="J153" t="str">
        <f t="shared" si="61"/>
        <v>2212½</v>
      </c>
      <c r="K153" t="str">
        <f t="shared" si="62"/>
        <v xml:space="preserve">2213 </v>
      </c>
      <c r="L153" t="str">
        <f t="shared" si="63"/>
        <v>Plat 1</v>
      </c>
      <c r="M153" s="8" t="str">
        <f t="shared" si="64"/>
        <v>1</v>
      </c>
      <c r="N153" t="s">
        <v>3010</v>
      </c>
    </row>
    <row r="154" spans="2:14" x14ac:dyDescent="0.25">
      <c r="B154" s="3" t="s">
        <v>2853</v>
      </c>
      <c r="C154" s="1" t="s">
        <v>3297</v>
      </c>
      <c r="D154" s="2" t="s">
        <v>3053</v>
      </c>
      <c r="E154" s="1" t="s">
        <v>3319</v>
      </c>
      <c r="F154" s="2" t="s">
        <v>1039</v>
      </c>
      <c r="G154" s="1" t="s">
        <v>3298</v>
      </c>
      <c r="H154" s="1" t="s">
        <v>1040</v>
      </c>
      <c r="I154" t="str">
        <f t="shared" si="60"/>
        <v>2Y</v>
      </c>
      <c r="J154" t="str">
        <f t="shared" si="61"/>
        <v>2222½</v>
      </c>
      <c r="K154" t="str">
        <f t="shared" si="62"/>
        <v xml:space="preserve">2223 </v>
      </c>
      <c r="L154" t="str">
        <f t="shared" si="63"/>
        <v>Plat 1</v>
      </c>
      <c r="M154" s="8" t="str">
        <f t="shared" si="64"/>
        <v>1</v>
      </c>
      <c r="N154" t="s">
        <v>3010</v>
      </c>
    </row>
    <row r="155" spans="2:14" x14ac:dyDescent="0.25">
      <c r="B155" s="3" t="s">
        <v>1686</v>
      </c>
      <c r="C155" s="1" t="s">
        <v>3299</v>
      </c>
      <c r="D155" s="2" t="s">
        <v>3053</v>
      </c>
      <c r="E155" s="1" t="s">
        <v>3319</v>
      </c>
      <c r="F155" s="2" t="s">
        <v>1074</v>
      </c>
      <c r="G155" s="1" t="s">
        <v>929</v>
      </c>
      <c r="H155" s="1" t="s">
        <v>1040</v>
      </c>
      <c r="I155" t="str">
        <f t="shared" si="60"/>
        <v>2N</v>
      </c>
      <c r="J155" t="str">
        <f t="shared" si="61"/>
        <v>2227½</v>
      </c>
      <c r="K155" t="str">
        <f t="shared" si="62"/>
        <v xml:space="preserve">2228 </v>
      </c>
      <c r="L155" t="str">
        <f t="shared" si="63"/>
        <v>Plat 1</v>
      </c>
      <c r="M155" s="8" t="str">
        <f t="shared" si="64"/>
        <v>1</v>
      </c>
      <c r="N155" t="s">
        <v>3010</v>
      </c>
    </row>
    <row r="156" spans="2:14" x14ac:dyDescent="0.25">
      <c r="B156" s="3" t="s">
        <v>2870</v>
      </c>
      <c r="C156" s="1" t="s">
        <v>3300</v>
      </c>
      <c r="D156" s="2" t="s">
        <v>3053</v>
      </c>
      <c r="E156" s="1" t="s">
        <v>3319</v>
      </c>
      <c r="F156" s="2" t="s">
        <v>1039</v>
      </c>
      <c r="G156" s="1" t="s">
        <v>3301</v>
      </c>
      <c r="H156" s="1" t="s">
        <v>1040</v>
      </c>
      <c r="I156" t="str">
        <f t="shared" ref="I156:I167" si="65">LEFT(B156,2)</f>
        <v>2Y</v>
      </c>
      <c r="J156" t="str">
        <f t="shared" ref="J156:J167" si="66">LEFT(C156,5)</f>
        <v xml:space="preserve">2237 </v>
      </c>
      <c r="K156" t="str">
        <f t="shared" ref="K156:K167" si="67">LEFT(G156,5)</f>
        <v>2237½</v>
      </c>
      <c r="L156" t="str">
        <f t="shared" ref="L156:L167" si="68">LEFT(E156,6)</f>
        <v>Plat 1</v>
      </c>
      <c r="M156" s="8" t="str">
        <f t="shared" ref="M156:M167" si="69">RIGHT(L156,1)</f>
        <v>1</v>
      </c>
      <c r="N156" t="s">
        <v>3010</v>
      </c>
    </row>
    <row r="157" spans="2:14" x14ac:dyDescent="0.25">
      <c r="B157" s="3" t="s">
        <v>1707</v>
      </c>
      <c r="C157" s="1" t="s">
        <v>2887</v>
      </c>
      <c r="D157" s="2" t="s">
        <v>3053</v>
      </c>
      <c r="E157" s="1" t="s">
        <v>3319</v>
      </c>
      <c r="F157" s="2" t="s">
        <v>1074</v>
      </c>
      <c r="G157" s="1" t="s">
        <v>3302</v>
      </c>
      <c r="H157" s="1" t="s">
        <v>1040</v>
      </c>
      <c r="I157" t="str">
        <f t="shared" si="65"/>
        <v>2N</v>
      </c>
      <c r="J157" t="str">
        <f t="shared" si="66"/>
        <v>2242½</v>
      </c>
      <c r="K157" t="str">
        <f t="shared" si="67"/>
        <v xml:space="preserve">2243 </v>
      </c>
      <c r="L157" t="str">
        <f t="shared" si="68"/>
        <v>Plat 1</v>
      </c>
      <c r="M157" s="8" t="str">
        <f t="shared" si="69"/>
        <v>1</v>
      </c>
      <c r="N157" t="s">
        <v>3010</v>
      </c>
    </row>
    <row r="158" spans="2:14" x14ac:dyDescent="0.25">
      <c r="B158" s="3" t="s">
        <v>2889</v>
      </c>
      <c r="C158" s="1" t="s">
        <v>3303</v>
      </c>
      <c r="D158" s="2" t="s">
        <v>3053</v>
      </c>
      <c r="E158" s="1" t="s">
        <v>3319</v>
      </c>
      <c r="F158" s="2" t="s">
        <v>1039</v>
      </c>
      <c r="G158" s="1" t="s">
        <v>3304</v>
      </c>
      <c r="H158" s="1" t="s">
        <v>1040</v>
      </c>
      <c r="I158" t="str">
        <f t="shared" si="65"/>
        <v>2Y</v>
      </c>
      <c r="J158" t="str">
        <f t="shared" si="66"/>
        <v>2252½</v>
      </c>
      <c r="K158" t="str">
        <f t="shared" si="67"/>
        <v xml:space="preserve">2253 </v>
      </c>
      <c r="L158" t="str">
        <f t="shared" si="68"/>
        <v>Plat 1</v>
      </c>
      <c r="M158" s="8" t="str">
        <f t="shared" si="69"/>
        <v>1</v>
      </c>
      <c r="N158" t="s">
        <v>3010</v>
      </c>
    </row>
    <row r="159" spans="2:14" x14ac:dyDescent="0.25">
      <c r="B159" s="3" t="s">
        <v>1732</v>
      </c>
      <c r="C159" s="1" t="s">
        <v>955</v>
      </c>
      <c r="D159" s="2" t="s">
        <v>3053</v>
      </c>
      <c r="E159" s="1" t="s">
        <v>3319</v>
      </c>
      <c r="F159" s="2" t="s">
        <v>1074</v>
      </c>
      <c r="G159" s="1" t="s">
        <v>958</v>
      </c>
      <c r="H159" s="1" t="s">
        <v>1040</v>
      </c>
      <c r="I159" t="str">
        <f t="shared" si="65"/>
        <v>2N</v>
      </c>
      <c r="J159" t="str">
        <f t="shared" si="66"/>
        <v>2257½</v>
      </c>
      <c r="K159" t="str">
        <f t="shared" si="67"/>
        <v xml:space="preserve">2258 </v>
      </c>
      <c r="L159" t="str">
        <f t="shared" si="68"/>
        <v>Plat 1</v>
      </c>
      <c r="M159" s="8" t="str">
        <f t="shared" si="69"/>
        <v>1</v>
      </c>
      <c r="N159" t="s">
        <v>3010</v>
      </c>
    </row>
    <row r="160" spans="2:14" x14ac:dyDescent="0.25">
      <c r="B160" s="3" t="s">
        <v>2904</v>
      </c>
      <c r="C160" s="1" t="s">
        <v>3305</v>
      </c>
      <c r="D160" s="2" t="s">
        <v>3053</v>
      </c>
      <c r="E160" s="1" t="s">
        <v>3319</v>
      </c>
      <c r="F160" s="2" t="s">
        <v>1039</v>
      </c>
      <c r="G160" s="1" t="s">
        <v>3306</v>
      </c>
      <c r="H160" s="1" t="s">
        <v>1040</v>
      </c>
      <c r="I160" t="str">
        <f t="shared" si="65"/>
        <v>2Y</v>
      </c>
      <c r="J160" t="str">
        <f t="shared" si="66"/>
        <v xml:space="preserve">2308 </v>
      </c>
      <c r="K160" t="str">
        <f t="shared" si="67"/>
        <v>2308½</v>
      </c>
      <c r="L160" t="str">
        <f t="shared" si="68"/>
        <v>Plat 1</v>
      </c>
      <c r="M160" s="8" t="str">
        <f t="shared" si="69"/>
        <v>1</v>
      </c>
      <c r="N160" t="s">
        <v>3010</v>
      </c>
    </row>
    <row r="161" spans="2:14" x14ac:dyDescent="0.25">
      <c r="B161" s="3" t="s">
        <v>1755</v>
      </c>
      <c r="C161" s="1" t="s">
        <v>3307</v>
      </c>
      <c r="D161" s="2" t="s">
        <v>3053</v>
      </c>
      <c r="E161" s="1" t="s">
        <v>3319</v>
      </c>
      <c r="F161" s="2" t="s">
        <v>1074</v>
      </c>
      <c r="G161" s="1" t="s">
        <v>3308</v>
      </c>
      <c r="H161" s="1" t="s">
        <v>1040</v>
      </c>
      <c r="I161" t="str">
        <f t="shared" si="65"/>
        <v>2N</v>
      </c>
      <c r="J161" t="str">
        <f t="shared" si="66"/>
        <v>2312½</v>
      </c>
      <c r="K161" t="str">
        <f t="shared" si="67"/>
        <v xml:space="preserve">2313 </v>
      </c>
      <c r="L161" t="str">
        <f t="shared" si="68"/>
        <v>Plat 1</v>
      </c>
      <c r="M161" s="8" t="str">
        <f t="shared" si="69"/>
        <v>1</v>
      </c>
      <c r="N161" t="s">
        <v>3010</v>
      </c>
    </row>
    <row r="162" spans="2:14" x14ac:dyDescent="0.25">
      <c r="B162" s="3" t="s">
        <v>2922</v>
      </c>
      <c r="C162" s="1" t="s">
        <v>3309</v>
      </c>
      <c r="D162" s="2" t="s">
        <v>3053</v>
      </c>
      <c r="E162" s="1" t="s">
        <v>3319</v>
      </c>
      <c r="F162" s="2" t="s">
        <v>1039</v>
      </c>
      <c r="G162" s="1" t="s">
        <v>3310</v>
      </c>
      <c r="H162" s="1" t="s">
        <v>1040</v>
      </c>
      <c r="I162" t="str">
        <f t="shared" si="65"/>
        <v>2Y</v>
      </c>
      <c r="J162" t="str">
        <f t="shared" si="66"/>
        <v>2322½</v>
      </c>
      <c r="K162" t="str">
        <f t="shared" si="67"/>
        <v xml:space="preserve">2323 </v>
      </c>
      <c r="L162" t="str">
        <f t="shared" si="68"/>
        <v>Plat 1</v>
      </c>
      <c r="M162" s="8" t="str">
        <f t="shared" si="69"/>
        <v>1</v>
      </c>
      <c r="N162" t="s">
        <v>3010</v>
      </c>
    </row>
    <row r="163" spans="2:14" x14ac:dyDescent="0.25">
      <c r="B163" s="3" t="s">
        <v>1779</v>
      </c>
      <c r="C163" s="1" t="s">
        <v>3311</v>
      </c>
      <c r="D163" s="2" t="s">
        <v>3053</v>
      </c>
      <c r="E163" s="1" t="s">
        <v>3319</v>
      </c>
      <c r="F163" s="2" t="s">
        <v>1074</v>
      </c>
      <c r="G163" s="1" t="s">
        <v>2938</v>
      </c>
      <c r="H163" s="1" t="s">
        <v>1040</v>
      </c>
      <c r="I163" t="str">
        <f t="shared" si="65"/>
        <v>2N</v>
      </c>
      <c r="J163" t="str">
        <f t="shared" si="66"/>
        <v>2327½</v>
      </c>
      <c r="K163" t="str">
        <f t="shared" si="67"/>
        <v xml:space="preserve">2328 </v>
      </c>
      <c r="L163" t="str">
        <f t="shared" si="68"/>
        <v>Plat 1</v>
      </c>
      <c r="M163" s="8" t="str">
        <f t="shared" si="69"/>
        <v>1</v>
      </c>
      <c r="N163" t="s">
        <v>3010</v>
      </c>
    </row>
    <row r="164" spans="2:14" x14ac:dyDescent="0.25">
      <c r="B164" s="3" t="s">
        <v>2940</v>
      </c>
      <c r="C164" s="1" t="s">
        <v>3312</v>
      </c>
      <c r="D164" s="2" t="s">
        <v>3053</v>
      </c>
      <c r="E164" s="1" t="s">
        <v>3319</v>
      </c>
      <c r="F164" s="2" t="s">
        <v>1039</v>
      </c>
      <c r="G164" s="1" t="s">
        <v>3313</v>
      </c>
      <c r="H164" s="1" t="s">
        <v>1040</v>
      </c>
      <c r="I164" t="str">
        <f t="shared" si="65"/>
        <v>2Y</v>
      </c>
      <c r="J164" t="str">
        <f t="shared" si="66"/>
        <v>2337½</v>
      </c>
      <c r="K164" t="str">
        <f t="shared" si="67"/>
        <v xml:space="preserve">2338 </v>
      </c>
      <c r="L164" t="str">
        <f t="shared" si="68"/>
        <v>Plat 1</v>
      </c>
      <c r="M164" s="8" t="str">
        <f t="shared" si="69"/>
        <v>1</v>
      </c>
      <c r="N164" t="s">
        <v>3010</v>
      </c>
    </row>
    <row r="165" spans="2:14" x14ac:dyDescent="0.25">
      <c r="B165" s="3" t="s">
        <v>1802</v>
      </c>
      <c r="C165" s="1" t="s">
        <v>3314</v>
      </c>
      <c r="D165" s="2" t="s">
        <v>3053</v>
      </c>
      <c r="E165" s="1" t="s">
        <v>3319</v>
      </c>
      <c r="F165" s="2" t="s">
        <v>1074</v>
      </c>
      <c r="G165" s="1" t="s">
        <v>2956</v>
      </c>
      <c r="H165" s="1" t="s">
        <v>1040</v>
      </c>
      <c r="I165" t="str">
        <f t="shared" si="65"/>
        <v>2N</v>
      </c>
      <c r="J165" t="str">
        <f t="shared" si="66"/>
        <v>2343½</v>
      </c>
      <c r="K165" t="str">
        <f t="shared" si="67"/>
        <v xml:space="preserve">2344 </v>
      </c>
      <c r="L165" t="str">
        <f t="shared" si="68"/>
        <v>Plat 1</v>
      </c>
      <c r="M165" s="8" t="str">
        <f t="shared" si="69"/>
        <v>1</v>
      </c>
      <c r="N165" t="s">
        <v>3010</v>
      </c>
    </row>
    <row r="166" spans="2:14" x14ac:dyDescent="0.25">
      <c r="B166" s="3" t="s">
        <v>2960</v>
      </c>
      <c r="C166" s="1" t="s">
        <v>3315</v>
      </c>
      <c r="D166" s="2" t="s">
        <v>3053</v>
      </c>
      <c r="E166" s="1" t="s">
        <v>3319</v>
      </c>
      <c r="F166" s="2" t="s">
        <v>1039</v>
      </c>
      <c r="G166" s="1" t="s">
        <v>3316</v>
      </c>
      <c r="H166" s="1" t="s">
        <v>1040</v>
      </c>
      <c r="I166" t="str">
        <f t="shared" si="65"/>
        <v>2Y</v>
      </c>
      <c r="J166" t="str">
        <f t="shared" si="66"/>
        <v>2352½</v>
      </c>
      <c r="K166" t="str">
        <f t="shared" si="67"/>
        <v xml:space="preserve">2353 </v>
      </c>
      <c r="L166" t="str">
        <f t="shared" si="68"/>
        <v>Plat 1</v>
      </c>
      <c r="M166" s="8" t="str">
        <f t="shared" si="69"/>
        <v>1</v>
      </c>
      <c r="N166" t="s">
        <v>3010</v>
      </c>
    </row>
    <row r="167" spans="2:14" x14ac:dyDescent="0.25">
      <c r="B167" s="3" t="s">
        <v>1820</v>
      </c>
      <c r="C167" s="1" t="s">
        <v>3317</v>
      </c>
      <c r="D167" s="2" t="s">
        <v>3053</v>
      </c>
      <c r="E167" s="1" t="s">
        <v>3319</v>
      </c>
      <c r="F167" s="2" t="s">
        <v>1074</v>
      </c>
      <c r="G167" s="1" t="s">
        <v>3318</v>
      </c>
      <c r="H167" s="1" t="s">
        <v>1040</v>
      </c>
      <c r="I167" t="str">
        <f t="shared" si="65"/>
        <v>2N</v>
      </c>
      <c r="J167" t="str">
        <f t="shared" si="66"/>
        <v>2357½</v>
      </c>
      <c r="K167" t="str">
        <f t="shared" si="67"/>
        <v xml:space="preserve">2358 </v>
      </c>
      <c r="L167" t="str">
        <f t="shared" si="68"/>
        <v>Plat 1</v>
      </c>
      <c r="M167" s="8" t="str">
        <f t="shared" si="69"/>
        <v>1</v>
      </c>
      <c r="N167" t="s">
        <v>3010</v>
      </c>
    </row>
  </sheetData>
  <autoFilter ref="B1:N167"/>
  <hyperlinks>
    <hyperlink ref="B2" r:id="rId1" display="http://www.opentraintimes.com/schedule/L70552/2012/8/8"/>
    <hyperlink ref="B3" r:id="rId2" display="http://www.opentraintimes.com/schedule/L70421/2012/8/8"/>
    <hyperlink ref="B4" r:id="rId3" display="http://www.opentraintimes.com/schedule/L70315/2012/8/8"/>
    <hyperlink ref="B5" r:id="rId4" display="http://www.opentraintimes.com/schedule/L70425/2012/8/8"/>
    <hyperlink ref="B6" r:id="rId5" display="http://www.opentraintimes.com/schedule/L70317/2012/8/8"/>
    <hyperlink ref="B7" r:id="rId6" display="http://www.opentraintimes.com/schedule/L70429/2012/8/8"/>
    <hyperlink ref="B8" r:id="rId7" display="http://www.opentraintimes.com/schedule/L70319/2012/8/8"/>
    <hyperlink ref="B9" r:id="rId8" display="http://www.opentraintimes.com/schedule/L70433/2012/8/8"/>
    <hyperlink ref="B10" r:id="rId9" display="http://www.opentraintimes.com/schedule/L70321/2012/8/8"/>
    <hyperlink ref="B11" r:id="rId10" display="http://www.opentraintimes.com/schedule/L70325/2012/8/8"/>
    <hyperlink ref="B12" r:id="rId11" display="http://www.opentraintimes.com/schedule/L70479/2012/8/8"/>
    <hyperlink ref="B13" r:id="rId12" display="http://www.opentraintimes.com/schedule/L70332/2012/8/8"/>
    <hyperlink ref="B14" r:id="rId13" display="http://www.opentraintimes.com/schedule/L70480/2012/8/8"/>
    <hyperlink ref="B15" r:id="rId14" display="http://www.opentraintimes.com/schedule/L70336/2012/8/8"/>
    <hyperlink ref="B16" r:id="rId15" display="http://www.opentraintimes.com/schedule/L70481/2012/8/8"/>
    <hyperlink ref="B17" r:id="rId16" display="http://www.opentraintimes.com/schedule/L70340/2012/8/8"/>
    <hyperlink ref="B18" r:id="rId17" display="http://www.opentraintimes.com/schedule/L70482/2012/8/8"/>
    <hyperlink ref="B19" r:id="rId18" display="http://www.opentraintimes.com/schedule/L70344/2012/8/8"/>
    <hyperlink ref="B20" r:id="rId19" display="http://www.opentraintimes.com/schedule/L70483/2012/8/8"/>
    <hyperlink ref="B21" r:id="rId20" display="http://www.opentraintimes.com/schedule/L70348/2012/8/8"/>
    <hyperlink ref="B22" r:id="rId21" display="http://www.opentraintimes.com/schedule/L70484/2012/8/8"/>
    <hyperlink ref="B23" r:id="rId22" display="http://www.opentraintimes.com/schedule/L70352/2012/8/8"/>
    <hyperlink ref="B24" r:id="rId23" display="http://www.opentraintimes.com/schedule/L77129/2012/8/8"/>
    <hyperlink ref="B25" r:id="rId24" display="http://www.opentraintimes.com/schedule/L70485/2012/8/8"/>
    <hyperlink ref="B26" r:id="rId25" display="http://www.opentraintimes.com/schedule/L70356/2012/8/8"/>
    <hyperlink ref="B27" r:id="rId26" display="http://www.opentraintimes.com/schedule/L70486/2012/8/8"/>
    <hyperlink ref="B28" r:id="rId27" display="http://www.opentraintimes.com/schedule/L70360/2012/8/8"/>
    <hyperlink ref="B29" r:id="rId28" display="http://www.opentraintimes.com/schedule/L77130/2012/8/8"/>
    <hyperlink ref="B30" r:id="rId29" display="http://www.opentraintimes.com/schedule/L70487/2012/8/8"/>
    <hyperlink ref="B31" r:id="rId30" display="http://www.opentraintimes.com/schedule/L70364/2012/8/8"/>
    <hyperlink ref="B32" r:id="rId31" display="http://www.opentraintimes.com/schedule/L70488/2012/8/8"/>
    <hyperlink ref="B33" r:id="rId32" display="http://www.opentraintimes.com/schedule/L70368/2012/8/8"/>
    <hyperlink ref="B34" r:id="rId33" display="http://www.opentraintimes.com/schedule/L77131/2012/8/8"/>
    <hyperlink ref="B35" r:id="rId34" display="http://www.opentraintimes.com/schedule/L70489/2012/8/8"/>
    <hyperlink ref="B36" r:id="rId35" display="http://www.opentraintimes.com/schedule/L70372/2012/8/8"/>
    <hyperlink ref="B37" r:id="rId36" display="http://www.opentraintimes.com/schedule/L70490/2012/8/8"/>
    <hyperlink ref="B38" r:id="rId37" display="http://www.opentraintimes.com/schedule/L70376/2012/8/8"/>
    <hyperlink ref="B39" r:id="rId38" display="http://www.opentraintimes.com/schedule/L77132/2012/8/8"/>
    <hyperlink ref="B40" r:id="rId39" display="http://www.opentraintimes.com/schedule/L70491/2012/8/8"/>
    <hyperlink ref="B41" r:id="rId40" display="http://www.opentraintimes.com/schedule/L70380/2012/8/8"/>
    <hyperlink ref="B42" r:id="rId41" display="http://www.opentraintimes.com/schedule/L70492/2012/8/8"/>
    <hyperlink ref="B43" r:id="rId42" display="http://www.opentraintimes.com/schedule/L70384/2012/8/8"/>
    <hyperlink ref="B44" r:id="rId43" display="http://www.opentraintimes.com/schedule/L77133/2012/8/8"/>
    <hyperlink ref="B45" r:id="rId44" display="http://www.opentraintimes.com/schedule/L70493/2012/8/8"/>
    <hyperlink ref="B46" r:id="rId45" display="http://www.opentraintimes.com/schedule/L70388/2012/8/8"/>
    <hyperlink ref="B47" r:id="rId46" display="http://www.opentraintimes.com/schedule/L70494/2012/8/8"/>
    <hyperlink ref="B48" r:id="rId47" display="http://www.opentraintimes.com/schedule/L70392/2012/8/8"/>
    <hyperlink ref="B49" r:id="rId48" display="http://www.opentraintimes.com/schedule/L70495/2012/8/8"/>
    <hyperlink ref="B50" r:id="rId49" display="http://www.opentraintimes.com/schedule/L70396/2012/8/8"/>
    <hyperlink ref="B51" r:id="rId50" display="http://www.opentraintimes.com/schedule/L70496/2012/8/8"/>
    <hyperlink ref="B52" r:id="rId51" display="http://www.opentraintimes.com/schedule/L70400/2012/8/8"/>
    <hyperlink ref="B53" r:id="rId52" display="http://www.opentraintimes.com/schedule/L70497/2012/8/8"/>
    <hyperlink ref="B54" r:id="rId53" display="http://www.opentraintimes.com/schedule/L70404/2012/8/8"/>
    <hyperlink ref="B55" r:id="rId54" display="http://www.opentraintimes.com/schedule/L70498/2012/8/8"/>
    <hyperlink ref="B56" r:id="rId55" display="http://www.opentraintimes.com/schedule/L70408/2012/8/8"/>
    <hyperlink ref="B57" r:id="rId56" display="http://www.opentraintimes.com/schedule/L70499/2012/8/8"/>
    <hyperlink ref="B58" r:id="rId57" display="http://www.opentraintimes.com/schedule/L70412/2012/8/8"/>
    <hyperlink ref="B59" r:id="rId58" display="http://www.opentraintimes.com/schedule/L70500/2012/8/8"/>
    <hyperlink ref="B60" r:id="rId59" display="http://www.opentraintimes.com/schedule/L70416/2012/8/8"/>
    <hyperlink ref="B61" r:id="rId60" display="http://www.opentraintimes.com/schedule/L70501/2012/8/8"/>
    <hyperlink ref="B62" r:id="rId61" display="http://www.opentraintimes.com/schedule/L70419/2012/8/8"/>
    <hyperlink ref="B63" r:id="rId62" display="http://www.opentraintimes.com/schedule/L70502/2012/8/8"/>
    <hyperlink ref="B64" r:id="rId63" display="http://www.opentraintimes.com/schedule/L70423/2012/8/8"/>
    <hyperlink ref="B65" r:id="rId64" display="http://www.opentraintimes.com/schedule/L70503/2012/8/8"/>
    <hyperlink ref="B66" r:id="rId65" display="http://www.opentraintimes.com/schedule/L70427/2012/8/8"/>
    <hyperlink ref="B67" r:id="rId66" display="http://www.opentraintimes.com/schedule/L70504/2012/8/8"/>
    <hyperlink ref="B68" r:id="rId67" display="http://www.opentraintimes.com/schedule/L70431/2012/8/8"/>
    <hyperlink ref="B69" r:id="rId68" display="http://www.opentraintimes.com/schedule/L70505/2012/8/8"/>
    <hyperlink ref="B70" r:id="rId69" display="http://www.opentraintimes.com/schedule/L70434/2012/8/8"/>
    <hyperlink ref="B71" r:id="rId70" display="http://www.opentraintimes.com/schedule/L70506/2012/8/8"/>
    <hyperlink ref="B72" r:id="rId71" display="http://www.opentraintimes.com/schedule/L70436/2012/8/8"/>
    <hyperlink ref="B73" r:id="rId72" display="http://www.opentraintimes.com/schedule/L70507/2012/8/8"/>
    <hyperlink ref="B74" r:id="rId73" display="http://www.opentraintimes.com/schedule/L70438/2012/8/8"/>
    <hyperlink ref="B75" r:id="rId74" display="http://www.opentraintimes.com/schedule/L70508/2012/8/8"/>
    <hyperlink ref="B76" r:id="rId75" display="http://www.opentraintimes.com/schedule/L70440/2012/8/8"/>
    <hyperlink ref="B77" r:id="rId76" display="http://www.opentraintimes.com/schedule/L70509/2012/8/8"/>
    <hyperlink ref="B78" r:id="rId77" display="http://www.opentraintimes.com/schedule/L70442/2012/8/8"/>
    <hyperlink ref="B79" r:id="rId78" display="http://www.opentraintimes.com/schedule/L70510/2012/8/8"/>
    <hyperlink ref="B80" r:id="rId79" display="http://www.opentraintimes.com/schedule/L70444/2012/8/8"/>
    <hyperlink ref="B81" r:id="rId80" display="http://www.opentraintimes.com/schedule/L70511/2012/8/8"/>
    <hyperlink ref="B82" r:id="rId81" display="http://www.opentraintimes.com/schedule/L70446/2012/8/8"/>
    <hyperlink ref="B83" r:id="rId82" display="http://www.opentraintimes.com/schedule/L70512/2012/8/8"/>
    <hyperlink ref="B84" r:id="rId83" display="http://www.opentraintimes.com/schedule/L70448/2012/8/8"/>
    <hyperlink ref="B85" r:id="rId84" display="http://www.opentraintimes.com/schedule/L70513/2012/8/8"/>
    <hyperlink ref="B86" r:id="rId85" display="http://www.opentraintimes.com/schedule/L70450/2012/8/8"/>
    <hyperlink ref="B87" r:id="rId86" display="http://www.opentraintimes.com/schedule/L70514/2012/8/8"/>
    <hyperlink ref="B88" r:id="rId87" display="http://www.opentraintimes.com/schedule/L70452/2012/8/8"/>
    <hyperlink ref="B89" r:id="rId88" display="http://www.opentraintimes.com/schedule/L70515/2012/8/8"/>
    <hyperlink ref="B90" r:id="rId89" display="http://www.opentraintimes.com/schedule/L70455/2012/8/8"/>
    <hyperlink ref="B91" r:id="rId90" display="http://www.opentraintimes.com/schedule/L70516/2012/8/8"/>
    <hyperlink ref="B92" r:id="rId91" display="http://www.opentraintimes.com/schedule/L70457/2012/8/8"/>
    <hyperlink ref="B93" r:id="rId92" display="http://www.opentraintimes.com/schedule/L70517/2012/8/8"/>
    <hyperlink ref="B94" r:id="rId93" display="http://www.opentraintimes.com/schedule/L70459/2012/8/8"/>
    <hyperlink ref="B95" r:id="rId94" display="http://www.opentraintimes.com/schedule/L70518/2012/8/8"/>
    <hyperlink ref="B96" r:id="rId95" display="http://www.opentraintimes.com/schedule/L70461/2012/8/8"/>
    <hyperlink ref="B97" r:id="rId96" display="http://www.opentraintimes.com/schedule/L70519/2012/8/8"/>
    <hyperlink ref="B98" r:id="rId97" display="http://www.opentraintimes.com/schedule/L70463/2012/8/8"/>
    <hyperlink ref="B99" r:id="rId98" display="http://www.opentraintimes.com/schedule/L77139/2012/8/8"/>
    <hyperlink ref="B100" r:id="rId99" display="http://www.opentraintimes.com/schedule/L70520/2012/8/8"/>
    <hyperlink ref="B101" r:id="rId100" display="http://www.opentraintimes.com/schedule/L70465/2012/8/8"/>
    <hyperlink ref="B102" r:id="rId101" display="http://www.opentraintimes.com/schedule/L70521/2012/8/8"/>
    <hyperlink ref="B103" r:id="rId102" display="http://www.opentraintimes.com/schedule/L70467/2012/8/8"/>
    <hyperlink ref="B104" r:id="rId103" display="http://www.opentraintimes.com/schedule/L77140/2012/8/8"/>
    <hyperlink ref="B105" r:id="rId104" display="http://www.opentraintimes.com/schedule/L70522/2012/8/8"/>
    <hyperlink ref="B106" r:id="rId105" display="http://www.opentraintimes.com/schedule/L70469/2012/8/8"/>
    <hyperlink ref="B107" r:id="rId106" display="http://www.opentraintimes.com/schedule/L70523/2012/8/8"/>
    <hyperlink ref="B108" r:id="rId107" display="http://www.opentraintimes.com/schedule/L70471/2012/8/8"/>
    <hyperlink ref="B109" r:id="rId108" display="http://www.opentraintimes.com/schedule/L77141/2012/8/8"/>
    <hyperlink ref="B110" r:id="rId109" display="http://www.opentraintimes.com/schedule/L70524/2012/8/8"/>
    <hyperlink ref="B111" r:id="rId110" display="http://www.opentraintimes.com/schedule/L70473/2012/8/8"/>
    <hyperlink ref="B112" r:id="rId111" display="http://www.opentraintimes.com/schedule/L70525/2012/8/8"/>
    <hyperlink ref="B113" r:id="rId112" display="http://www.opentraintimes.com/schedule/L70475/2012/8/8"/>
    <hyperlink ref="B114" r:id="rId113" display="http://www.opentraintimes.com/schedule/L77142/2012/8/8"/>
    <hyperlink ref="B115" r:id="rId114" display="http://www.opentraintimes.com/schedule/L70526/2012/8/8"/>
    <hyperlink ref="B116" r:id="rId115" display="http://www.opentraintimes.com/schedule/L70477/2012/8/8"/>
    <hyperlink ref="B117" r:id="rId116" display="http://www.opentraintimes.com/schedule/L70527/2012/8/8"/>
    <hyperlink ref="B118" r:id="rId117" display="http://www.opentraintimes.com/schedule/L70324/2012/8/8"/>
    <hyperlink ref="B119" r:id="rId118" display="http://www.opentraintimes.com/schedule/L77143/2012/8/8"/>
    <hyperlink ref="B120" r:id="rId119" display="http://www.opentraintimes.com/schedule/L70528/2012/8/8"/>
    <hyperlink ref="B121" r:id="rId120" display="http://www.opentraintimes.com/schedule/L70329/2012/8/8"/>
    <hyperlink ref="B122" r:id="rId121" display="http://www.opentraintimes.com/schedule/L70529/2012/8/8"/>
    <hyperlink ref="B123" r:id="rId122" display="http://www.opentraintimes.com/schedule/L70333/2012/8/8"/>
    <hyperlink ref="B124" r:id="rId123" display="http://www.opentraintimes.com/schedule/L77144/2012/8/8"/>
    <hyperlink ref="B125" r:id="rId124" display="http://www.opentraintimes.com/schedule/L70530/2012/8/8"/>
    <hyperlink ref="B126" r:id="rId125" display="http://www.opentraintimes.com/schedule/L70337/2012/8/8"/>
    <hyperlink ref="B127" r:id="rId126" display="http://www.opentraintimes.com/schedule/L70531/2012/8/8"/>
    <hyperlink ref="B128" r:id="rId127" display="http://www.opentraintimes.com/schedule/L70341/2012/8/8"/>
    <hyperlink ref="B129" r:id="rId128" display="http://www.opentraintimes.com/schedule/L77145/2012/8/8"/>
    <hyperlink ref="B130" r:id="rId129" display="http://www.opentraintimes.com/schedule/L70532/2012/8/8"/>
    <hyperlink ref="B131" r:id="rId130" display="http://www.opentraintimes.com/schedule/L70345/2012/8/8"/>
    <hyperlink ref="B132" r:id="rId131" display="http://www.opentraintimes.com/schedule/L70533/2012/8/8"/>
    <hyperlink ref="B133" r:id="rId132" display="http://www.opentraintimes.com/schedule/L70349/2012/8/8"/>
    <hyperlink ref="B134" r:id="rId133" display="http://www.opentraintimes.com/schedule/L70534/2012/8/8"/>
    <hyperlink ref="B135" r:id="rId134" display="http://www.opentraintimes.com/schedule/L70353/2012/8/8"/>
    <hyperlink ref="B136" r:id="rId135" display="http://www.opentraintimes.com/schedule/L70535/2012/8/8"/>
    <hyperlink ref="B137" r:id="rId136" display="http://www.opentraintimes.com/schedule/L70357/2012/8/8"/>
    <hyperlink ref="B138" r:id="rId137" display="http://www.opentraintimes.com/schedule/L70536/2012/8/8"/>
    <hyperlink ref="B139" r:id="rId138" display="http://www.opentraintimes.com/schedule/L70361/2012/8/8"/>
    <hyperlink ref="B140" r:id="rId139" display="http://www.opentraintimes.com/schedule/L70537/2012/8/8"/>
    <hyperlink ref="B141" r:id="rId140" display="http://www.opentraintimes.com/schedule/L70365/2012/8/8"/>
    <hyperlink ref="B142" r:id="rId141" display="http://www.opentraintimes.com/schedule/L70538/2012/8/8"/>
    <hyperlink ref="B143" r:id="rId142" display="http://www.opentraintimes.com/schedule/L70369/2012/8/8"/>
    <hyperlink ref="B144" r:id="rId143" display="http://www.opentraintimes.com/schedule/L70539/2012/8/8"/>
    <hyperlink ref="B145" r:id="rId144" display="http://www.opentraintimes.com/schedule/L70373/2012/8/8"/>
    <hyperlink ref="B146" r:id="rId145" display="http://www.opentraintimes.com/schedule/L70540/2012/8/8"/>
    <hyperlink ref="B147" r:id="rId146" display="http://www.opentraintimes.com/schedule/L70377/2012/8/8"/>
    <hyperlink ref="B148" r:id="rId147" display="http://www.opentraintimes.com/schedule/L70541/2012/8/8"/>
    <hyperlink ref="B149" r:id="rId148" display="http://www.opentraintimes.com/schedule/L70381/2012/8/8"/>
    <hyperlink ref="B150" r:id="rId149" display="http://www.opentraintimes.com/schedule/L70542/2012/8/8"/>
    <hyperlink ref="B151" r:id="rId150" display="http://www.opentraintimes.com/schedule/L70385/2012/8/8"/>
    <hyperlink ref="B152" r:id="rId151" display="http://www.opentraintimes.com/schedule/L70543/2012/8/8"/>
    <hyperlink ref="B153" r:id="rId152" display="http://www.opentraintimes.com/schedule/L70389/2012/8/8"/>
    <hyperlink ref="B154" r:id="rId153" display="http://www.opentraintimes.com/schedule/L70544/2012/8/8"/>
    <hyperlink ref="B155" r:id="rId154" display="http://www.opentraintimes.com/schedule/L70393/2012/8/8"/>
    <hyperlink ref="B156" r:id="rId155" display="http://www.opentraintimes.com/schedule/L70545/2012/8/8"/>
    <hyperlink ref="B157" r:id="rId156" display="http://www.opentraintimes.com/schedule/L70397/2012/8/8"/>
    <hyperlink ref="B158" r:id="rId157" display="http://www.opentraintimes.com/schedule/L70546/2012/8/8"/>
    <hyperlink ref="B159" r:id="rId158" display="http://www.opentraintimes.com/schedule/L70401/2012/8/8"/>
    <hyperlink ref="B160" r:id="rId159" display="http://www.opentraintimes.com/schedule/L70547/2012/8/8"/>
    <hyperlink ref="B161" r:id="rId160" display="http://www.opentraintimes.com/schedule/L70405/2012/8/8"/>
    <hyperlink ref="B162" r:id="rId161" display="http://www.opentraintimes.com/schedule/L70548/2012/8/8"/>
    <hyperlink ref="B163" r:id="rId162" display="http://www.opentraintimes.com/schedule/L70409/2012/8/8"/>
    <hyperlink ref="B164" r:id="rId163" display="http://www.opentraintimes.com/schedule/L70549/2012/8/8"/>
    <hyperlink ref="B165" r:id="rId164" display="http://www.opentraintimes.com/schedule/L70413/2012/8/8"/>
    <hyperlink ref="B166" r:id="rId165" display="http://www.opentraintimes.com/schedule/L70550/2012/8/8"/>
    <hyperlink ref="B167" r:id="rId166" display="http://www.opentraintimes.com/schedule/L70417/2012/8/8"/>
  </hyperlinks>
  <pageMargins left="0.7" right="0.7" top="0.75" bottom="0.75" header="0.3" footer="0.3"/>
  <pageSetup paperSize="9" orientation="portrait" horizontalDpi="0" verticalDpi="0" r:id="rId16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16"/>
  <sheetViews>
    <sheetView tabSelected="1" workbookViewId="0">
      <pane ySplit="1" topLeftCell="A2" activePane="bottomLeft" state="frozen"/>
      <selection pane="bottomLeft" activeCell="K45" sqref="K45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9.7109375" customWidth="1"/>
    <col min="5" max="5" width="13.5703125" customWidth="1"/>
    <col min="6" max="6" width="19" customWidth="1"/>
    <col min="7" max="7" width="14.42578125" customWidth="1"/>
    <col min="8" max="8" width="7.140625" customWidth="1"/>
    <col min="9" max="9" width="8.140625" customWidth="1"/>
    <col min="10" max="11" width="10.140625" customWidth="1"/>
    <col min="12" max="12" width="10.140625" hidden="1" customWidth="1"/>
    <col min="13" max="13" width="9" style="9" customWidth="1"/>
    <col min="14" max="14" width="19.85546875" customWidth="1"/>
    <col min="15" max="15" width="20.28515625" customWidth="1"/>
    <col min="16" max="16" width="17.140625" customWidth="1"/>
    <col min="17" max="17" width="18" customWidth="1"/>
    <col min="18" max="18" width="12.5703125" customWidth="1"/>
    <col min="19" max="19" width="16.85546875" customWidth="1"/>
    <col min="20" max="20" width="17.140625" customWidth="1"/>
    <col min="21" max="21" width="16.85546875" customWidth="1"/>
    <col min="22" max="22" width="18.28515625" customWidth="1"/>
    <col min="23" max="23" width="15.140625" customWidth="1"/>
    <col min="24" max="24" width="17.42578125" customWidth="1"/>
    <col min="25" max="25" width="18.5703125" customWidth="1"/>
    <col min="26" max="27" width="17.140625" customWidth="1"/>
    <col min="28" max="29" width="13.85546875" customWidth="1"/>
    <col min="30" max="30" width="14" customWidth="1"/>
  </cols>
  <sheetData>
    <row r="1" spans="1:30" s="1" customFormat="1" ht="30" customHeight="1" x14ac:dyDescent="0.25">
      <c r="A1" s="16" t="s">
        <v>3925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" t="s">
        <v>178</v>
      </c>
      <c r="I1" s="1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  <c r="W1" s="1" t="s">
        <v>2984</v>
      </c>
      <c r="X1" s="1" t="s">
        <v>2985</v>
      </c>
      <c r="Y1" s="1" t="s">
        <v>2986</v>
      </c>
      <c r="Z1" s="1" t="s">
        <v>2987</v>
      </c>
      <c r="AA1" s="1" t="s">
        <v>2988</v>
      </c>
      <c r="AB1" s="1" t="s">
        <v>2989</v>
      </c>
      <c r="AC1" s="1" t="s">
        <v>2990</v>
      </c>
      <c r="AD1" s="1" t="s">
        <v>2991</v>
      </c>
    </row>
    <row r="2" spans="1:30" ht="15" customHeight="1" x14ac:dyDescent="0.25">
      <c r="B2" s="3" t="s">
        <v>3320</v>
      </c>
      <c r="C2" s="1" t="s">
        <v>3318</v>
      </c>
      <c r="D2" s="2" t="s">
        <v>3321</v>
      </c>
      <c r="E2" s="1" t="s">
        <v>3927</v>
      </c>
      <c r="F2" s="2" t="s">
        <v>3926</v>
      </c>
      <c r="G2" s="1" t="s">
        <v>248</v>
      </c>
      <c r="H2" s="1" t="s">
        <v>3322</v>
      </c>
      <c r="I2" t="str">
        <f t="shared" ref="I2:I15" si="0">LEFT(B2,2)</f>
        <v>2D</v>
      </c>
      <c r="J2" t="str">
        <f t="shared" ref="J2:J15" si="1">LEFT(C2,5)</f>
        <v xml:space="preserve">2358 </v>
      </c>
      <c r="K2" t="str">
        <f t="shared" ref="K2:K15" si="2">LEFT(G2,5)</f>
        <v xml:space="preserve">0001 </v>
      </c>
      <c r="L2" t="str">
        <f t="shared" ref="L2:L15" si="3">LEFT(E2,6)</f>
        <v>UP</v>
      </c>
      <c r="M2" s="8" t="str">
        <f>E2</f>
        <v>UP</v>
      </c>
      <c r="N2" t="s">
        <v>3946</v>
      </c>
      <c r="O2" t="s">
        <v>3926</v>
      </c>
    </row>
    <row r="3" spans="1:30" ht="15" customHeight="1" x14ac:dyDescent="0.25">
      <c r="B3" s="3" t="s">
        <v>3320</v>
      </c>
      <c r="C3" s="1" t="s">
        <v>3318</v>
      </c>
      <c r="D3" s="2" t="s">
        <v>3321</v>
      </c>
      <c r="E3" s="1" t="s">
        <v>3927</v>
      </c>
      <c r="F3" s="2" t="s">
        <v>3926</v>
      </c>
      <c r="G3" s="1" t="s">
        <v>248</v>
      </c>
      <c r="H3" s="1" t="s">
        <v>3322</v>
      </c>
      <c r="I3" t="str">
        <f t="shared" si="0"/>
        <v>2D</v>
      </c>
      <c r="J3" t="str">
        <f t="shared" si="1"/>
        <v xml:space="preserve">2358 </v>
      </c>
      <c r="K3" t="str">
        <f t="shared" si="2"/>
        <v xml:space="preserve">0001 </v>
      </c>
      <c r="L3" t="str">
        <f t="shared" si="3"/>
        <v>UP</v>
      </c>
      <c r="M3" s="8" t="str">
        <f t="shared" ref="M3:M61" si="4">E3</f>
        <v>UP</v>
      </c>
      <c r="N3" t="s">
        <v>3946</v>
      </c>
      <c r="O3" t="s">
        <v>3926</v>
      </c>
    </row>
    <row r="4" spans="1:30" ht="15" customHeight="1" x14ac:dyDescent="0.25">
      <c r="B4" s="3" t="s">
        <v>3323</v>
      </c>
      <c r="C4" s="1" t="s">
        <v>1018</v>
      </c>
      <c r="D4" s="2" t="s">
        <v>3926</v>
      </c>
      <c r="E4" s="1" t="s">
        <v>3928</v>
      </c>
      <c r="F4" s="2" t="s">
        <v>3324</v>
      </c>
      <c r="G4" s="1" t="s">
        <v>248</v>
      </c>
      <c r="H4" s="1" t="s">
        <v>3322</v>
      </c>
      <c r="I4" t="str">
        <f t="shared" si="0"/>
        <v>2D</v>
      </c>
      <c r="J4" t="str">
        <f t="shared" si="1"/>
        <v xml:space="preserve">2359 </v>
      </c>
      <c r="K4" t="str">
        <f t="shared" si="2"/>
        <v xml:space="preserve">0001 </v>
      </c>
      <c r="L4" t="str">
        <f t="shared" si="3"/>
        <v>DN</v>
      </c>
      <c r="M4" s="8" t="str">
        <f t="shared" si="4"/>
        <v>DN</v>
      </c>
      <c r="N4" t="s">
        <v>3929</v>
      </c>
      <c r="O4" t="s">
        <v>3930</v>
      </c>
      <c r="P4" t="s">
        <v>3943</v>
      </c>
      <c r="Q4" t="s">
        <v>3944</v>
      </c>
      <c r="R4" t="s">
        <v>3326</v>
      </c>
      <c r="S4" t="s">
        <v>3940</v>
      </c>
      <c r="T4" t="s">
        <v>3941</v>
      </c>
      <c r="U4" t="s">
        <v>3942</v>
      </c>
      <c r="V4" t="s">
        <v>3376</v>
      </c>
      <c r="W4" t="s">
        <v>3933</v>
      </c>
      <c r="X4" t="s">
        <v>3934</v>
      </c>
      <c r="Y4" t="s">
        <v>3935</v>
      </c>
      <c r="Z4" t="s">
        <v>3936</v>
      </c>
      <c r="AA4" t="s">
        <v>3321</v>
      </c>
      <c r="AB4" t="s">
        <v>3937</v>
      </c>
      <c r="AC4" t="s">
        <v>3385</v>
      </c>
      <c r="AD4" t="s">
        <v>3324</v>
      </c>
    </row>
    <row r="5" spans="1:30" ht="15" customHeight="1" x14ac:dyDescent="0.25">
      <c r="B5" s="3" t="s">
        <v>3325</v>
      </c>
      <c r="C5" s="1" t="s">
        <v>1057</v>
      </c>
      <c r="D5" s="2" t="s">
        <v>3326</v>
      </c>
      <c r="E5" s="1" t="s">
        <v>3927</v>
      </c>
      <c r="F5" s="2" t="s">
        <v>3926</v>
      </c>
      <c r="G5" s="1" t="s">
        <v>1064</v>
      </c>
      <c r="H5" s="1" t="s">
        <v>3322</v>
      </c>
      <c r="I5" t="str">
        <f t="shared" si="0"/>
        <v>2R</v>
      </c>
      <c r="J5" t="str">
        <f t="shared" si="1"/>
        <v xml:space="preserve">0003 </v>
      </c>
      <c r="K5" t="str">
        <f t="shared" si="2"/>
        <v xml:space="preserve">0006 </v>
      </c>
      <c r="L5" t="str">
        <f t="shared" si="3"/>
        <v>UP</v>
      </c>
      <c r="M5" s="8" t="str">
        <f t="shared" si="4"/>
        <v>UP</v>
      </c>
      <c r="N5" t="s">
        <v>3946</v>
      </c>
      <c r="O5" t="s">
        <v>3926</v>
      </c>
    </row>
    <row r="6" spans="1:30" ht="15" customHeight="1" x14ac:dyDescent="0.25">
      <c r="B6" s="3" t="s">
        <v>3327</v>
      </c>
      <c r="C6" s="1" t="s">
        <v>3328</v>
      </c>
      <c r="D6" s="2" t="s">
        <v>3926</v>
      </c>
      <c r="E6" s="1" t="s">
        <v>3928</v>
      </c>
      <c r="F6" s="2" t="s">
        <v>3324</v>
      </c>
      <c r="G6" s="1" t="s">
        <v>260</v>
      </c>
      <c r="H6" s="1" t="s">
        <v>3322</v>
      </c>
      <c r="I6" t="str">
        <f t="shared" si="0"/>
        <v>1B</v>
      </c>
      <c r="J6" t="str">
        <f t="shared" si="1"/>
        <v xml:space="preserve">0009 </v>
      </c>
      <c r="K6" t="str">
        <f t="shared" si="2"/>
        <v xml:space="preserve">0011 </v>
      </c>
      <c r="L6" t="str">
        <f t="shared" si="3"/>
        <v>DN</v>
      </c>
      <c r="M6" s="8" t="str">
        <f t="shared" si="4"/>
        <v>DN</v>
      </c>
      <c r="N6" t="s">
        <v>3929</v>
      </c>
      <c r="O6" t="s">
        <v>3930</v>
      </c>
      <c r="P6" t="s">
        <v>3382</v>
      </c>
      <c r="Q6" t="s">
        <v>3932</v>
      </c>
      <c r="R6" t="s">
        <v>3933</v>
      </c>
      <c r="S6" t="s">
        <v>3934</v>
      </c>
      <c r="T6" t="s">
        <v>3935</v>
      </c>
      <c r="U6" t="s">
        <v>3936</v>
      </c>
      <c r="V6" t="s">
        <v>3321</v>
      </c>
      <c r="W6" t="s">
        <v>3937</v>
      </c>
      <c r="X6" t="s">
        <v>3385</v>
      </c>
      <c r="Y6" t="s">
        <v>3324</v>
      </c>
    </row>
    <row r="7" spans="1:30" ht="15" customHeight="1" x14ac:dyDescent="0.25">
      <c r="B7" s="3" t="s">
        <v>3329</v>
      </c>
      <c r="C7" s="1" t="s">
        <v>3328</v>
      </c>
      <c r="D7" s="2" t="s">
        <v>3324</v>
      </c>
      <c r="E7" s="1" t="s">
        <v>3927</v>
      </c>
      <c r="F7" s="2" t="s">
        <v>3926</v>
      </c>
      <c r="G7" s="1" t="s">
        <v>258</v>
      </c>
      <c r="H7" s="1" t="s">
        <v>3322</v>
      </c>
      <c r="I7" t="str">
        <f t="shared" si="0"/>
        <v>2B</v>
      </c>
      <c r="J7" t="str">
        <f t="shared" si="1"/>
        <v xml:space="preserve">0009 </v>
      </c>
      <c r="K7" t="str">
        <f t="shared" si="2"/>
        <v xml:space="preserve">0012 </v>
      </c>
      <c r="L7" t="str">
        <f t="shared" si="3"/>
        <v>UP</v>
      </c>
      <c r="M7" s="8" t="str">
        <f t="shared" si="4"/>
        <v>UP</v>
      </c>
      <c r="N7" t="s">
        <v>3946</v>
      </c>
      <c r="O7" t="s">
        <v>3926</v>
      </c>
    </row>
    <row r="8" spans="1:30" ht="15" customHeight="1" x14ac:dyDescent="0.25">
      <c r="B8" s="3" t="s">
        <v>3330</v>
      </c>
      <c r="C8" s="1"/>
      <c r="D8" s="1" t="s">
        <v>1037</v>
      </c>
      <c r="E8" s="1" t="s">
        <v>3927</v>
      </c>
      <c r="F8" s="2" t="s">
        <v>3926</v>
      </c>
      <c r="G8" s="1" t="s">
        <v>265</v>
      </c>
      <c r="H8" s="1" t="s">
        <v>3322</v>
      </c>
      <c r="I8" t="str">
        <f t="shared" si="0"/>
        <v>2G</v>
      </c>
      <c r="J8" t="str">
        <f t="shared" si="1"/>
        <v/>
      </c>
      <c r="K8" t="str">
        <f t="shared" si="2"/>
        <v xml:space="preserve">0020 </v>
      </c>
      <c r="L8" t="str">
        <f t="shared" si="3"/>
        <v>UP</v>
      </c>
      <c r="M8" s="8" t="str">
        <f t="shared" si="4"/>
        <v>UP</v>
      </c>
      <c r="N8" t="s">
        <v>3946</v>
      </c>
      <c r="O8" t="s">
        <v>3926</v>
      </c>
    </row>
    <row r="9" spans="1:30" ht="15" customHeight="1" x14ac:dyDescent="0.25">
      <c r="B9" s="3" t="s">
        <v>3331</v>
      </c>
      <c r="C9" s="1" t="s">
        <v>274</v>
      </c>
      <c r="D9" s="2" t="s">
        <v>3926</v>
      </c>
      <c r="E9" s="1" t="s">
        <v>3928</v>
      </c>
      <c r="F9" s="2" t="s">
        <v>3326</v>
      </c>
      <c r="G9" s="1" t="s">
        <v>3332</v>
      </c>
      <c r="H9" s="1" t="s">
        <v>3322</v>
      </c>
      <c r="I9" t="str">
        <f t="shared" si="0"/>
        <v>2R</v>
      </c>
      <c r="J9" t="str">
        <f t="shared" si="1"/>
        <v xml:space="preserve">0027 </v>
      </c>
      <c r="K9" t="str">
        <f t="shared" si="2"/>
        <v>0028½</v>
      </c>
      <c r="L9" t="str">
        <f t="shared" si="3"/>
        <v>DN</v>
      </c>
      <c r="M9" s="8" t="str">
        <f t="shared" si="4"/>
        <v>DN</v>
      </c>
      <c r="N9" t="s">
        <v>3929</v>
      </c>
      <c r="O9" t="s">
        <v>3938</v>
      </c>
      <c r="P9" t="s">
        <v>1033</v>
      </c>
      <c r="Q9" t="s">
        <v>3939</v>
      </c>
      <c r="R9" t="s">
        <v>3326</v>
      </c>
    </row>
    <row r="10" spans="1:30" ht="15" customHeight="1" x14ac:dyDescent="0.25">
      <c r="B10" s="3" t="s">
        <v>3333</v>
      </c>
      <c r="C10" s="1"/>
      <c r="D10" s="1" t="s">
        <v>1037</v>
      </c>
      <c r="E10" s="1" t="s">
        <v>3927</v>
      </c>
      <c r="F10" s="2" t="s">
        <v>3926</v>
      </c>
      <c r="G10" s="1" t="s">
        <v>182</v>
      </c>
      <c r="H10" s="1" t="s">
        <v>3322</v>
      </c>
      <c r="I10" t="str">
        <f t="shared" si="0"/>
        <v>2G</v>
      </c>
      <c r="J10" t="str">
        <f t="shared" si="1"/>
        <v/>
      </c>
      <c r="K10" t="str">
        <f t="shared" si="2"/>
        <v xml:space="preserve">0030 </v>
      </c>
      <c r="L10" t="str">
        <f t="shared" si="3"/>
        <v>UP</v>
      </c>
      <c r="M10" s="8" t="str">
        <f t="shared" si="4"/>
        <v>UP</v>
      </c>
      <c r="N10" t="s">
        <v>3946</v>
      </c>
      <c r="O10" t="s">
        <v>3926</v>
      </c>
    </row>
    <row r="11" spans="1:30" ht="15" customHeight="1" x14ac:dyDescent="0.25">
      <c r="B11" s="3" t="s">
        <v>3334</v>
      </c>
      <c r="C11" s="1"/>
      <c r="D11" s="1" t="s">
        <v>1037</v>
      </c>
      <c r="E11" s="1" t="s">
        <v>3927</v>
      </c>
      <c r="F11" s="2" t="s">
        <v>3926</v>
      </c>
      <c r="G11" s="1" t="s">
        <v>193</v>
      </c>
      <c r="H11" s="1" t="s">
        <v>3322</v>
      </c>
      <c r="I11" t="str">
        <f t="shared" si="0"/>
        <v>2G</v>
      </c>
      <c r="J11" t="str">
        <f t="shared" si="1"/>
        <v/>
      </c>
      <c r="K11" t="str">
        <f t="shared" si="2"/>
        <v xml:space="preserve">0040 </v>
      </c>
      <c r="L11" t="str">
        <f t="shared" si="3"/>
        <v>UP</v>
      </c>
      <c r="M11" s="8" t="str">
        <f t="shared" si="4"/>
        <v>UP</v>
      </c>
      <c r="N11" t="s">
        <v>3946</v>
      </c>
      <c r="O11" t="s">
        <v>3926</v>
      </c>
    </row>
    <row r="12" spans="1:30" ht="15" customHeight="1" x14ac:dyDescent="0.25">
      <c r="B12" s="3" t="s">
        <v>3335</v>
      </c>
      <c r="C12" s="1" t="s">
        <v>3336</v>
      </c>
      <c r="D12" s="2" t="s">
        <v>3926</v>
      </c>
      <c r="E12" s="1" t="s">
        <v>3928</v>
      </c>
      <c r="F12" s="2" t="s">
        <v>3324</v>
      </c>
      <c r="G12" s="1" t="s">
        <v>198</v>
      </c>
      <c r="H12" s="1" t="s">
        <v>3322</v>
      </c>
      <c r="I12" t="str">
        <f t="shared" si="0"/>
        <v>2B</v>
      </c>
      <c r="J12" t="str">
        <f t="shared" si="1"/>
        <v xml:space="preserve">0039 </v>
      </c>
      <c r="K12" t="str">
        <f t="shared" si="2"/>
        <v xml:space="preserve">0041 </v>
      </c>
      <c r="L12" t="str">
        <f t="shared" si="3"/>
        <v>DN</v>
      </c>
      <c r="M12" s="8" t="str">
        <f t="shared" si="4"/>
        <v>DN</v>
      </c>
      <c r="N12" t="s">
        <v>3929</v>
      </c>
      <c r="O12" t="s">
        <v>3930</v>
      </c>
      <c r="P12" t="s">
        <v>3931</v>
      </c>
      <c r="Q12" t="s">
        <v>3382</v>
      </c>
      <c r="R12" t="s">
        <v>3932</v>
      </c>
      <c r="S12" t="s">
        <v>3376</v>
      </c>
      <c r="T12" t="s">
        <v>3933</v>
      </c>
      <c r="U12" t="s">
        <v>3934</v>
      </c>
      <c r="V12" t="s">
        <v>3935</v>
      </c>
      <c r="W12" t="s">
        <v>3936</v>
      </c>
      <c r="X12" t="s">
        <v>3321</v>
      </c>
      <c r="Y12" t="s">
        <v>3937</v>
      </c>
      <c r="Z12" t="s">
        <v>3385</v>
      </c>
      <c r="AA12" t="s">
        <v>3324</v>
      </c>
    </row>
    <row r="13" spans="1:30" ht="15" customHeight="1" x14ac:dyDescent="0.25">
      <c r="B13" s="3" t="s">
        <v>3337</v>
      </c>
      <c r="C13" s="1"/>
      <c r="D13" s="1" t="s">
        <v>1037</v>
      </c>
      <c r="E13" s="1" t="s">
        <v>3927</v>
      </c>
      <c r="F13" s="2" t="s">
        <v>3926</v>
      </c>
      <c r="G13" s="1" t="s">
        <v>203</v>
      </c>
      <c r="H13" s="1" t="s">
        <v>3322</v>
      </c>
      <c r="I13" t="str">
        <f t="shared" si="0"/>
        <v>2G</v>
      </c>
      <c r="J13" t="str">
        <f t="shared" si="1"/>
        <v/>
      </c>
      <c r="K13" t="str">
        <f t="shared" si="2"/>
        <v xml:space="preserve">0050 </v>
      </c>
      <c r="L13" t="str">
        <f t="shared" si="3"/>
        <v>UP</v>
      </c>
      <c r="M13" s="8" t="str">
        <f t="shared" si="4"/>
        <v>UP</v>
      </c>
      <c r="N13" t="s">
        <v>3946</v>
      </c>
      <c r="O13" t="s">
        <v>3926</v>
      </c>
    </row>
    <row r="14" spans="1:30" ht="15" customHeight="1" x14ac:dyDescent="0.25">
      <c r="B14" s="3" t="s">
        <v>3338</v>
      </c>
      <c r="C14" s="1"/>
      <c r="D14" s="1" t="s">
        <v>1037</v>
      </c>
      <c r="E14" s="1" t="s">
        <v>3927</v>
      </c>
      <c r="F14" s="2" t="s">
        <v>3926</v>
      </c>
      <c r="G14" s="1" t="s">
        <v>3340</v>
      </c>
      <c r="H14" s="1" t="s">
        <v>3322</v>
      </c>
      <c r="I14" t="str">
        <f t="shared" si="0"/>
        <v>2G</v>
      </c>
      <c r="J14" t="str">
        <f t="shared" si="1"/>
        <v/>
      </c>
      <c r="K14" t="str">
        <f t="shared" si="2"/>
        <v xml:space="preserve">0059 </v>
      </c>
      <c r="L14" t="str">
        <f t="shared" si="3"/>
        <v>UP</v>
      </c>
      <c r="M14" s="8" t="str">
        <f t="shared" si="4"/>
        <v>UP</v>
      </c>
      <c r="N14" t="s">
        <v>3946</v>
      </c>
      <c r="O14" t="s">
        <v>3926</v>
      </c>
    </row>
    <row r="15" spans="1:30" ht="15" customHeight="1" x14ac:dyDescent="0.25">
      <c r="B15" s="3" t="s">
        <v>3339</v>
      </c>
      <c r="C15" s="1" t="s">
        <v>3340</v>
      </c>
      <c r="D15" s="2" t="s">
        <v>3926</v>
      </c>
      <c r="E15" s="1" t="s">
        <v>3928</v>
      </c>
      <c r="F15" s="2" t="s">
        <v>3324</v>
      </c>
      <c r="G15" s="1" t="s">
        <v>220</v>
      </c>
      <c r="H15" s="1" t="s">
        <v>3322</v>
      </c>
      <c r="I15" t="str">
        <f t="shared" si="0"/>
        <v>2B</v>
      </c>
      <c r="J15" t="str">
        <f t="shared" si="1"/>
        <v xml:space="preserve">0059 </v>
      </c>
      <c r="K15" t="str">
        <f t="shared" si="2"/>
        <v xml:space="preserve">0101 </v>
      </c>
      <c r="L15" t="str">
        <f t="shared" si="3"/>
        <v>DN</v>
      </c>
      <c r="M15" s="8" t="str">
        <f t="shared" si="4"/>
        <v>DN</v>
      </c>
      <c r="N15" t="s">
        <v>3929</v>
      </c>
      <c r="O15" t="s">
        <v>3930</v>
      </c>
      <c r="P15" t="s">
        <v>3931</v>
      </c>
      <c r="Q15" t="s">
        <v>3382</v>
      </c>
      <c r="R15" t="s">
        <v>3932</v>
      </c>
      <c r="S15" t="s">
        <v>3376</v>
      </c>
      <c r="T15" t="s">
        <v>3933</v>
      </c>
      <c r="U15" t="s">
        <v>3934</v>
      </c>
      <c r="V15" t="s">
        <v>3935</v>
      </c>
      <c r="W15" t="s">
        <v>3936</v>
      </c>
      <c r="X15" t="s">
        <v>3321</v>
      </c>
      <c r="Y15" t="s">
        <v>3937</v>
      </c>
      <c r="Z15" t="s">
        <v>3385</v>
      </c>
      <c r="AA15" t="s">
        <v>3324</v>
      </c>
    </row>
    <row r="16" spans="1:30" ht="15" customHeight="1" x14ac:dyDescent="0.25">
      <c r="B16" s="3" t="s">
        <v>3341</v>
      </c>
      <c r="C16" s="1" t="s">
        <v>3342</v>
      </c>
      <c r="D16" s="2" t="s">
        <v>3324</v>
      </c>
      <c r="E16" s="1" t="s">
        <v>3927</v>
      </c>
      <c r="F16" s="2" t="s">
        <v>3926</v>
      </c>
      <c r="G16" s="1" t="s">
        <v>1180</v>
      </c>
      <c r="H16" s="1" t="s">
        <v>3322</v>
      </c>
      <c r="I16" t="str">
        <f t="shared" ref="I16:I20" si="5">LEFT(B16,2)</f>
        <v>2B</v>
      </c>
      <c r="J16" t="str">
        <f t="shared" ref="J16:J20" si="6">LEFT(C16,5)</f>
        <v>0516½</v>
      </c>
      <c r="K16" t="str">
        <f t="shared" ref="K16:K20" si="7">LEFT(G16,5)</f>
        <v xml:space="preserve">0517 </v>
      </c>
      <c r="M16" s="8" t="str">
        <f t="shared" si="4"/>
        <v>UP</v>
      </c>
      <c r="N16" t="s">
        <v>3946</v>
      </c>
      <c r="O16" t="s">
        <v>3926</v>
      </c>
    </row>
    <row r="17" spans="2:29" ht="15" customHeight="1" x14ac:dyDescent="0.25">
      <c r="B17" s="3" t="s">
        <v>3343</v>
      </c>
      <c r="C17" s="1" t="s">
        <v>3344</v>
      </c>
      <c r="D17" s="2" t="s">
        <v>3926</v>
      </c>
      <c r="E17" s="1" t="s">
        <v>3928</v>
      </c>
      <c r="F17" s="2" t="s">
        <v>3324</v>
      </c>
      <c r="G17" s="1" t="s">
        <v>3345</v>
      </c>
      <c r="H17" s="1" t="s">
        <v>3322</v>
      </c>
      <c r="I17" t="str">
        <f t="shared" si="5"/>
        <v>2B</v>
      </c>
      <c r="J17" t="str">
        <f t="shared" si="6"/>
        <v xml:space="preserve">0519 </v>
      </c>
      <c r="K17" t="str">
        <f t="shared" si="7"/>
        <v>0519½</v>
      </c>
      <c r="M17" s="8" t="str">
        <f t="shared" si="4"/>
        <v>DN</v>
      </c>
      <c r="N17" t="s">
        <v>3929</v>
      </c>
      <c r="O17" t="s">
        <v>3930</v>
      </c>
      <c r="P17" t="s">
        <v>3931</v>
      </c>
      <c r="Q17" t="s">
        <v>3382</v>
      </c>
      <c r="R17" t="s">
        <v>3932</v>
      </c>
      <c r="S17" t="s">
        <v>3376</v>
      </c>
      <c r="T17" t="s">
        <v>3933</v>
      </c>
      <c r="U17" t="s">
        <v>3934</v>
      </c>
      <c r="V17" t="s">
        <v>3935</v>
      </c>
      <c r="W17" t="s">
        <v>3936</v>
      </c>
      <c r="X17" t="s">
        <v>3321</v>
      </c>
      <c r="Y17" t="s">
        <v>3937</v>
      </c>
      <c r="Z17" t="s">
        <v>3385</v>
      </c>
      <c r="AA17" t="s">
        <v>3324</v>
      </c>
    </row>
    <row r="18" spans="2:29" ht="15" customHeight="1" x14ac:dyDescent="0.25">
      <c r="B18" s="3" t="s">
        <v>3346</v>
      </c>
      <c r="C18" s="1" t="s">
        <v>1203</v>
      </c>
      <c r="D18" s="2" t="s">
        <v>3926</v>
      </c>
      <c r="E18" s="1" t="s">
        <v>3928</v>
      </c>
      <c r="F18" s="2" t="s">
        <v>3324</v>
      </c>
      <c r="G18" s="1" t="s">
        <v>1204</v>
      </c>
      <c r="H18" s="1" t="s">
        <v>3322</v>
      </c>
      <c r="I18" t="str">
        <f t="shared" si="5"/>
        <v>2B</v>
      </c>
      <c r="J18" t="str">
        <f t="shared" si="6"/>
        <v xml:space="preserve">0549 </v>
      </c>
      <c r="K18" t="str">
        <f t="shared" si="7"/>
        <v>0549½</v>
      </c>
      <c r="M18" s="8" t="str">
        <f t="shared" si="4"/>
        <v>DN</v>
      </c>
      <c r="N18" t="s">
        <v>3929</v>
      </c>
      <c r="O18" t="s">
        <v>3930</v>
      </c>
      <c r="P18" t="s">
        <v>3931</v>
      </c>
      <c r="Q18" t="s">
        <v>3382</v>
      </c>
      <c r="R18" t="s">
        <v>3932</v>
      </c>
      <c r="S18" t="s">
        <v>3376</v>
      </c>
      <c r="T18" t="s">
        <v>3933</v>
      </c>
      <c r="U18" t="s">
        <v>3934</v>
      </c>
      <c r="V18" t="s">
        <v>3935</v>
      </c>
      <c r="W18" t="s">
        <v>3936</v>
      </c>
      <c r="X18" t="s">
        <v>3321</v>
      </c>
      <c r="Y18" t="s">
        <v>3937</v>
      </c>
      <c r="Z18" t="s">
        <v>3385</v>
      </c>
      <c r="AA18" t="s">
        <v>3324</v>
      </c>
    </row>
    <row r="19" spans="2:29" ht="15" customHeight="1" x14ac:dyDescent="0.25">
      <c r="B19" s="3" t="s">
        <v>3347</v>
      </c>
      <c r="C19" s="1" t="s">
        <v>3348</v>
      </c>
      <c r="D19" s="2" t="s">
        <v>3324</v>
      </c>
      <c r="E19" s="1" t="s">
        <v>3927</v>
      </c>
      <c r="F19" s="2" t="s">
        <v>3926</v>
      </c>
      <c r="G19" s="1" t="s">
        <v>3349</v>
      </c>
      <c r="H19" s="1" t="s">
        <v>3322</v>
      </c>
      <c r="I19" t="str">
        <f t="shared" si="5"/>
        <v>2R</v>
      </c>
      <c r="J19" t="str">
        <f t="shared" si="6"/>
        <v>0551½</v>
      </c>
      <c r="K19" t="str">
        <f t="shared" si="7"/>
        <v xml:space="preserve">0552 </v>
      </c>
      <c r="M19" s="8" t="str">
        <f t="shared" si="4"/>
        <v>UP</v>
      </c>
      <c r="N19" t="s">
        <v>3946</v>
      </c>
      <c r="O19" t="s">
        <v>3926</v>
      </c>
    </row>
    <row r="20" spans="2:29" ht="15" customHeight="1" x14ac:dyDescent="0.25">
      <c r="B20" s="3" t="s">
        <v>3350</v>
      </c>
      <c r="C20" s="1" t="s">
        <v>3351</v>
      </c>
      <c r="D20" s="2" t="s">
        <v>3324</v>
      </c>
      <c r="E20" s="1" t="s">
        <v>3927</v>
      </c>
      <c r="F20" s="2" t="s">
        <v>3926</v>
      </c>
      <c r="G20" s="1" t="s">
        <v>3352</v>
      </c>
      <c r="H20" s="1" t="s">
        <v>3322</v>
      </c>
      <c r="I20" t="str">
        <f t="shared" si="5"/>
        <v>2B</v>
      </c>
      <c r="J20" t="str">
        <f t="shared" si="6"/>
        <v>0556½</v>
      </c>
      <c r="K20" t="str">
        <f t="shared" si="7"/>
        <v xml:space="preserve">0557 </v>
      </c>
      <c r="M20" s="8" t="str">
        <f t="shared" si="4"/>
        <v>UP</v>
      </c>
      <c r="N20" t="s">
        <v>3946</v>
      </c>
      <c r="O20" t="s">
        <v>3926</v>
      </c>
    </row>
    <row r="21" spans="2:29" ht="15" customHeight="1" x14ac:dyDescent="0.25">
      <c r="B21" s="3" t="s">
        <v>3353</v>
      </c>
      <c r="C21" s="1" t="s">
        <v>1230</v>
      </c>
      <c r="D21" s="2" t="s">
        <v>3326</v>
      </c>
      <c r="E21" s="1" t="s">
        <v>3927</v>
      </c>
      <c r="F21" s="2" t="s">
        <v>3926</v>
      </c>
      <c r="G21" s="1" t="s">
        <v>3354</v>
      </c>
      <c r="H21" s="1" t="s">
        <v>3322</v>
      </c>
      <c r="I21" t="str">
        <f t="shared" ref="I21:I42" si="8">LEFT(B21,2)</f>
        <v>2D</v>
      </c>
      <c r="J21" t="str">
        <f t="shared" ref="J21:J42" si="9">LEFT(C21,5)</f>
        <v xml:space="preserve">0615 </v>
      </c>
      <c r="K21" t="str">
        <f t="shared" ref="K21:K42" si="10">LEFT(G21,5)</f>
        <v>0615½</v>
      </c>
      <c r="M21" s="8" t="str">
        <f t="shared" si="4"/>
        <v>UP</v>
      </c>
      <c r="N21" t="s">
        <v>3946</v>
      </c>
      <c r="O21" t="s">
        <v>3926</v>
      </c>
    </row>
    <row r="22" spans="2:29" ht="15" customHeight="1" x14ac:dyDescent="0.25">
      <c r="B22" s="3" t="s">
        <v>3355</v>
      </c>
      <c r="C22" s="1" t="s">
        <v>1235</v>
      </c>
      <c r="D22" s="2" t="s">
        <v>3926</v>
      </c>
      <c r="E22" s="1" t="s">
        <v>3928</v>
      </c>
      <c r="F22" s="2" t="s">
        <v>3324</v>
      </c>
      <c r="G22" s="1" t="s">
        <v>3356</v>
      </c>
      <c r="H22" s="1" t="s">
        <v>3322</v>
      </c>
      <c r="I22" t="str">
        <f t="shared" si="8"/>
        <v>2B</v>
      </c>
      <c r="J22" t="str">
        <f t="shared" si="9"/>
        <v xml:space="preserve">0619 </v>
      </c>
      <c r="K22" t="str">
        <f t="shared" si="10"/>
        <v>0619½</v>
      </c>
      <c r="M22" s="8" t="str">
        <f t="shared" si="4"/>
        <v>DN</v>
      </c>
      <c r="N22" t="s">
        <v>3929</v>
      </c>
      <c r="O22" t="s">
        <v>3930</v>
      </c>
      <c r="P22" t="s">
        <v>3931</v>
      </c>
      <c r="Q22" t="s">
        <v>3382</v>
      </c>
      <c r="R22" t="s">
        <v>3932</v>
      </c>
      <c r="S22" t="s">
        <v>3376</v>
      </c>
      <c r="T22" t="s">
        <v>3933</v>
      </c>
      <c r="U22" t="s">
        <v>3934</v>
      </c>
      <c r="V22" t="s">
        <v>3935</v>
      </c>
      <c r="W22" t="s">
        <v>3936</v>
      </c>
      <c r="X22" t="s">
        <v>3321</v>
      </c>
      <c r="Y22" t="s">
        <v>3937</v>
      </c>
      <c r="Z22" t="s">
        <v>3385</v>
      </c>
      <c r="AA22" t="s">
        <v>3324</v>
      </c>
    </row>
    <row r="23" spans="2:29" ht="15" customHeight="1" x14ac:dyDescent="0.25">
      <c r="B23" s="3" t="s">
        <v>3357</v>
      </c>
      <c r="C23" s="1" t="s">
        <v>3358</v>
      </c>
      <c r="D23" s="2" t="s">
        <v>3324</v>
      </c>
      <c r="E23" s="1" t="s">
        <v>3927</v>
      </c>
      <c r="F23" s="2" t="s">
        <v>3926</v>
      </c>
      <c r="G23" s="1" t="s">
        <v>3359</v>
      </c>
      <c r="H23" s="1" t="s">
        <v>3322</v>
      </c>
      <c r="I23" t="str">
        <f t="shared" si="8"/>
        <v>2B</v>
      </c>
      <c r="J23" t="str">
        <f t="shared" si="9"/>
        <v>0620½</v>
      </c>
      <c r="K23" t="str">
        <f t="shared" si="10"/>
        <v xml:space="preserve">0621 </v>
      </c>
      <c r="M23" s="8" t="str">
        <f t="shared" si="4"/>
        <v>UP</v>
      </c>
      <c r="N23" t="s">
        <v>3946</v>
      </c>
      <c r="O23" t="s">
        <v>3926</v>
      </c>
    </row>
    <row r="24" spans="2:29" ht="15" customHeight="1" x14ac:dyDescent="0.25">
      <c r="B24" s="3" t="s">
        <v>3360</v>
      </c>
      <c r="C24" s="1" t="s">
        <v>3361</v>
      </c>
      <c r="D24" s="2" t="s">
        <v>3324</v>
      </c>
      <c r="E24" s="1" t="s">
        <v>3927</v>
      </c>
      <c r="F24" s="2" t="s">
        <v>3926</v>
      </c>
      <c r="G24" s="1" t="s">
        <v>3362</v>
      </c>
      <c r="H24" s="1" t="s">
        <v>3322</v>
      </c>
      <c r="I24" t="str">
        <f t="shared" si="8"/>
        <v>2R</v>
      </c>
      <c r="J24" t="str">
        <f t="shared" si="9"/>
        <v>0625½</v>
      </c>
      <c r="K24" t="str">
        <f t="shared" si="10"/>
        <v xml:space="preserve">0626 </v>
      </c>
      <c r="M24" s="8" t="str">
        <f t="shared" si="4"/>
        <v>UP</v>
      </c>
      <c r="N24" t="s">
        <v>3946</v>
      </c>
      <c r="O24" t="s">
        <v>3926</v>
      </c>
    </row>
    <row r="25" spans="2:29" ht="15" customHeight="1" x14ac:dyDescent="0.25">
      <c r="B25" s="3" t="s">
        <v>3363</v>
      </c>
      <c r="C25" s="1" t="s">
        <v>1251</v>
      </c>
      <c r="D25" s="2" t="s">
        <v>3926</v>
      </c>
      <c r="E25" s="1" t="s">
        <v>3928</v>
      </c>
      <c r="F25" s="2" t="s">
        <v>3324</v>
      </c>
      <c r="G25" s="1" t="s">
        <v>3364</v>
      </c>
      <c r="H25" s="1" t="s">
        <v>3322</v>
      </c>
      <c r="I25" t="str">
        <f t="shared" si="8"/>
        <v>2R</v>
      </c>
      <c r="J25" t="str">
        <f t="shared" si="9"/>
        <v xml:space="preserve">0629 </v>
      </c>
      <c r="K25" t="str">
        <f t="shared" si="10"/>
        <v>0629½</v>
      </c>
      <c r="M25" s="8" t="str">
        <f t="shared" si="4"/>
        <v>DN</v>
      </c>
      <c r="N25" t="s">
        <v>3929</v>
      </c>
      <c r="O25" t="s">
        <v>3938</v>
      </c>
      <c r="P25" t="s">
        <v>1033</v>
      </c>
      <c r="Q25" t="s">
        <v>3939</v>
      </c>
      <c r="R25" t="s">
        <v>3326</v>
      </c>
      <c r="S25" t="s">
        <v>3940</v>
      </c>
      <c r="T25" t="s">
        <v>3941</v>
      </c>
      <c r="U25" t="s">
        <v>3942</v>
      </c>
      <c r="V25" t="s">
        <v>3376</v>
      </c>
      <c r="W25" t="s">
        <v>3934</v>
      </c>
      <c r="X25" t="s">
        <v>3935</v>
      </c>
      <c r="Y25" t="s">
        <v>3936</v>
      </c>
      <c r="Z25" t="s">
        <v>3321</v>
      </c>
      <c r="AA25" t="s">
        <v>3937</v>
      </c>
      <c r="AB25" t="s">
        <v>3385</v>
      </c>
      <c r="AC25" t="s">
        <v>3324</v>
      </c>
    </row>
    <row r="26" spans="2:29" ht="15" customHeight="1" x14ac:dyDescent="0.25">
      <c r="B26" s="3" t="s">
        <v>3365</v>
      </c>
      <c r="C26" s="1" t="s">
        <v>3366</v>
      </c>
      <c r="D26" s="2" t="s">
        <v>3324</v>
      </c>
      <c r="E26" s="1" t="s">
        <v>3927</v>
      </c>
      <c r="F26" s="2" t="s">
        <v>3926</v>
      </c>
      <c r="G26" s="1" t="s">
        <v>1273</v>
      </c>
      <c r="H26" s="1" t="s">
        <v>3322</v>
      </c>
      <c r="I26" t="str">
        <f t="shared" si="8"/>
        <v>2R</v>
      </c>
      <c r="J26" t="str">
        <f t="shared" si="9"/>
        <v>0638½</v>
      </c>
      <c r="K26" t="str">
        <f t="shared" si="10"/>
        <v xml:space="preserve">0639 </v>
      </c>
      <c r="M26" s="8" t="str">
        <f t="shared" si="4"/>
        <v>UP</v>
      </c>
      <c r="N26" t="s">
        <v>3946</v>
      </c>
      <c r="O26" t="s">
        <v>3926</v>
      </c>
    </row>
    <row r="27" spans="2:29" ht="15" customHeight="1" x14ac:dyDescent="0.25">
      <c r="B27" s="3" t="s">
        <v>3367</v>
      </c>
      <c r="C27" s="1" t="s">
        <v>3368</v>
      </c>
      <c r="D27" s="2" t="s">
        <v>3324</v>
      </c>
      <c r="E27" s="1" t="s">
        <v>3927</v>
      </c>
      <c r="F27" s="2" t="s">
        <v>3926</v>
      </c>
      <c r="G27" s="1" t="s">
        <v>1284</v>
      </c>
      <c r="H27" s="1" t="s">
        <v>3322</v>
      </c>
      <c r="I27" t="str">
        <f t="shared" si="8"/>
        <v>2B</v>
      </c>
      <c r="J27" t="str">
        <f t="shared" si="9"/>
        <v>0643½</v>
      </c>
      <c r="K27" t="str">
        <f t="shared" si="10"/>
        <v xml:space="preserve">0644 </v>
      </c>
      <c r="M27" s="8" t="str">
        <f t="shared" si="4"/>
        <v>UP</v>
      </c>
      <c r="N27" t="s">
        <v>3946</v>
      </c>
      <c r="O27" t="s">
        <v>3926</v>
      </c>
    </row>
    <row r="28" spans="2:29" ht="15" customHeight="1" x14ac:dyDescent="0.25">
      <c r="B28" s="3" t="s">
        <v>3369</v>
      </c>
      <c r="C28" s="1" t="s">
        <v>1294</v>
      </c>
      <c r="D28" s="2" t="s">
        <v>3926</v>
      </c>
      <c r="E28" s="1" t="s">
        <v>3928</v>
      </c>
      <c r="F28" s="2" t="s">
        <v>3324</v>
      </c>
      <c r="G28" s="1" t="s">
        <v>1296</v>
      </c>
      <c r="H28" s="1" t="s">
        <v>3322</v>
      </c>
      <c r="I28" t="str">
        <f t="shared" si="8"/>
        <v>2B</v>
      </c>
      <c r="J28" t="str">
        <f t="shared" si="9"/>
        <v xml:space="preserve">0649 </v>
      </c>
      <c r="K28" t="str">
        <f t="shared" si="10"/>
        <v>0649½</v>
      </c>
      <c r="M28" s="8" t="str">
        <f t="shared" si="4"/>
        <v>DN</v>
      </c>
      <c r="N28" t="s">
        <v>3929</v>
      </c>
      <c r="O28" t="s">
        <v>3930</v>
      </c>
      <c r="P28" t="s">
        <v>3931</v>
      </c>
      <c r="Q28" t="s">
        <v>3382</v>
      </c>
      <c r="R28" t="s">
        <v>3932</v>
      </c>
      <c r="S28" t="s">
        <v>3376</v>
      </c>
      <c r="T28" t="s">
        <v>3933</v>
      </c>
      <c r="U28" t="s">
        <v>3934</v>
      </c>
      <c r="V28" t="s">
        <v>3935</v>
      </c>
      <c r="W28" t="s">
        <v>3936</v>
      </c>
      <c r="X28" t="s">
        <v>3321</v>
      </c>
      <c r="Y28" t="s">
        <v>3937</v>
      </c>
      <c r="Z28" t="s">
        <v>3385</v>
      </c>
      <c r="AA28" t="s">
        <v>3324</v>
      </c>
    </row>
    <row r="29" spans="2:29" ht="15" customHeight="1" x14ac:dyDescent="0.25">
      <c r="B29" s="3" t="s">
        <v>3370</v>
      </c>
      <c r="C29" s="1" t="s">
        <v>3371</v>
      </c>
      <c r="D29" s="2" t="s">
        <v>3926</v>
      </c>
      <c r="E29" s="1" t="s">
        <v>3928</v>
      </c>
      <c r="F29" s="2" t="s">
        <v>3326</v>
      </c>
      <c r="G29" s="1" t="s">
        <v>3372</v>
      </c>
      <c r="H29" s="1" t="s">
        <v>3322</v>
      </c>
      <c r="I29" t="str">
        <f t="shared" si="8"/>
        <v>2D</v>
      </c>
      <c r="J29" t="str">
        <f t="shared" si="9"/>
        <v xml:space="preserve">0653 </v>
      </c>
      <c r="K29" t="str">
        <f t="shared" si="10"/>
        <v>0653½</v>
      </c>
      <c r="M29" s="8" t="str">
        <f t="shared" si="4"/>
        <v>DN</v>
      </c>
      <c r="N29" t="s">
        <v>3929</v>
      </c>
      <c r="O29" t="s">
        <v>3930</v>
      </c>
      <c r="P29" t="s">
        <v>3943</v>
      </c>
      <c r="Q29" t="s">
        <v>3944</v>
      </c>
      <c r="R29" t="s">
        <v>3326</v>
      </c>
    </row>
    <row r="30" spans="2:29" ht="15" customHeight="1" x14ac:dyDescent="0.25">
      <c r="B30" s="3" t="s">
        <v>3373</v>
      </c>
      <c r="C30" s="1" t="s">
        <v>76</v>
      </c>
      <c r="D30" s="2" t="s">
        <v>3326</v>
      </c>
      <c r="E30" s="1" t="s">
        <v>3927</v>
      </c>
      <c r="F30" s="2" t="s">
        <v>3926</v>
      </c>
      <c r="G30" s="1" t="s">
        <v>3374</v>
      </c>
      <c r="H30" s="1" t="s">
        <v>3322</v>
      </c>
      <c r="I30" t="str">
        <f t="shared" si="8"/>
        <v>2R</v>
      </c>
      <c r="J30" t="str">
        <f t="shared" si="9"/>
        <v xml:space="preserve">0655 </v>
      </c>
      <c r="K30" t="str">
        <f t="shared" si="10"/>
        <v>0655½</v>
      </c>
      <c r="M30" s="8" t="str">
        <f t="shared" si="4"/>
        <v>UP</v>
      </c>
      <c r="N30" t="s">
        <v>3946</v>
      </c>
      <c r="O30" t="s">
        <v>3926</v>
      </c>
    </row>
    <row r="31" spans="2:29" ht="15" customHeight="1" x14ac:dyDescent="0.25">
      <c r="B31" s="3" t="s">
        <v>3375</v>
      </c>
      <c r="C31" s="1" t="s">
        <v>1308</v>
      </c>
      <c r="D31" s="2" t="s">
        <v>3926</v>
      </c>
      <c r="E31" s="1" t="s">
        <v>3928</v>
      </c>
      <c r="F31" s="2" t="s">
        <v>3376</v>
      </c>
      <c r="G31" s="1" t="s">
        <v>3377</v>
      </c>
      <c r="H31" s="1" t="s">
        <v>3322</v>
      </c>
      <c r="I31" t="str">
        <f t="shared" si="8"/>
        <v>2R</v>
      </c>
      <c r="J31" t="str">
        <f t="shared" si="9"/>
        <v xml:space="preserve">0657 </v>
      </c>
      <c r="K31" t="str">
        <f t="shared" si="10"/>
        <v>0657½</v>
      </c>
      <c r="M31" s="8" t="str">
        <f t="shared" si="4"/>
        <v>DN</v>
      </c>
      <c r="N31" t="s">
        <v>3929</v>
      </c>
      <c r="O31" t="s">
        <v>3938</v>
      </c>
      <c r="P31" t="s">
        <v>1033</v>
      </c>
      <c r="Q31" t="s">
        <v>3939</v>
      </c>
      <c r="R31" t="s">
        <v>3326</v>
      </c>
      <c r="S31" t="s">
        <v>3940</v>
      </c>
      <c r="T31" t="s">
        <v>3941</v>
      </c>
      <c r="U31" t="s">
        <v>3942</v>
      </c>
      <c r="V31" t="s">
        <v>3376</v>
      </c>
    </row>
    <row r="32" spans="2:29" ht="15" customHeight="1" x14ac:dyDescent="0.25">
      <c r="B32" s="3" t="s">
        <v>3378</v>
      </c>
      <c r="C32" s="1" t="s">
        <v>3087</v>
      </c>
      <c r="D32" s="2" t="s">
        <v>3321</v>
      </c>
      <c r="E32" s="1" t="s">
        <v>3927</v>
      </c>
      <c r="F32" s="2" t="s">
        <v>3926</v>
      </c>
      <c r="G32" s="1" t="s">
        <v>1373</v>
      </c>
      <c r="H32" s="1" t="s">
        <v>3322</v>
      </c>
      <c r="I32" t="str">
        <f t="shared" si="8"/>
        <v>1D</v>
      </c>
      <c r="J32" t="str">
        <f t="shared" si="9"/>
        <v>0657½</v>
      </c>
      <c r="K32" t="str">
        <f t="shared" si="10"/>
        <v xml:space="preserve">0658 </v>
      </c>
      <c r="M32" s="8" t="str">
        <f t="shared" si="4"/>
        <v>UP</v>
      </c>
      <c r="N32" t="s">
        <v>3946</v>
      </c>
      <c r="O32" t="s">
        <v>3926</v>
      </c>
    </row>
    <row r="33" spans="2:27" ht="15" customHeight="1" x14ac:dyDescent="0.25">
      <c r="B33" s="3" t="s">
        <v>3379</v>
      </c>
      <c r="C33" s="1" t="s">
        <v>1321</v>
      </c>
      <c r="D33" s="2" t="s">
        <v>3324</v>
      </c>
      <c r="E33" s="1" t="s">
        <v>3927</v>
      </c>
      <c r="F33" s="2" t="s">
        <v>3926</v>
      </c>
      <c r="G33" s="1" t="s">
        <v>81</v>
      </c>
      <c r="H33" s="1" t="s">
        <v>3322</v>
      </c>
      <c r="I33" t="str">
        <f t="shared" si="8"/>
        <v>1B</v>
      </c>
      <c r="J33" t="str">
        <f t="shared" si="9"/>
        <v>0702½</v>
      </c>
      <c r="K33" t="str">
        <f t="shared" si="10"/>
        <v xml:space="preserve">0703 </v>
      </c>
      <c r="M33" s="8" t="str">
        <f t="shared" si="4"/>
        <v>UP</v>
      </c>
      <c r="N33" t="s">
        <v>3926</v>
      </c>
    </row>
    <row r="34" spans="2:27" ht="15" customHeight="1" x14ac:dyDescent="0.25">
      <c r="B34" s="3" t="s">
        <v>3380</v>
      </c>
      <c r="C34" s="1" t="s">
        <v>1327</v>
      </c>
      <c r="D34" s="2" t="s">
        <v>3324</v>
      </c>
      <c r="E34" s="1" t="s">
        <v>3927</v>
      </c>
      <c r="F34" s="2" t="s">
        <v>3926</v>
      </c>
      <c r="G34" s="1" t="s">
        <v>1324</v>
      </c>
      <c r="H34" s="1" t="s">
        <v>3322</v>
      </c>
      <c r="I34" t="str">
        <f t="shared" si="8"/>
        <v>1B</v>
      </c>
      <c r="J34" t="str">
        <f t="shared" si="9"/>
        <v>0706½</v>
      </c>
      <c r="K34" t="str">
        <f t="shared" si="10"/>
        <v xml:space="preserve">0707 </v>
      </c>
      <c r="M34" s="8" t="str">
        <f t="shared" si="4"/>
        <v>UP</v>
      </c>
      <c r="N34" t="s">
        <v>3926</v>
      </c>
    </row>
    <row r="35" spans="2:27" ht="15" customHeight="1" x14ac:dyDescent="0.25">
      <c r="B35" s="3" t="s">
        <v>3381</v>
      </c>
      <c r="C35" s="1" t="s">
        <v>85</v>
      </c>
      <c r="D35" s="2" t="s">
        <v>3926</v>
      </c>
      <c r="E35" s="1" t="s">
        <v>3928</v>
      </c>
      <c r="F35" s="2" t="s">
        <v>3324</v>
      </c>
      <c r="G35" s="1" t="s">
        <v>1328</v>
      </c>
      <c r="H35" s="1" t="s">
        <v>3322</v>
      </c>
      <c r="I35" t="str">
        <f t="shared" si="8"/>
        <v>1B</v>
      </c>
      <c r="J35" t="str">
        <f t="shared" si="9"/>
        <v xml:space="preserve">0708 </v>
      </c>
      <c r="K35" t="str">
        <f t="shared" si="10"/>
        <v>0708½</v>
      </c>
      <c r="M35" s="8" t="str">
        <f t="shared" si="4"/>
        <v>DN</v>
      </c>
      <c r="N35" t="s">
        <v>3929</v>
      </c>
      <c r="O35" t="s">
        <v>3930</v>
      </c>
      <c r="P35" t="s">
        <v>3932</v>
      </c>
      <c r="Q35" t="s">
        <v>3376</v>
      </c>
      <c r="R35" t="s">
        <v>3933</v>
      </c>
      <c r="S35" t="s">
        <v>3934</v>
      </c>
      <c r="T35" t="s">
        <v>3935</v>
      </c>
      <c r="U35" t="s">
        <v>3936</v>
      </c>
      <c r="V35" t="s">
        <v>3321</v>
      </c>
      <c r="W35" t="s">
        <v>3937</v>
      </c>
      <c r="X35" t="s">
        <v>3385</v>
      </c>
      <c r="Y35" t="s">
        <v>3324</v>
      </c>
    </row>
    <row r="36" spans="2:27" ht="15" customHeight="1" x14ac:dyDescent="0.25">
      <c r="B36" s="3" t="s">
        <v>3383</v>
      </c>
      <c r="C36" s="1" t="s">
        <v>3384</v>
      </c>
      <c r="D36" s="2" t="s">
        <v>3385</v>
      </c>
      <c r="E36" s="1" t="s">
        <v>3927</v>
      </c>
      <c r="F36" s="2" t="s">
        <v>3926</v>
      </c>
      <c r="G36" s="1" t="s">
        <v>90</v>
      </c>
      <c r="H36" s="1" t="s">
        <v>3322</v>
      </c>
      <c r="I36" t="str">
        <f t="shared" si="8"/>
        <v>2R</v>
      </c>
      <c r="J36" t="str">
        <f t="shared" si="9"/>
        <v>0711½</v>
      </c>
      <c r="K36" t="str">
        <f t="shared" si="10"/>
        <v xml:space="preserve">0712 </v>
      </c>
      <c r="M36" s="8" t="str">
        <f t="shared" si="4"/>
        <v>UP</v>
      </c>
      <c r="N36" t="s">
        <v>3946</v>
      </c>
      <c r="O36" t="s">
        <v>3926</v>
      </c>
    </row>
    <row r="37" spans="2:27" ht="15" customHeight="1" x14ac:dyDescent="0.25">
      <c r="B37" s="3" t="s">
        <v>3386</v>
      </c>
      <c r="C37" s="1" t="s">
        <v>3387</v>
      </c>
      <c r="D37" s="2" t="s">
        <v>3324</v>
      </c>
      <c r="E37" s="1" t="s">
        <v>3927</v>
      </c>
      <c r="F37" s="2" t="s">
        <v>3926</v>
      </c>
      <c r="G37" s="1" t="s">
        <v>91</v>
      </c>
      <c r="H37" s="1" t="s">
        <v>3322</v>
      </c>
      <c r="I37" t="str">
        <f t="shared" si="8"/>
        <v>2B</v>
      </c>
      <c r="J37" t="str">
        <f t="shared" si="9"/>
        <v>0715½</v>
      </c>
      <c r="K37" t="str">
        <f t="shared" si="10"/>
        <v xml:space="preserve">0716 </v>
      </c>
      <c r="M37" s="8" t="str">
        <f t="shared" si="4"/>
        <v>UP</v>
      </c>
      <c r="N37" t="s">
        <v>3946</v>
      </c>
      <c r="O37" t="s">
        <v>3926</v>
      </c>
    </row>
    <row r="38" spans="2:27" ht="15" customHeight="1" x14ac:dyDescent="0.25">
      <c r="B38" s="3" t="s">
        <v>3388</v>
      </c>
      <c r="C38" s="1" t="s">
        <v>3389</v>
      </c>
      <c r="D38" s="2" t="s">
        <v>3926</v>
      </c>
      <c r="E38" s="1" t="s">
        <v>3928</v>
      </c>
      <c r="F38" s="2" t="s">
        <v>3324</v>
      </c>
      <c r="G38" s="1" t="s">
        <v>1344</v>
      </c>
      <c r="H38" s="1" t="s">
        <v>3322</v>
      </c>
      <c r="I38" t="str">
        <f t="shared" si="8"/>
        <v>2B</v>
      </c>
      <c r="J38" t="str">
        <f t="shared" si="9"/>
        <v xml:space="preserve">0718 </v>
      </c>
      <c r="K38" t="str">
        <f t="shared" si="10"/>
        <v>0718½</v>
      </c>
      <c r="M38" s="8" t="str">
        <f t="shared" si="4"/>
        <v>DN</v>
      </c>
      <c r="N38" t="s">
        <v>3929</v>
      </c>
      <c r="O38" t="s">
        <v>3930</v>
      </c>
      <c r="P38" t="s">
        <v>3931</v>
      </c>
      <c r="Q38" t="s">
        <v>3382</v>
      </c>
      <c r="R38" t="s">
        <v>3932</v>
      </c>
      <c r="S38" t="s">
        <v>3376</v>
      </c>
      <c r="T38" t="s">
        <v>3933</v>
      </c>
      <c r="U38" t="s">
        <v>3934</v>
      </c>
      <c r="V38" t="s">
        <v>3935</v>
      </c>
      <c r="W38" t="s">
        <v>3936</v>
      </c>
      <c r="X38" t="s">
        <v>3321</v>
      </c>
      <c r="Y38" t="s">
        <v>3937</v>
      </c>
      <c r="Z38" t="s">
        <v>3385</v>
      </c>
      <c r="AA38" t="s">
        <v>3324</v>
      </c>
    </row>
    <row r="39" spans="2:27" ht="15" customHeight="1" x14ac:dyDescent="0.25">
      <c r="B39" s="3" t="s">
        <v>3390</v>
      </c>
      <c r="C39" s="1" t="s">
        <v>1351</v>
      </c>
      <c r="D39" s="2" t="s">
        <v>3326</v>
      </c>
      <c r="E39" s="1" t="s">
        <v>3927</v>
      </c>
      <c r="F39" s="2" t="s">
        <v>3926</v>
      </c>
      <c r="G39" s="1" t="s">
        <v>1352</v>
      </c>
      <c r="H39" s="1" t="s">
        <v>3322</v>
      </c>
      <c r="I39" t="str">
        <f t="shared" si="8"/>
        <v>2D</v>
      </c>
      <c r="J39" t="str">
        <f t="shared" si="9"/>
        <v>0719½</v>
      </c>
      <c r="K39" t="str">
        <f t="shared" si="10"/>
        <v xml:space="preserve">0720 </v>
      </c>
      <c r="M39" s="8" t="str">
        <f t="shared" si="4"/>
        <v>UP</v>
      </c>
      <c r="N39" t="s">
        <v>3946</v>
      </c>
      <c r="O39" t="s">
        <v>3926</v>
      </c>
    </row>
    <row r="40" spans="2:27" ht="15" customHeight="1" x14ac:dyDescent="0.25">
      <c r="B40" s="3" t="s">
        <v>3391</v>
      </c>
      <c r="C40" s="1" t="s">
        <v>97</v>
      </c>
      <c r="D40" s="2" t="s">
        <v>3324</v>
      </c>
      <c r="E40" s="1" t="s">
        <v>3927</v>
      </c>
      <c r="F40" s="2" t="s">
        <v>3926</v>
      </c>
      <c r="G40" s="1" t="s">
        <v>3392</v>
      </c>
      <c r="H40" s="1" t="s">
        <v>3322</v>
      </c>
      <c r="I40" t="str">
        <f t="shared" si="8"/>
        <v>1B</v>
      </c>
      <c r="J40" t="str">
        <f t="shared" si="9"/>
        <v xml:space="preserve">0723 </v>
      </c>
      <c r="K40" t="str">
        <f t="shared" si="10"/>
        <v>0723½</v>
      </c>
      <c r="M40" s="8" t="str">
        <f t="shared" si="4"/>
        <v>UP</v>
      </c>
      <c r="N40" t="s">
        <v>3926</v>
      </c>
    </row>
    <row r="41" spans="2:27" ht="15" customHeight="1" x14ac:dyDescent="0.25">
      <c r="B41" s="3" t="s">
        <v>3393</v>
      </c>
      <c r="C41" s="1" t="s">
        <v>97</v>
      </c>
      <c r="D41" s="2" t="s">
        <v>3926</v>
      </c>
      <c r="E41" s="1" t="s">
        <v>3928</v>
      </c>
      <c r="F41" s="2" t="s">
        <v>3376</v>
      </c>
      <c r="G41" s="1" t="s">
        <v>3392</v>
      </c>
      <c r="H41" s="1" t="s">
        <v>3322</v>
      </c>
      <c r="I41" t="str">
        <f t="shared" si="8"/>
        <v>1D</v>
      </c>
      <c r="J41" t="str">
        <f t="shared" si="9"/>
        <v xml:space="preserve">0723 </v>
      </c>
      <c r="K41" t="str">
        <f t="shared" si="10"/>
        <v>0723½</v>
      </c>
      <c r="M41" s="8" t="str">
        <f t="shared" si="4"/>
        <v>DN</v>
      </c>
      <c r="N41" t="s">
        <v>3929</v>
      </c>
      <c r="O41" t="s">
        <v>3930</v>
      </c>
      <c r="P41" t="s">
        <v>3326</v>
      </c>
      <c r="Q41" t="s">
        <v>3940</v>
      </c>
      <c r="R41" t="s">
        <v>3941</v>
      </c>
      <c r="S41" t="s">
        <v>3942</v>
      </c>
      <c r="T41" t="s">
        <v>3376</v>
      </c>
    </row>
    <row r="42" spans="2:27" ht="15" customHeight="1" x14ac:dyDescent="0.25">
      <c r="B42" s="3" t="s">
        <v>3394</v>
      </c>
      <c r="C42" s="1" t="s">
        <v>1361</v>
      </c>
      <c r="D42" s="2" t="s">
        <v>3385</v>
      </c>
      <c r="E42" s="1" t="s">
        <v>3927</v>
      </c>
      <c r="F42" s="2" t="s">
        <v>3926</v>
      </c>
      <c r="G42" s="1" t="s">
        <v>3395</v>
      </c>
      <c r="H42" s="1" t="s">
        <v>3322</v>
      </c>
      <c r="I42" t="str">
        <f t="shared" si="8"/>
        <v>2R</v>
      </c>
      <c r="J42" t="str">
        <f t="shared" si="9"/>
        <v xml:space="preserve">0726 </v>
      </c>
      <c r="K42" t="str">
        <f t="shared" si="10"/>
        <v>0726½</v>
      </c>
      <c r="M42" s="8" t="str">
        <f t="shared" si="4"/>
        <v>UP</v>
      </c>
      <c r="N42" t="s">
        <v>3946</v>
      </c>
      <c r="O42" t="s">
        <v>3926</v>
      </c>
    </row>
    <row r="43" spans="2:27" ht="15" customHeight="1" x14ac:dyDescent="0.25">
      <c r="B43" s="3" t="s">
        <v>3396</v>
      </c>
      <c r="C43" s="1" t="s">
        <v>109</v>
      </c>
      <c r="D43" s="2" t="s">
        <v>3926</v>
      </c>
      <c r="E43" s="1" t="s">
        <v>3928</v>
      </c>
      <c r="F43" s="2" t="s">
        <v>3324</v>
      </c>
      <c r="G43" s="1" t="s">
        <v>1382</v>
      </c>
      <c r="H43" s="1" t="s">
        <v>3322</v>
      </c>
      <c r="I43" t="str">
        <f t="shared" ref="I43:I71" si="11">LEFT(B43,2)</f>
        <v>1B</v>
      </c>
      <c r="J43" t="str">
        <f t="shared" ref="J43:J71" si="12">LEFT(C43,5)</f>
        <v xml:space="preserve">0738 </v>
      </c>
      <c r="K43" t="str">
        <f t="shared" ref="K43:K71" si="13">LEFT(G43,5)</f>
        <v>0738½</v>
      </c>
      <c r="M43" s="8" t="str">
        <f t="shared" si="4"/>
        <v>DN</v>
      </c>
      <c r="N43" t="s">
        <v>3929</v>
      </c>
      <c r="O43" t="s">
        <v>3930</v>
      </c>
      <c r="P43" t="s">
        <v>3932</v>
      </c>
      <c r="Q43" t="s">
        <v>3376</v>
      </c>
      <c r="R43" t="s">
        <v>3933</v>
      </c>
      <c r="S43" t="s">
        <v>3934</v>
      </c>
      <c r="T43" t="s">
        <v>3935</v>
      </c>
      <c r="U43" t="s">
        <v>3936</v>
      </c>
      <c r="V43" t="s">
        <v>3321</v>
      </c>
      <c r="W43" t="s">
        <v>3937</v>
      </c>
      <c r="X43" t="s">
        <v>3385</v>
      </c>
      <c r="Y43" t="s">
        <v>3324</v>
      </c>
    </row>
    <row r="44" spans="2:27" ht="15" customHeight="1" x14ac:dyDescent="0.25">
      <c r="B44" s="3" t="s">
        <v>3397</v>
      </c>
      <c r="C44" s="1" t="s">
        <v>1576</v>
      </c>
      <c r="D44" s="2" t="s">
        <v>3376</v>
      </c>
      <c r="E44" s="1" t="s">
        <v>3927</v>
      </c>
      <c r="F44" s="2" t="s">
        <v>3926</v>
      </c>
      <c r="G44" s="1" t="s">
        <v>3398</v>
      </c>
      <c r="H44" s="1" t="s">
        <v>3322</v>
      </c>
      <c r="I44" t="str">
        <f t="shared" si="11"/>
        <v>2R</v>
      </c>
      <c r="J44" t="str">
        <f t="shared" si="12"/>
        <v xml:space="preserve">0739 </v>
      </c>
      <c r="K44" t="str">
        <f t="shared" si="13"/>
        <v>0739½</v>
      </c>
      <c r="M44" s="8" t="str">
        <f t="shared" si="4"/>
        <v>UP</v>
      </c>
      <c r="N44" t="s">
        <v>3946</v>
      </c>
      <c r="O44" t="s">
        <v>3926</v>
      </c>
    </row>
    <row r="45" spans="2:27" ht="15" customHeight="1" x14ac:dyDescent="0.25">
      <c r="B45" s="3" t="s">
        <v>3399</v>
      </c>
      <c r="C45" s="1" t="s">
        <v>1399</v>
      </c>
      <c r="D45" s="2" t="s">
        <v>3382</v>
      </c>
      <c r="E45" s="1" t="s">
        <v>3927</v>
      </c>
      <c r="F45" s="2" t="s">
        <v>3926</v>
      </c>
      <c r="G45" s="1" t="s">
        <v>3400</v>
      </c>
      <c r="H45" s="1" t="s">
        <v>3322</v>
      </c>
      <c r="I45" t="str">
        <f t="shared" si="11"/>
        <v>2N</v>
      </c>
      <c r="J45" t="str">
        <f t="shared" si="12"/>
        <v>0743½</v>
      </c>
      <c r="K45" t="str">
        <f t="shared" si="13"/>
        <v xml:space="preserve">0744 </v>
      </c>
      <c r="M45" s="8" t="str">
        <f t="shared" si="4"/>
        <v>UP</v>
      </c>
      <c r="N45" t="s">
        <v>3946</v>
      </c>
      <c r="O45" t="s">
        <v>3926</v>
      </c>
    </row>
    <row r="46" spans="2:27" ht="15" customHeight="1" x14ac:dyDescent="0.25">
      <c r="B46" s="3" t="s">
        <v>3402</v>
      </c>
      <c r="C46" s="1" t="s">
        <v>3403</v>
      </c>
      <c r="D46" s="2" t="s">
        <v>3324</v>
      </c>
      <c r="E46" s="1" t="s">
        <v>3927</v>
      </c>
      <c r="F46" s="2" t="s">
        <v>3926</v>
      </c>
      <c r="G46" s="1" t="s">
        <v>3404</v>
      </c>
      <c r="H46" s="1" t="s">
        <v>3322</v>
      </c>
      <c r="I46" t="str">
        <f t="shared" si="11"/>
        <v>1B</v>
      </c>
      <c r="J46" t="str">
        <f t="shared" si="12"/>
        <v xml:space="preserve">0747 </v>
      </c>
      <c r="K46" t="str">
        <f t="shared" si="13"/>
        <v>0747½</v>
      </c>
      <c r="M46" s="8" t="str">
        <f t="shared" si="4"/>
        <v>UP</v>
      </c>
      <c r="N46" t="s">
        <v>3946</v>
      </c>
      <c r="O46" t="s">
        <v>3926</v>
      </c>
    </row>
    <row r="47" spans="2:27" ht="15" customHeight="1" x14ac:dyDescent="0.25">
      <c r="B47" s="3" t="s">
        <v>3405</v>
      </c>
      <c r="C47" s="1" t="s">
        <v>116</v>
      </c>
      <c r="D47" s="2" t="s">
        <v>3926</v>
      </c>
      <c r="E47" s="1" t="s">
        <v>3928</v>
      </c>
      <c r="F47" s="2" t="s">
        <v>3324</v>
      </c>
      <c r="G47" s="1" t="s">
        <v>3406</v>
      </c>
      <c r="H47" s="1" t="s">
        <v>3322</v>
      </c>
      <c r="I47" t="str">
        <f t="shared" si="11"/>
        <v>2B</v>
      </c>
      <c r="J47" t="str">
        <f t="shared" si="12"/>
        <v xml:space="preserve">0749 </v>
      </c>
      <c r="K47" t="str">
        <f t="shared" si="13"/>
        <v>0749½</v>
      </c>
      <c r="M47" s="8" t="str">
        <f t="shared" si="4"/>
        <v>DN</v>
      </c>
      <c r="N47" t="s">
        <v>3929</v>
      </c>
      <c r="O47" t="s">
        <v>3930</v>
      </c>
      <c r="P47" t="s">
        <v>3931</v>
      </c>
      <c r="Q47" t="s">
        <v>3382</v>
      </c>
      <c r="R47" t="s">
        <v>3932</v>
      </c>
      <c r="S47" t="s">
        <v>3376</v>
      </c>
      <c r="T47" t="s">
        <v>3933</v>
      </c>
      <c r="U47" t="s">
        <v>3934</v>
      </c>
      <c r="V47" t="s">
        <v>3935</v>
      </c>
      <c r="W47" t="s">
        <v>3936</v>
      </c>
      <c r="X47" t="s">
        <v>3321</v>
      </c>
      <c r="Y47" t="s">
        <v>3937</v>
      </c>
      <c r="Z47" t="s">
        <v>3385</v>
      </c>
      <c r="AA47" t="s">
        <v>3324</v>
      </c>
    </row>
    <row r="48" spans="2:27" ht="15" customHeight="1" x14ac:dyDescent="0.25">
      <c r="B48" s="3" t="s">
        <v>3407</v>
      </c>
      <c r="C48" s="1" t="s">
        <v>1411</v>
      </c>
      <c r="D48" s="2" t="s">
        <v>3376</v>
      </c>
      <c r="E48" s="1" t="s">
        <v>3927</v>
      </c>
      <c r="F48" s="2" t="s">
        <v>3926</v>
      </c>
      <c r="G48" s="1" t="s">
        <v>121</v>
      </c>
      <c r="H48" s="1" t="s">
        <v>3322</v>
      </c>
      <c r="I48" t="str">
        <f t="shared" si="11"/>
        <v>1D</v>
      </c>
      <c r="J48" t="str">
        <f t="shared" si="12"/>
        <v>0751½</v>
      </c>
      <c r="K48" t="str">
        <f t="shared" si="13"/>
        <v xml:space="preserve">0752 </v>
      </c>
      <c r="M48" s="8" t="str">
        <f t="shared" si="4"/>
        <v>UP</v>
      </c>
      <c r="N48" t="s">
        <v>3926</v>
      </c>
    </row>
    <row r="49" spans="2:27" ht="15" customHeight="1" x14ac:dyDescent="0.25">
      <c r="B49" s="3" t="s">
        <v>3408</v>
      </c>
      <c r="C49" s="1" t="s">
        <v>3409</v>
      </c>
      <c r="D49" s="2" t="s">
        <v>3926</v>
      </c>
      <c r="E49" s="1" t="s">
        <v>3928</v>
      </c>
      <c r="F49" s="2" t="s">
        <v>3321</v>
      </c>
      <c r="G49" s="1" t="s">
        <v>3410</v>
      </c>
      <c r="H49" s="1" t="s">
        <v>3322</v>
      </c>
      <c r="I49" t="str">
        <f t="shared" si="11"/>
        <v>1R</v>
      </c>
      <c r="J49" t="str">
        <f t="shared" si="12"/>
        <v>0752½</v>
      </c>
      <c r="K49" t="str">
        <f t="shared" si="13"/>
        <v xml:space="preserve">0753 </v>
      </c>
      <c r="M49" s="8" t="str">
        <f t="shared" si="4"/>
        <v>DN</v>
      </c>
      <c r="N49" t="s">
        <v>3929</v>
      </c>
      <c r="O49" t="s">
        <v>3938</v>
      </c>
      <c r="P49" t="s">
        <v>1033</v>
      </c>
      <c r="Q49" t="s">
        <v>3939</v>
      </c>
      <c r="R49" t="s">
        <v>3326</v>
      </c>
      <c r="S49" t="s">
        <v>3940</v>
      </c>
      <c r="T49" t="s">
        <v>3941</v>
      </c>
      <c r="U49" t="s">
        <v>3942</v>
      </c>
      <c r="V49" t="s">
        <v>3376</v>
      </c>
      <c r="W49" t="s">
        <v>3933</v>
      </c>
      <c r="X49" t="s">
        <v>3934</v>
      </c>
      <c r="Y49" t="s">
        <v>3935</v>
      </c>
      <c r="Z49" t="s">
        <v>3936</v>
      </c>
      <c r="AA49" t="s">
        <v>3321</v>
      </c>
    </row>
    <row r="50" spans="2:27" ht="15" customHeight="1" x14ac:dyDescent="0.25">
      <c r="B50" s="3" t="s">
        <v>3411</v>
      </c>
      <c r="C50" s="1" t="s">
        <v>1423</v>
      </c>
      <c r="D50" s="2" t="s">
        <v>3326</v>
      </c>
      <c r="E50" s="1" t="s">
        <v>3927</v>
      </c>
      <c r="F50" s="2" t="s">
        <v>3926</v>
      </c>
      <c r="G50" s="1" t="s">
        <v>3412</v>
      </c>
      <c r="H50" s="1" t="s">
        <v>3322</v>
      </c>
      <c r="I50" t="str">
        <f t="shared" si="11"/>
        <v>2R</v>
      </c>
      <c r="J50" t="str">
        <f t="shared" si="12"/>
        <v>0756½</v>
      </c>
      <c r="K50" t="str">
        <f t="shared" si="13"/>
        <v xml:space="preserve">0757 </v>
      </c>
      <c r="M50" s="8" t="str">
        <f t="shared" si="4"/>
        <v>UP</v>
      </c>
      <c r="N50" t="s">
        <v>3946</v>
      </c>
      <c r="O50" t="s">
        <v>3926</v>
      </c>
    </row>
    <row r="51" spans="2:27" ht="15" customHeight="1" x14ac:dyDescent="0.25">
      <c r="B51" s="3" t="s">
        <v>3413</v>
      </c>
      <c r="C51" s="1" t="s">
        <v>124</v>
      </c>
      <c r="D51" s="2" t="s">
        <v>3926</v>
      </c>
      <c r="E51" s="1" t="s">
        <v>3928</v>
      </c>
      <c r="F51" s="2" t="s">
        <v>3382</v>
      </c>
      <c r="G51" s="1" t="s">
        <v>3414</v>
      </c>
      <c r="H51" s="1" t="s">
        <v>3322</v>
      </c>
      <c r="I51" t="str">
        <f t="shared" si="11"/>
        <v>2N</v>
      </c>
      <c r="J51" t="str">
        <f t="shared" si="12"/>
        <v xml:space="preserve">0759 </v>
      </c>
      <c r="K51" t="str">
        <f t="shared" si="13"/>
        <v>0759½</v>
      </c>
      <c r="M51" s="8" t="str">
        <f t="shared" si="4"/>
        <v>DN</v>
      </c>
      <c r="N51" t="s">
        <v>3929</v>
      </c>
      <c r="O51" t="s">
        <v>3930</v>
      </c>
      <c r="P51" t="s">
        <v>3931</v>
      </c>
      <c r="Q51" t="s">
        <v>3382</v>
      </c>
    </row>
    <row r="52" spans="2:27" ht="15" customHeight="1" x14ac:dyDescent="0.25">
      <c r="B52" s="3" t="s">
        <v>3415</v>
      </c>
      <c r="C52" s="1" t="s">
        <v>3416</v>
      </c>
      <c r="D52" s="2" t="s">
        <v>3382</v>
      </c>
      <c r="E52" s="1" t="s">
        <v>3927</v>
      </c>
      <c r="F52" s="2" t="s">
        <v>3926</v>
      </c>
      <c r="G52" s="1" t="s">
        <v>1430</v>
      </c>
      <c r="H52" s="1" t="s">
        <v>3322</v>
      </c>
      <c r="I52" t="str">
        <f t="shared" si="11"/>
        <v>2N</v>
      </c>
      <c r="J52" t="str">
        <f t="shared" si="12"/>
        <v>0800½</v>
      </c>
      <c r="K52" t="str">
        <f t="shared" si="13"/>
        <v xml:space="preserve">0801 </v>
      </c>
      <c r="M52" s="8" t="str">
        <f t="shared" si="4"/>
        <v>UP</v>
      </c>
      <c r="N52" t="s">
        <v>3946</v>
      </c>
      <c r="O52" t="s">
        <v>3926</v>
      </c>
    </row>
    <row r="53" spans="2:27" ht="15" customHeight="1" x14ac:dyDescent="0.25">
      <c r="B53" s="3" t="s">
        <v>3417</v>
      </c>
      <c r="C53" s="1" t="s">
        <v>3418</v>
      </c>
      <c r="D53" s="2" t="s">
        <v>3926</v>
      </c>
      <c r="E53" s="1" t="s">
        <v>3928</v>
      </c>
      <c r="F53" s="2" t="s">
        <v>3324</v>
      </c>
      <c r="G53" s="1" t="s">
        <v>1448</v>
      </c>
      <c r="H53" s="1" t="s">
        <v>3322</v>
      </c>
      <c r="I53" t="str">
        <f t="shared" si="11"/>
        <v>1B</v>
      </c>
      <c r="J53" t="str">
        <f t="shared" si="12"/>
        <v xml:space="preserve">0808 </v>
      </c>
      <c r="K53" t="str">
        <f t="shared" si="13"/>
        <v>0808½</v>
      </c>
      <c r="M53" s="8" t="str">
        <f t="shared" si="4"/>
        <v>DN</v>
      </c>
      <c r="N53" t="s">
        <v>3929</v>
      </c>
      <c r="O53" t="s">
        <v>3930</v>
      </c>
      <c r="P53" t="s">
        <v>3382</v>
      </c>
      <c r="Q53" t="s">
        <v>3932</v>
      </c>
      <c r="R53" t="s">
        <v>3376</v>
      </c>
      <c r="S53" t="s">
        <v>3933</v>
      </c>
      <c r="T53" t="s">
        <v>3934</v>
      </c>
      <c r="U53" t="s">
        <v>3935</v>
      </c>
      <c r="V53" t="s">
        <v>3936</v>
      </c>
      <c r="W53" t="s">
        <v>3321</v>
      </c>
      <c r="X53" t="s">
        <v>3937</v>
      </c>
      <c r="Y53" t="s">
        <v>3385</v>
      </c>
      <c r="Z53" t="s">
        <v>3324</v>
      </c>
    </row>
    <row r="54" spans="2:27" ht="15" customHeight="1" x14ac:dyDescent="0.25">
      <c r="B54" s="3" t="s">
        <v>3419</v>
      </c>
      <c r="C54" s="1" t="s">
        <v>134</v>
      </c>
      <c r="D54" s="2" t="s">
        <v>3926</v>
      </c>
      <c r="E54" s="1" t="s">
        <v>3928</v>
      </c>
      <c r="F54" s="2" t="s">
        <v>3376</v>
      </c>
      <c r="G54" s="1" t="s">
        <v>3420</v>
      </c>
      <c r="H54" s="1" t="s">
        <v>3322</v>
      </c>
      <c r="I54" t="str">
        <f t="shared" si="11"/>
        <v>2R</v>
      </c>
      <c r="J54" t="str">
        <f t="shared" si="12"/>
        <v xml:space="preserve">0812 </v>
      </c>
      <c r="K54" t="str">
        <f t="shared" si="13"/>
        <v>0812½</v>
      </c>
      <c r="M54" s="8" t="str">
        <f t="shared" si="4"/>
        <v>DN</v>
      </c>
      <c r="N54" t="s">
        <v>3929</v>
      </c>
      <c r="O54" t="s">
        <v>3938</v>
      </c>
      <c r="P54" t="s">
        <v>1033</v>
      </c>
      <c r="Q54" t="s">
        <v>3939</v>
      </c>
      <c r="R54" t="s">
        <v>3326</v>
      </c>
      <c r="S54" t="s">
        <v>3940</v>
      </c>
      <c r="T54" t="s">
        <v>3941</v>
      </c>
      <c r="U54" t="s">
        <v>3942</v>
      </c>
      <c r="V54" t="s">
        <v>3376</v>
      </c>
    </row>
    <row r="55" spans="2:27" ht="15" customHeight="1" x14ac:dyDescent="0.25">
      <c r="B55" s="3" t="s">
        <v>3421</v>
      </c>
      <c r="C55" s="1" t="s">
        <v>134</v>
      </c>
      <c r="D55" s="2" t="s">
        <v>3321</v>
      </c>
      <c r="E55" s="1" t="s">
        <v>3927</v>
      </c>
      <c r="F55" s="2" t="s">
        <v>3926</v>
      </c>
      <c r="G55" s="1" t="s">
        <v>3420</v>
      </c>
      <c r="H55" s="1" t="s">
        <v>3322</v>
      </c>
      <c r="I55" t="str">
        <f t="shared" si="11"/>
        <v>2R</v>
      </c>
      <c r="J55" t="str">
        <f t="shared" si="12"/>
        <v xml:space="preserve">0812 </v>
      </c>
      <c r="K55" t="str">
        <f t="shared" si="13"/>
        <v>0812½</v>
      </c>
      <c r="M55" s="8" t="str">
        <f t="shared" si="4"/>
        <v>UP</v>
      </c>
      <c r="N55" t="s">
        <v>3946</v>
      </c>
      <c r="O55" t="s">
        <v>3926</v>
      </c>
    </row>
    <row r="56" spans="2:27" ht="15" customHeight="1" x14ac:dyDescent="0.25">
      <c r="B56" s="3" t="s">
        <v>3422</v>
      </c>
      <c r="C56" s="1" t="s">
        <v>1463</v>
      </c>
      <c r="D56" s="2" t="s">
        <v>3382</v>
      </c>
      <c r="E56" s="1" t="s">
        <v>3927</v>
      </c>
      <c r="F56" s="2" t="s">
        <v>3926</v>
      </c>
      <c r="G56" s="1" t="s">
        <v>135</v>
      </c>
      <c r="H56" s="1" t="s">
        <v>3322</v>
      </c>
      <c r="I56" t="str">
        <f t="shared" si="11"/>
        <v>2N</v>
      </c>
      <c r="J56" t="str">
        <f t="shared" si="12"/>
        <v xml:space="preserve">0815 </v>
      </c>
      <c r="K56" t="str">
        <f t="shared" si="13"/>
        <v xml:space="preserve">0816 </v>
      </c>
      <c r="M56" s="8" t="str">
        <f t="shared" si="4"/>
        <v>UP</v>
      </c>
      <c r="N56" t="s">
        <v>3946</v>
      </c>
      <c r="O56" t="s">
        <v>3926</v>
      </c>
    </row>
    <row r="57" spans="2:27" ht="15" customHeight="1" x14ac:dyDescent="0.25">
      <c r="B57" s="3" t="s">
        <v>3423</v>
      </c>
      <c r="C57" s="1" t="s">
        <v>3424</v>
      </c>
      <c r="D57" s="2" t="s">
        <v>3926</v>
      </c>
      <c r="E57" s="1" t="s">
        <v>3928</v>
      </c>
      <c r="F57" s="2" t="s">
        <v>3324</v>
      </c>
      <c r="G57" s="1" t="s">
        <v>1470</v>
      </c>
      <c r="H57" s="1" t="s">
        <v>3322</v>
      </c>
      <c r="I57" t="str">
        <f t="shared" si="11"/>
        <v>2B</v>
      </c>
      <c r="J57" t="str">
        <f t="shared" si="12"/>
        <v xml:space="preserve">0818 </v>
      </c>
      <c r="K57" t="str">
        <f t="shared" si="13"/>
        <v>0818½</v>
      </c>
      <c r="M57" s="8" t="str">
        <f t="shared" si="4"/>
        <v>DN</v>
      </c>
      <c r="N57" t="s">
        <v>3929</v>
      </c>
      <c r="O57" t="s">
        <v>3930</v>
      </c>
      <c r="P57" t="s">
        <v>3931</v>
      </c>
      <c r="Q57" t="s">
        <v>3382</v>
      </c>
      <c r="R57" t="s">
        <v>3932</v>
      </c>
      <c r="S57" t="s">
        <v>3376</v>
      </c>
      <c r="T57" t="s">
        <v>3933</v>
      </c>
      <c r="U57" t="s">
        <v>3934</v>
      </c>
      <c r="V57" t="s">
        <v>3935</v>
      </c>
      <c r="W57" t="s">
        <v>3936</v>
      </c>
      <c r="X57" t="s">
        <v>3321</v>
      </c>
      <c r="Y57" t="s">
        <v>3937</v>
      </c>
      <c r="Z57" t="s">
        <v>3385</v>
      </c>
      <c r="AA57" t="s">
        <v>3324</v>
      </c>
    </row>
    <row r="58" spans="2:27" ht="15" customHeight="1" x14ac:dyDescent="0.25">
      <c r="B58" s="3" t="s">
        <v>3425</v>
      </c>
      <c r="C58" s="1" t="s">
        <v>3426</v>
      </c>
      <c r="D58" s="2" t="s">
        <v>3324</v>
      </c>
      <c r="E58" s="1" t="s">
        <v>3927</v>
      </c>
      <c r="F58" s="2" t="s">
        <v>3926</v>
      </c>
      <c r="G58" s="1" t="s">
        <v>140</v>
      </c>
      <c r="H58" s="1" t="s">
        <v>3322</v>
      </c>
      <c r="I58" t="str">
        <f t="shared" si="11"/>
        <v>1B</v>
      </c>
      <c r="J58" t="str">
        <f t="shared" si="12"/>
        <v>0818½</v>
      </c>
      <c r="K58" t="str">
        <f t="shared" si="13"/>
        <v xml:space="preserve">0819 </v>
      </c>
      <c r="M58" s="8" t="str">
        <f t="shared" si="4"/>
        <v>UP</v>
      </c>
      <c r="N58" t="s">
        <v>3946</v>
      </c>
      <c r="O58" t="s">
        <v>3926</v>
      </c>
    </row>
    <row r="59" spans="2:27" ht="15" customHeight="1" x14ac:dyDescent="0.25">
      <c r="B59" s="3" t="s">
        <v>3427</v>
      </c>
      <c r="C59" s="1" t="s">
        <v>141</v>
      </c>
      <c r="D59" s="2" t="s">
        <v>3401</v>
      </c>
      <c r="E59" s="1" t="s">
        <v>3927</v>
      </c>
      <c r="F59" s="2" t="s">
        <v>3926</v>
      </c>
      <c r="G59" s="1" t="s">
        <v>3428</v>
      </c>
      <c r="H59" s="1" t="s">
        <v>3322</v>
      </c>
      <c r="I59" t="str">
        <f t="shared" si="11"/>
        <v>1D</v>
      </c>
      <c r="J59" t="str">
        <f t="shared" si="12"/>
        <v xml:space="preserve">0823 </v>
      </c>
      <c r="K59" t="str">
        <f t="shared" si="13"/>
        <v>0823½</v>
      </c>
      <c r="M59" s="8" t="str">
        <f t="shared" si="4"/>
        <v>UP</v>
      </c>
      <c r="N59" t="s">
        <v>3926</v>
      </c>
    </row>
    <row r="60" spans="2:27" ht="15" customHeight="1" x14ac:dyDescent="0.25">
      <c r="B60" s="3" t="s">
        <v>3429</v>
      </c>
      <c r="C60" s="1" t="s">
        <v>141</v>
      </c>
      <c r="D60" s="2" t="s">
        <v>3926</v>
      </c>
      <c r="E60" s="1" t="s">
        <v>3928</v>
      </c>
      <c r="F60" s="2" t="s">
        <v>3326</v>
      </c>
      <c r="G60" s="1" t="s">
        <v>3428</v>
      </c>
      <c r="H60" s="1" t="s">
        <v>3322</v>
      </c>
      <c r="I60" t="str">
        <f t="shared" si="11"/>
        <v>1D</v>
      </c>
      <c r="J60" t="str">
        <f t="shared" si="12"/>
        <v xml:space="preserve">0823 </v>
      </c>
      <c r="K60" t="str">
        <f t="shared" si="13"/>
        <v>0823½</v>
      </c>
      <c r="M60" s="8" t="str">
        <f t="shared" si="4"/>
        <v>DN</v>
      </c>
      <c r="N60" t="s">
        <v>3929</v>
      </c>
      <c r="O60" t="s">
        <v>3930</v>
      </c>
      <c r="P60" t="s">
        <v>3943</v>
      </c>
      <c r="Q60" t="s">
        <v>3944</v>
      </c>
      <c r="R60" t="s">
        <v>3326</v>
      </c>
    </row>
    <row r="61" spans="2:27" ht="15" customHeight="1" x14ac:dyDescent="0.25">
      <c r="B61" s="3" t="s">
        <v>3430</v>
      </c>
      <c r="C61" s="1" t="s">
        <v>144</v>
      </c>
      <c r="D61" s="2" t="s">
        <v>3376</v>
      </c>
      <c r="E61" s="1" t="s">
        <v>3927</v>
      </c>
      <c r="F61" s="2" t="s">
        <v>3926</v>
      </c>
      <c r="G61" s="1" t="s">
        <v>1497</v>
      </c>
      <c r="H61" s="1" t="s">
        <v>3322</v>
      </c>
      <c r="I61" t="str">
        <f t="shared" si="11"/>
        <v>2R</v>
      </c>
      <c r="J61" t="str">
        <f t="shared" si="12"/>
        <v xml:space="preserve">0828 </v>
      </c>
      <c r="K61" t="str">
        <f t="shared" si="13"/>
        <v>0828½</v>
      </c>
      <c r="M61" s="8" t="str">
        <f t="shared" si="4"/>
        <v>UP</v>
      </c>
      <c r="N61" t="s">
        <v>3946</v>
      </c>
      <c r="O61" t="s">
        <v>3926</v>
      </c>
    </row>
    <row r="62" spans="2:27" ht="15" customHeight="1" x14ac:dyDescent="0.25">
      <c r="B62" s="3" t="s">
        <v>3431</v>
      </c>
      <c r="C62" s="1" t="s">
        <v>1575</v>
      </c>
      <c r="D62" s="2" t="s">
        <v>3926</v>
      </c>
      <c r="E62" s="1" t="s">
        <v>3928</v>
      </c>
      <c r="F62" s="2" t="s">
        <v>3321</v>
      </c>
      <c r="G62" s="1" t="s">
        <v>3432</v>
      </c>
      <c r="H62" s="1" t="s">
        <v>3322</v>
      </c>
      <c r="I62" t="str">
        <f t="shared" si="11"/>
        <v>2R</v>
      </c>
      <c r="J62" t="str">
        <f t="shared" si="12"/>
        <v xml:space="preserve">0829 </v>
      </c>
      <c r="K62" t="str">
        <f t="shared" si="13"/>
        <v>0829½</v>
      </c>
      <c r="M62" s="8" t="str">
        <f t="shared" ref="M62:M123" si="14">E62</f>
        <v>DN</v>
      </c>
      <c r="N62" t="s">
        <v>3929</v>
      </c>
      <c r="O62" t="s">
        <v>3938</v>
      </c>
      <c r="P62" t="s">
        <v>1033</v>
      </c>
      <c r="Q62" t="s">
        <v>3939</v>
      </c>
      <c r="R62" t="s">
        <v>3326</v>
      </c>
      <c r="S62" t="s">
        <v>3940</v>
      </c>
      <c r="T62" t="s">
        <v>3941</v>
      </c>
      <c r="U62" t="s">
        <v>3942</v>
      </c>
      <c r="V62" t="s">
        <v>3376</v>
      </c>
      <c r="W62" t="s">
        <v>3933</v>
      </c>
      <c r="X62" t="s">
        <v>3934</v>
      </c>
      <c r="Y62" t="s">
        <v>3935</v>
      </c>
      <c r="Z62" t="s">
        <v>3936</v>
      </c>
      <c r="AA62" t="s">
        <v>3321</v>
      </c>
    </row>
    <row r="63" spans="2:27" ht="15" customHeight="1" x14ac:dyDescent="0.25">
      <c r="B63" s="3" t="s">
        <v>3433</v>
      </c>
      <c r="C63" s="1" t="s">
        <v>149</v>
      </c>
      <c r="D63" s="2" t="s">
        <v>3382</v>
      </c>
      <c r="E63" s="1" t="s">
        <v>3927</v>
      </c>
      <c r="F63" s="2" t="s">
        <v>3926</v>
      </c>
      <c r="G63" s="1" t="s">
        <v>3112</v>
      </c>
      <c r="H63" s="1" t="s">
        <v>3322</v>
      </c>
      <c r="I63" t="str">
        <f t="shared" si="11"/>
        <v>2N</v>
      </c>
      <c r="J63" t="str">
        <f t="shared" si="12"/>
        <v xml:space="preserve">0831 </v>
      </c>
      <c r="K63" t="str">
        <f t="shared" si="13"/>
        <v xml:space="preserve">0832 </v>
      </c>
      <c r="M63" s="8" t="str">
        <f t="shared" si="14"/>
        <v>UP</v>
      </c>
      <c r="N63" t="s">
        <v>3946</v>
      </c>
      <c r="O63" t="s">
        <v>3926</v>
      </c>
    </row>
    <row r="64" spans="2:27" ht="15" customHeight="1" x14ac:dyDescent="0.25">
      <c r="B64" s="3" t="s">
        <v>3434</v>
      </c>
      <c r="C64" s="1" t="s">
        <v>3435</v>
      </c>
      <c r="D64" s="2" t="s">
        <v>3385</v>
      </c>
      <c r="E64" s="1" t="s">
        <v>3927</v>
      </c>
      <c r="F64" s="2" t="s">
        <v>3926</v>
      </c>
      <c r="G64" s="1" t="s">
        <v>150</v>
      </c>
      <c r="H64" s="1" t="s">
        <v>3322</v>
      </c>
      <c r="I64" t="str">
        <f t="shared" si="11"/>
        <v>1B</v>
      </c>
      <c r="J64" t="str">
        <f t="shared" si="12"/>
        <v>0834½</v>
      </c>
      <c r="K64" t="str">
        <f t="shared" si="13"/>
        <v xml:space="preserve">0835 </v>
      </c>
      <c r="M64" s="8" t="str">
        <f t="shared" si="14"/>
        <v>UP</v>
      </c>
      <c r="N64" t="s">
        <v>3946</v>
      </c>
      <c r="O64" t="s">
        <v>3926</v>
      </c>
    </row>
    <row r="65" spans="2:27" ht="15" customHeight="1" x14ac:dyDescent="0.25">
      <c r="B65" s="3" t="s">
        <v>3436</v>
      </c>
      <c r="C65" s="1" t="s">
        <v>3437</v>
      </c>
      <c r="D65" s="2" t="s">
        <v>3376</v>
      </c>
      <c r="E65" s="1" t="s">
        <v>3927</v>
      </c>
      <c r="F65" s="2" t="s">
        <v>3926</v>
      </c>
      <c r="G65" s="1" t="s">
        <v>155</v>
      </c>
      <c r="H65" s="1" t="s">
        <v>3322</v>
      </c>
      <c r="I65" t="str">
        <f t="shared" si="11"/>
        <v>1D</v>
      </c>
      <c r="J65" t="str">
        <f t="shared" si="12"/>
        <v>0837½</v>
      </c>
      <c r="K65" t="str">
        <f t="shared" si="13"/>
        <v xml:space="preserve">0838 </v>
      </c>
      <c r="M65" s="8" t="str">
        <f t="shared" si="14"/>
        <v>UP</v>
      </c>
      <c r="N65" t="s">
        <v>3926</v>
      </c>
    </row>
    <row r="66" spans="2:27" ht="15" customHeight="1" x14ac:dyDescent="0.25">
      <c r="B66" s="3" t="s">
        <v>3438</v>
      </c>
      <c r="C66" s="1" t="s">
        <v>155</v>
      </c>
      <c r="D66" s="2" t="s">
        <v>3926</v>
      </c>
      <c r="E66" s="1" t="s">
        <v>3928</v>
      </c>
      <c r="F66" s="2" t="s">
        <v>3324</v>
      </c>
      <c r="G66" s="1" t="s">
        <v>1518</v>
      </c>
      <c r="H66" s="1" t="s">
        <v>3322</v>
      </c>
      <c r="I66" t="str">
        <f t="shared" si="11"/>
        <v>1B</v>
      </c>
      <c r="J66" t="str">
        <f t="shared" si="12"/>
        <v xml:space="preserve">0838 </v>
      </c>
      <c r="K66" t="str">
        <f t="shared" si="13"/>
        <v>0838½</v>
      </c>
      <c r="M66" s="8" t="str">
        <f t="shared" si="14"/>
        <v>DN</v>
      </c>
      <c r="N66" t="s">
        <v>3929</v>
      </c>
      <c r="O66" t="s">
        <v>3930</v>
      </c>
      <c r="P66" t="s">
        <v>3382</v>
      </c>
      <c r="Q66" t="s">
        <v>3932</v>
      </c>
      <c r="R66" t="s">
        <v>3376</v>
      </c>
      <c r="S66" t="s">
        <v>3933</v>
      </c>
      <c r="T66" t="s">
        <v>3934</v>
      </c>
      <c r="U66" t="s">
        <v>3935</v>
      </c>
      <c r="V66" t="s">
        <v>3936</v>
      </c>
      <c r="W66" t="s">
        <v>3321</v>
      </c>
      <c r="X66" t="s">
        <v>3937</v>
      </c>
      <c r="Y66" t="s">
        <v>3385</v>
      </c>
      <c r="Z66" t="s">
        <v>3324</v>
      </c>
    </row>
    <row r="67" spans="2:27" ht="15" customHeight="1" x14ac:dyDescent="0.25">
      <c r="B67" s="3" t="s">
        <v>3439</v>
      </c>
      <c r="C67" s="1" t="s">
        <v>1543</v>
      </c>
      <c r="D67" s="2" t="s">
        <v>3382</v>
      </c>
      <c r="E67" s="1" t="s">
        <v>3927</v>
      </c>
      <c r="F67" s="2" t="s">
        <v>3926</v>
      </c>
      <c r="G67" s="1" t="s">
        <v>3440</v>
      </c>
      <c r="H67" s="1" t="s">
        <v>3322</v>
      </c>
      <c r="I67" t="str">
        <f t="shared" si="11"/>
        <v>2N</v>
      </c>
      <c r="J67" t="str">
        <f t="shared" si="12"/>
        <v>0846½</v>
      </c>
      <c r="K67" t="str">
        <f t="shared" si="13"/>
        <v xml:space="preserve">0847 </v>
      </c>
      <c r="M67" s="8" t="str">
        <f t="shared" si="14"/>
        <v>UP</v>
      </c>
      <c r="N67" t="s">
        <v>3946</v>
      </c>
      <c r="O67" t="s">
        <v>3926</v>
      </c>
    </row>
    <row r="68" spans="2:27" ht="15" customHeight="1" x14ac:dyDescent="0.25">
      <c r="B68" s="3" t="s">
        <v>3441</v>
      </c>
      <c r="C68" s="1" t="s">
        <v>162</v>
      </c>
      <c r="D68" s="2" t="s">
        <v>3926</v>
      </c>
      <c r="E68" s="1" t="s">
        <v>3928</v>
      </c>
      <c r="F68" s="2" t="s">
        <v>3324</v>
      </c>
      <c r="G68" s="1" t="s">
        <v>3442</v>
      </c>
      <c r="H68" s="1" t="s">
        <v>3322</v>
      </c>
      <c r="I68" t="str">
        <f t="shared" si="11"/>
        <v>2B</v>
      </c>
      <c r="J68" t="str">
        <f t="shared" si="12"/>
        <v xml:space="preserve">0849 </v>
      </c>
      <c r="K68" t="str">
        <f t="shared" si="13"/>
        <v>0849½</v>
      </c>
      <c r="M68" s="8" t="str">
        <f t="shared" si="14"/>
        <v>DN</v>
      </c>
      <c r="N68" t="s">
        <v>3929</v>
      </c>
      <c r="O68" t="s">
        <v>3930</v>
      </c>
      <c r="P68" t="s">
        <v>3931</v>
      </c>
      <c r="Q68" t="s">
        <v>3382</v>
      </c>
      <c r="R68" t="s">
        <v>3932</v>
      </c>
      <c r="S68" t="s">
        <v>3376</v>
      </c>
      <c r="T68" t="s">
        <v>3933</v>
      </c>
      <c r="U68" t="s">
        <v>3934</v>
      </c>
      <c r="V68" t="s">
        <v>3935</v>
      </c>
      <c r="W68" t="s">
        <v>3936</v>
      </c>
      <c r="X68" t="s">
        <v>3321</v>
      </c>
      <c r="Y68" t="s">
        <v>3937</v>
      </c>
      <c r="Z68" t="s">
        <v>3385</v>
      </c>
      <c r="AA68" t="s">
        <v>3324</v>
      </c>
    </row>
    <row r="69" spans="2:27" ht="15" customHeight="1" x14ac:dyDescent="0.25">
      <c r="B69" s="3" t="s">
        <v>3443</v>
      </c>
      <c r="C69" s="1" t="s">
        <v>1551</v>
      </c>
      <c r="D69" s="2" t="s">
        <v>3324</v>
      </c>
      <c r="E69" s="1" t="s">
        <v>3927</v>
      </c>
      <c r="F69" s="2" t="s">
        <v>3926</v>
      </c>
      <c r="G69" s="1" t="s">
        <v>164</v>
      </c>
      <c r="H69" s="1" t="s">
        <v>3322</v>
      </c>
      <c r="I69" t="str">
        <f t="shared" si="11"/>
        <v>1B</v>
      </c>
      <c r="J69" t="str">
        <f t="shared" si="12"/>
        <v>0850½</v>
      </c>
      <c r="K69" t="str">
        <f t="shared" si="13"/>
        <v xml:space="preserve">0851 </v>
      </c>
      <c r="M69" s="8" t="str">
        <f t="shared" si="14"/>
        <v>UP</v>
      </c>
      <c r="N69" t="s">
        <v>3946</v>
      </c>
      <c r="O69" t="s">
        <v>3926</v>
      </c>
    </row>
    <row r="70" spans="2:27" ht="15" customHeight="1" x14ac:dyDescent="0.25">
      <c r="B70" s="3" t="s">
        <v>3444</v>
      </c>
      <c r="C70" s="1" t="s">
        <v>165</v>
      </c>
      <c r="D70" s="2" t="s">
        <v>3401</v>
      </c>
      <c r="E70" s="1" t="s">
        <v>3927</v>
      </c>
      <c r="F70" s="2" t="s">
        <v>3926</v>
      </c>
      <c r="G70" s="1" t="s">
        <v>3445</v>
      </c>
      <c r="H70" s="1" t="s">
        <v>3322</v>
      </c>
      <c r="I70" t="str">
        <f t="shared" si="11"/>
        <v>1D</v>
      </c>
      <c r="J70" t="str">
        <f t="shared" si="12"/>
        <v xml:space="preserve">0855 </v>
      </c>
      <c r="K70" t="str">
        <f t="shared" si="13"/>
        <v>0855½</v>
      </c>
      <c r="M70" s="8" t="str">
        <f t="shared" si="14"/>
        <v>UP</v>
      </c>
      <c r="N70" t="s">
        <v>3926</v>
      </c>
    </row>
    <row r="71" spans="2:27" ht="15" customHeight="1" x14ac:dyDescent="0.25">
      <c r="B71" s="3" t="s">
        <v>3446</v>
      </c>
      <c r="C71" s="1" t="s">
        <v>173</v>
      </c>
      <c r="D71" s="2" t="s">
        <v>3926</v>
      </c>
      <c r="E71" s="1" t="s">
        <v>3928</v>
      </c>
      <c r="F71" s="2" t="s">
        <v>3321</v>
      </c>
      <c r="G71" s="1" t="s">
        <v>3447</v>
      </c>
      <c r="H71" s="1" t="s">
        <v>3322</v>
      </c>
      <c r="I71" t="str">
        <f t="shared" si="11"/>
        <v>2R</v>
      </c>
      <c r="J71" t="str">
        <f t="shared" si="12"/>
        <v xml:space="preserve">0859 </v>
      </c>
      <c r="K71" t="str">
        <f t="shared" si="13"/>
        <v>0859½</v>
      </c>
      <c r="M71" s="8" t="str">
        <f t="shared" si="14"/>
        <v>DN</v>
      </c>
      <c r="N71" t="s">
        <v>3929</v>
      </c>
      <c r="O71" t="s">
        <v>3938</v>
      </c>
      <c r="P71" t="s">
        <v>1033</v>
      </c>
      <c r="Q71" t="s">
        <v>3939</v>
      </c>
      <c r="R71" t="s">
        <v>3326</v>
      </c>
      <c r="S71" t="s">
        <v>3940</v>
      </c>
      <c r="T71" t="s">
        <v>3941</v>
      </c>
      <c r="U71" t="s">
        <v>3942</v>
      </c>
      <c r="V71" t="s">
        <v>3376</v>
      </c>
      <c r="W71" t="s">
        <v>3933</v>
      </c>
      <c r="X71" t="s">
        <v>3934</v>
      </c>
      <c r="Y71" t="s">
        <v>3935</v>
      </c>
      <c r="Z71" t="s">
        <v>3936</v>
      </c>
      <c r="AA71" t="s">
        <v>3321</v>
      </c>
    </row>
    <row r="72" spans="2:27" ht="15" customHeight="1" x14ac:dyDescent="0.25">
      <c r="B72" s="3" t="s">
        <v>3448</v>
      </c>
      <c r="C72" s="1" t="s">
        <v>1586</v>
      </c>
      <c r="D72" s="2" t="s">
        <v>3382</v>
      </c>
      <c r="E72" s="1" t="s">
        <v>3927</v>
      </c>
      <c r="F72" s="2" t="s">
        <v>3926</v>
      </c>
      <c r="G72" s="1" t="s">
        <v>3449</v>
      </c>
      <c r="H72" s="1" t="s">
        <v>3322</v>
      </c>
      <c r="I72" t="str">
        <f t="shared" ref="I72:I95" si="15">LEFT(B72,2)</f>
        <v>2N</v>
      </c>
      <c r="J72" t="str">
        <f t="shared" ref="J72:J95" si="16">LEFT(C72,5)</f>
        <v>0903½</v>
      </c>
      <c r="K72" t="str">
        <f t="shared" ref="K72:K95" si="17">LEFT(G72,5)</f>
        <v xml:space="preserve">0904 </v>
      </c>
      <c r="M72" s="8" t="str">
        <f t="shared" si="14"/>
        <v>UP</v>
      </c>
      <c r="N72" t="s">
        <v>3946</v>
      </c>
      <c r="O72" t="s">
        <v>3926</v>
      </c>
    </row>
    <row r="73" spans="2:27" ht="15" customHeight="1" x14ac:dyDescent="0.25">
      <c r="B73" s="3" t="s">
        <v>3450</v>
      </c>
      <c r="C73" s="1" t="s">
        <v>1602</v>
      </c>
      <c r="D73" s="2" t="s">
        <v>3926</v>
      </c>
      <c r="E73" s="1" t="s">
        <v>3928</v>
      </c>
      <c r="F73" s="2" t="s">
        <v>3324</v>
      </c>
      <c r="G73" s="1" t="s">
        <v>3451</v>
      </c>
      <c r="H73" s="1" t="s">
        <v>3322</v>
      </c>
      <c r="I73" t="str">
        <f t="shared" si="15"/>
        <v>1B</v>
      </c>
      <c r="J73" t="str">
        <f t="shared" si="16"/>
        <v xml:space="preserve">0908 </v>
      </c>
      <c r="K73" t="str">
        <f t="shared" si="17"/>
        <v>0908½</v>
      </c>
      <c r="M73" s="8" t="str">
        <f t="shared" si="14"/>
        <v>DN</v>
      </c>
      <c r="N73" t="s">
        <v>3929</v>
      </c>
      <c r="O73" t="s">
        <v>3930</v>
      </c>
      <c r="P73" t="s">
        <v>3382</v>
      </c>
      <c r="Q73" t="s">
        <v>3932</v>
      </c>
      <c r="R73" t="s">
        <v>3376</v>
      </c>
      <c r="S73" t="s">
        <v>3933</v>
      </c>
      <c r="T73" t="s">
        <v>3934</v>
      </c>
      <c r="U73" t="s">
        <v>3935</v>
      </c>
      <c r="V73" t="s">
        <v>3936</v>
      </c>
      <c r="W73" t="s">
        <v>3321</v>
      </c>
      <c r="X73" t="s">
        <v>3937</v>
      </c>
      <c r="Y73" t="s">
        <v>3385</v>
      </c>
      <c r="Z73" t="s">
        <v>3324</v>
      </c>
    </row>
    <row r="74" spans="2:27" ht="15" customHeight="1" x14ac:dyDescent="0.25">
      <c r="B74" s="3" t="s">
        <v>3452</v>
      </c>
      <c r="C74" s="1" t="s">
        <v>1600</v>
      </c>
      <c r="D74" s="2" t="s">
        <v>3324</v>
      </c>
      <c r="E74" s="1" t="s">
        <v>3927</v>
      </c>
      <c r="F74" s="2" t="s">
        <v>3926</v>
      </c>
      <c r="G74" s="1" t="s">
        <v>277</v>
      </c>
      <c r="H74" s="1" t="s">
        <v>3322</v>
      </c>
      <c r="I74" t="str">
        <f t="shared" si="15"/>
        <v>1B</v>
      </c>
      <c r="J74" t="str">
        <f t="shared" si="16"/>
        <v>0908½</v>
      </c>
      <c r="K74" t="str">
        <f t="shared" si="17"/>
        <v xml:space="preserve">0909 </v>
      </c>
      <c r="M74" s="8" t="str">
        <f t="shared" si="14"/>
        <v>UP</v>
      </c>
      <c r="N74" t="s">
        <v>3946</v>
      </c>
      <c r="O74" t="s">
        <v>3926</v>
      </c>
    </row>
    <row r="75" spans="2:27" ht="15" customHeight="1" x14ac:dyDescent="0.25">
      <c r="B75" s="3" t="s">
        <v>3453</v>
      </c>
      <c r="C75" s="1" t="s">
        <v>288</v>
      </c>
      <c r="D75" s="2" t="s">
        <v>3926</v>
      </c>
      <c r="E75" s="1" t="s">
        <v>3928</v>
      </c>
      <c r="F75" s="2" t="s">
        <v>3324</v>
      </c>
      <c r="G75" s="1" t="s">
        <v>3454</v>
      </c>
      <c r="H75" s="1" t="s">
        <v>3322</v>
      </c>
      <c r="I75" t="str">
        <f t="shared" si="15"/>
        <v>2B</v>
      </c>
      <c r="J75" t="str">
        <f t="shared" si="16"/>
        <v xml:space="preserve">0919 </v>
      </c>
      <c r="K75" t="str">
        <f t="shared" si="17"/>
        <v>0919½</v>
      </c>
      <c r="M75" s="8" t="str">
        <f t="shared" si="14"/>
        <v>DN</v>
      </c>
      <c r="N75" t="s">
        <v>3929</v>
      </c>
      <c r="O75" t="s">
        <v>3930</v>
      </c>
      <c r="P75" t="s">
        <v>3931</v>
      </c>
      <c r="Q75" t="s">
        <v>3382</v>
      </c>
      <c r="R75" t="s">
        <v>3932</v>
      </c>
      <c r="S75" t="s">
        <v>3376</v>
      </c>
      <c r="T75" t="s">
        <v>3933</v>
      </c>
      <c r="U75" t="s">
        <v>3934</v>
      </c>
      <c r="V75" t="s">
        <v>3935</v>
      </c>
      <c r="W75" t="s">
        <v>3936</v>
      </c>
      <c r="X75" t="s">
        <v>3321</v>
      </c>
      <c r="Y75" t="s">
        <v>3937</v>
      </c>
      <c r="Z75" t="s">
        <v>3385</v>
      </c>
      <c r="AA75" t="s">
        <v>3324</v>
      </c>
    </row>
    <row r="76" spans="2:27" ht="15" customHeight="1" x14ac:dyDescent="0.25">
      <c r="B76" s="3" t="s">
        <v>3455</v>
      </c>
      <c r="C76" s="1" t="s">
        <v>1633</v>
      </c>
      <c r="D76" s="2" t="s">
        <v>3926</v>
      </c>
      <c r="E76" s="1" t="s">
        <v>3928</v>
      </c>
      <c r="F76" s="2" t="s">
        <v>3321</v>
      </c>
      <c r="G76" s="1" t="s">
        <v>3456</v>
      </c>
      <c r="H76" s="1" t="s">
        <v>3322</v>
      </c>
      <c r="I76" t="str">
        <f t="shared" si="15"/>
        <v>2R</v>
      </c>
      <c r="J76" t="str">
        <f t="shared" si="16"/>
        <v xml:space="preserve">0925 </v>
      </c>
      <c r="K76" t="str">
        <f t="shared" si="17"/>
        <v>0925½</v>
      </c>
      <c r="M76" s="8" t="str">
        <f t="shared" si="14"/>
        <v>DN</v>
      </c>
      <c r="N76" t="s">
        <v>3929</v>
      </c>
      <c r="O76" t="s">
        <v>3938</v>
      </c>
      <c r="P76" t="s">
        <v>1033</v>
      </c>
      <c r="Q76" t="s">
        <v>3939</v>
      </c>
      <c r="R76" t="s">
        <v>3326</v>
      </c>
      <c r="S76" t="s">
        <v>3940</v>
      </c>
      <c r="T76" t="s">
        <v>3941</v>
      </c>
      <c r="U76" t="s">
        <v>3942</v>
      </c>
      <c r="V76" t="s">
        <v>3376</v>
      </c>
      <c r="W76" t="s">
        <v>3933</v>
      </c>
      <c r="X76" t="s">
        <v>3934</v>
      </c>
      <c r="Y76" t="s">
        <v>3935</v>
      </c>
      <c r="Z76" t="s">
        <v>3936</v>
      </c>
      <c r="AA76" t="s">
        <v>3321</v>
      </c>
    </row>
    <row r="77" spans="2:27" ht="15" customHeight="1" x14ac:dyDescent="0.25">
      <c r="B77" s="3" t="s">
        <v>3457</v>
      </c>
      <c r="C77" s="1" t="s">
        <v>294</v>
      </c>
      <c r="D77" s="2" t="s">
        <v>3376</v>
      </c>
      <c r="E77" s="1" t="s">
        <v>3927</v>
      </c>
      <c r="F77" s="2" t="s">
        <v>3926</v>
      </c>
      <c r="G77" s="1" t="s">
        <v>3458</v>
      </c>
      <c r="H77" s="1" t="s">
        <v>3322</v>
      </c>
      <c r="I77" t="str">
        <f t="shared" si="15"/>
        <v>2D</v>
      </c>
      <c r="J77" t="str">
        <f t="shared" si="16"/>
        <v xml:space="preserve">0926 </v>
      </c>
      <c r="K77" t="str">
        <f t="shared" si="17"/>
        <v>0926½</v>
      </c>
      <c r="M77" s="8" t="str">
        <f t="shared" si="14"/>
        <v>UP</v>
      </c>
      <c r="N77" t="s">
        <v>3946</v>
      </c>
      <c r="O77" t="s">
        <v>3926</v>
      </c>
    </row>
    <row r="78" spans="2:27" ht="15" customHeight="1" x14ac:dyDescent="0.25">
      <c r="B78" s="3" t="s">
        <v>3459</v>
      </c>
      <c r="C78" s="1" t="s">
        <v>3460</v>
      </c>
      <c r="D78" s="2" t="s">
        <v>3326</v>
      </c>
      <c r="E78" s="1" t="s">
        <v>3927</v>
      </c>
      <c r="F78" s="2" t="s">
        <v>3926</v>
      </c>
      <c r="G78" s="1" t="s">
        <v>1647</v>
      </c>
      <c r="H78" s="1" t="s">
        <v>3322</v>
      </c>
      <c r="I78" t="str">
        <f t="shared" si="15"/>
        <v>2R</v>
      </c>
      <c r="J78" t="str">
        <f t="shared" si="16"/>
        <v>0928½</v>
      </c>
      <c r="K78" t="str">
        <f t="shared" si="17"/>
        <v xml:space="preserve">0929 </v>
      </c>
      <c r="M78" s="8" t="str">
        <f t="shared" si="14"/>
        <v>UP</v>
      </c>
      <c r="N78" t="s">
        <v>3946</v>
      </c>
      <c r="O78" t="s">
        <v>3926</v>
      </c>
    </row>
    <row r="79" spans="2:27" ht="15" customHeight="1" x14ac:dyDescent="0.25">
      <c r="B79" s="3" t="s">
        <v>3461</v>
      </c>
      <c r="C79" s="1" t="s">
        <v>1647</v>
      </c>
      <c r="D79" s="2" t="s">
        <v>3926</v>
      </c>
      <c r="E79" s="1" t="s">
        <v>3928</v>
      </c>
      <c r="F79" s="2" t="s">
        <v>3321</v>
      </c>
      <c r="G79" s="1" t="s">
        <v>3462</v>
      </c>
      <c r="H79" s="1" t="s">
        <v>3322</v>
      </c>
      <c r="I79" t="str">
        <f t="shared" si="15"/>
        <v>2D</v>
      </c>
      <c r="J79" t="str">
        <f t="shared" si="16"/>
        <v xml:space="preserve">0929 </v>
      </c>
      <c r="K79" t="str">
        <f t="shared" si="17"/>
        <v>0929½</v>
      </c>
      <c r="M79" s="8" t="str">
        <f t="shared" si="14"/>
        <v>DN</v>
      </c>
      <c r="N79" t="s">
        <v>3929</v>
      </c>
      <c r="O79" t="s">
        <v>3930</v>
      </c>
      <c r="P79" t="s">
        <v>3943</v>
      </c>
      <c r="Q79" t="s">
        <v>3944</v>
      </c>
      <c r="R79" t="s">
        <v>3326</v>
      </c>
      <c r="S79" t="s">
        <v>3940</v>
      </c>
      <c r="T79" t="s">
        <v>3941</v>
      </c>
      <c r="U79" t="s">
        <v>3942</v>
      </c>
      <c r="V79" t="s">
        <v>3376</v>
      </c>
      <c r="W79" t="s">
        <v>3933</v>
      </c>
      <c r="X79" t="s">
        <v>3934</v>
      </c>
      <c r="Y79" t="s">
        <v>3935</v>
      </c>
      <c r="Z79" t="s">
        <v>3936</v>
      </c>
      <c r="AA79" t="s">
        <v>3321</v>
      </c>
    </row>
    <row r="80" spans="2:27" ht="15" customHeight="1" x14ac:dyDescent="0.25">
      <c r="B80" s="3" t="s">
        <v>3463</v>
      </c>
      <c r="C80" s="1" t="s">
        <v>297</v>
      </c>
      <c r="D80" s="2" t="s">
        <v>3382</v>
      </c>
      <c r="E80" s="1" t="s">
        <v>3927</v>
      </c>
      <c r="F80" s="2" t="s">
        <v>3926</v>
      </c>
      <c r="G80" s="1" t="s">
        <v>3464</v>
      </c>
      <c r="H80" s="1" t="s">
        <v>3322</v>
      </c>
      <c r="I80" t="str">
        <f t="shared" si="15"/>
        <v>2N</v>
      </c>
      <c r="J80" t="str">
        <f t="shared" si="16"/>
        <v xml:space="preserve">0931 </v>
      </c>
      <c r="K80" t="str">
        <f t="shared" si="17"/>
        <v>0931½</v>
      </c>
      <c r="M80" s="8" t="str">
        <f t="shared" si="14"/>
        <v>UP</v>
      </c>
      <c r="N80" t="s">
        <v>3946</v>
      </c>
      <c r="O80" t="s">
        <v>3926</v>
      </c>
    </row>
    <row r="81" spans="2:27" ht="15" customHeight="1" x14ac:dyDescent="0.25">
      <c r="B81" s="3" t="s">
        <v>3465</v>
      </c>
      <c r="C81" s="1" t="s">
        <v>303</v>
      </c>
      <c r="D81" s="2" t="s">
        <v>3926</v>
      </c>
      <c r="E81" s="1" t="s">
        <v>3928</v>
      </c>
      <c r="F81" s="2" t="s">
        <v>3324</v>
      </c>
      <c r="G81" s="1" t="s">
        <v>1661</v>
      </c>
      <c r="H81" s="1" t="s">
        <v>3322</v>
      </c>
      <c r="I81" t="str">
        <f t="shared" si="15"/>
        <v>1B</v>
      </c>
      <c r="J81" t="str">
        <f t="shared" si="16"/>
        <v xml:space="preserve">0938 </v>
      </c>
      <c r="K81" t="str">
        <f t="shared" si="17"/>
        <v>0938½</v>
      </c>
      <c r="M81" s="8" t="str">
        <f t="shared" si="14"/>
        <v>DN</v>
      </c>
      <c r="N81" t="s">
        <v>3929</v>
      </c>
      <c r="O81" t="s">
        <v>3930</v>
      </c>
      <c r="P81" t="s">
        <v>3382</v>
      </c>
      <c r="Q81" t="s">
        <v>3932</v>
      </c>
      <c r="R81" t="s">
        <v>3376</v>
      </c>
      <c r="S81" t="s">
        <v>3933</v>
      </c>
      <c r="T81" t="s">
        <v>3934</v>
      </c>
      <c r="U81" t="s">
        <v>3935</v>
      </c>
      <c r="V81" t="s">
        <v>3936</v>
      </c>
      <c r="W81" t="s">
        <v>3321</v>
      </c>
      <c r="X81" t="s">
        <v>3937</v>
      </c>
      <c r="Y81" t="s">
        <v>3385</v>
      </c>
      <c r="Z81" t="s">
        <v>3324</v>
      </c>
    </row>
    <row r="82" spans="2:27" ht="15" customHeight="1" x14ac:dyDescent="0.25">
      <c r="B82" s="3" t="s">
        <v>3466</v>
      </c>
      <c r="C82" s="1" t="s">
        <v>3128</v>
      </c>
      <c r="D82" s="2" t="s">
        <v>3382</v>
      </c>
      <c r="E82" s="1" t="s">
        <v>3927</v>
      </c>
      <c r="F82" s="2" t="s">
        <v>3926</v>
      </c>
      <c r="G82" s="1" t="s">
        <v>3129</v>
      </c>
      <c r="H82" s="1" t="s">
        <v>3322</v>
      </c>
      <c r="I82" t="str">
        <f t="shared" si="15"/>
        <v>2N</v>
      </c>
      <c r="J82" t="str">
        <f t="shared" si="16"/>
        <v>0942½</v>
      </c>
      <c r="K82" t="str">
        <f t="shared" si="17"/>
        <v xml:space="preserve">0943 </v>
      </c>
      <c r="M82" s="8" t="str">
        <f t="shared" si="14"/>
        <v>UP</v>
      </c>
      <c r="N82" t="s">
        <v>3946</v>
      </c>
      <c r="O82" t="s">
        <v>3926</v>
      </c>
    </row>
    <row r="83" spans="2:27" ht="15" customHeight="1" x14ac:dyDescent="0.25">
      <c r="B83" s="3" t="s">
        <v>3467</v>
      </c>
      <c r="C83" s="1" t="s">
        <v>3468</v>
      </c>
      <c r="D83" s="2" t="s">
        <v>3926</v>
      </c>
      <c r="E83" s="1" t="s">
        <v>3928</v>
      </c>
      <c r="F83" s="2" t="s">
        <v>3326</v>
      </c>
      <c r="G83" s="1" t="s">
        <v>3469</v>
      </c>
      <c r="H83" s="1" t="s">
        <v>3322</v>
      </c>
      <c r="I83" t="str">
        <f t="shared" si="15"/>
        <v>2R</v>
      </c>
      <c r="J83" t="str">
        <f t="shared" si="16"/>
        <v xml:space="preserve">0944 </v>
      </c>
      <c r="K83" t="str">
        <f t="shared" si="17"/>
        <v>0944½</v>
      </c>
      <c r="M83" s="8" t="str">
        <f t="shared" si="14"/>
        <v>DN</v>
      </c>
      <c r="N83" t="s">
        <v>3929</v>
      </c>
      <c r="O83" t="s">
        <v>3938</v>
      </c>
      <c r="P83" t="s">
        <v>1033</v>
      </c>
      <c r="Q83" t="s">
        <v>3945</v>
      </c>
      <c r="R83" t="s">
        <v>3326</v>
      </c>
    </row>
    <row r="84" spans="2:27" ht="15" customHeight="1" x14ac:dyDescent="0.25">
      <c r="B84" s="3" t="s">
        <v>3470</v>
      </c>
      <c r="C84" s="1" t="s">
        <v>310</v>
      </c>
      <c r="D84" s="2" t="s">
        <v>3926</v>
      </c>
      <c r="E84" s="1" t="s">
        <v>3928</v>
      </c>
      <c r="F84" s="2" t="s">
        <v>3324</v>
      </c>
      <c r="G84" s="1" t="s">
        <v>3471</v>
      </c>
      <c r="H84" s="1" t="s">
        <v>3322</v>
      </c>
      <c r="I84" t="str">
        <f t="shared" si="15"/>
        <v>2B</v>
      </c>
      <c r="J84" t="str">
        <f t="shared" si="16"/>
        <v xml:space="preserve">0949 </v>
      </c>
      <c r="K84" t="str">
        <f t="shared" si="17"/>
        <v>0949½</v>
      </c>
      <c r="M84" s="8" t="str">
        <f t="shared" si="14"/>
        <v>DN</v>
      </c>
      <c r="N84" t="s">
        <v>3929</v>
      </c>
      <c r="O84" t="s">
        <v>3930</v>
      </c>
      <c r="P84" t="s">
        <v>3931</v>
      </c>
      <c r="Q84" t="s">
        <v>3382</v>
      </c>
      <c r="R84" t="s">
        <v>3932</v>
      </c>
      <c r="S84" t="s">
        <v>3376</v>
      </c>
      <c r="T84" t="s">
        <v>3933</v>
      </c>
      <c r="U84" t="s">
        <v>3934</v>
      </c>
      <c r="V84" t="s">
        <v>3935</v>
      </c>
      <c r="W84" t="s">
        <v>3936</v>
      </c>
      <c r="X84" t="s">
        <v>3321</v>
      </c>
      <c r="Y84" t="s">
        <v>3937</v>
      </c>
      <c r="Z84" t="s">
        <v>3385</v>
      </c>
      <c r="AA84" t="s">
        <v>3324</v>
      </c>
    </row>
    <row r="85" spans="2:27" ht="15" customHeight="1" x14ac:dyDescent="0.25">
      <c r="B85" s="3" t="s">
        <v>3472</v>
      </c>
      <c r="C85" s="1" t="s">
        <v>3473</v>
      </c>
      <c r="D85" s="2" t="s">
        <v>3321</v>
      </c>
      <c r="E85" s="1" t="s">
        <v>3927</v>
      </c>
      <c r="F85" s="2" t="s">
        <v>3926</v>
      </c>
      <c r="G85" s="1" t="s">
        <v>315</v>
      </c>
      <c r="H85" s="1" t="s">
        <v>3322</v>
      </c>
      <c r="I85" t="str">
        <f t="shared" si="15"/>
        <v>1B</v>
      </c>
      <c r="J85" t="str">
        <f t="shared" si="16"/>
        <v>0951½</v>
      </c>
      <c r="K85" t="str">
        <f t="shared" si="17"/>
        <v xml:space="preserve">0952 </v>
      </c>
      <c r="M85" s="8" t="str">
        <f t="shared" si="14"/>
        <v>UP</v>
      </c>
      <c r="N85" t="s">
        <v>3946</v>
      </c>
      <c r="O85" t="s">
        <v>3926</v>
      </c>
    </row>
    <row r="86" spans="2:27" ht="15" customHeight="1" x14ac:dyDescent="0.25">
      <c r="B86" s="3" t="s">
        <v>3474</v>
      </c>
      <c r="C86" s="1" t="s">
        <v>3475</v>
      </c>
      <c r="D86" s="2" t="s">
        <v>3376</v>
      </c>
      <c r="E86" s="1" t="s">
        <v>3927</v>
      </c>
      <c r="F86" s="2" t="s">
        <v>3926</v>
      </c>
      <c r="G86" s="1" t="s">
        <v>321</v>
      </c>
      <c r="H86" s="1" t="s">
        <v>3322</v>
      </c>
      <c r="I86" t="str">
        <f t="shared" si="15"/>
        <v>2D</v>
      </c>
      <c r="J86" t="str">
        <f t="shared" si="16"/>
        <v>0958½</v>
      </c>
      <c r="K86" t="str">
        <f t="shared" si="17"/>
        <v xml:space="preserve">0959 </v>
      </c>
      <c r="M86" s="8" t="str">
        <f t="shared" si="14"/>
        <v>UP</v>
      </c>
      <c r="N86" t="s">
        <v>3946</v>
      </c>
      <c r="O86" t="s">
        <v>3926</v>
      </c>
    </row>
    <row r="87" spans="2:27" ht="15" customHeight="1" x14ac:dyDescent="0.25">
      <c r="B87" s="3" t="s">
        <v>3476</v>
      </c>
      <c r="C87" s="1" t="s">
        <v>321</v>
      </c>
      <c r="D87" s="2" t="s">
        <v>3926</v>
      </c>
      <c r="E87" s="1" t="s">
        <v>3928</v>
      </c>
      <c r="F87" s="2" t="s">
        <v>3321</v>
      </c>
      <c r="G87" s="1" t="s">
        <v>3477</v>
      </c>
      <c r="H87" s="1" t="s">
        <v>3322</v>
      </c>
      <c r="I87" t="str">
        <f t="shared" si="15"/>
        <v>2D</v>
      </c>
      <c r="J87" t="str">
        <f t="shared" si="16"/>
        <v xml:space="preserve">0959 </v>
      </c>
      <c r="K87" t="str">
        <f t="shared" si="17"/>
        <v>0959½</v>
      </c>
      <c r="M87" s="8" t="str">
        <f t="shared" si="14"/>
        <v>DN</v>
      </c>
      <c r="N87" t="s">
        <v>3929</v>
      </c>
      <c r="O87" t="s">
        <v>3930</v>
      </c>
      <c r="P87" t="s">
        <v>3943</v>
      </c>
      <c r="Q87" t="s">
        <v>3944</v>
      </c>
      <c r="R87" t="s">
        <v>3326</v>
      </c>
      <c r="S87" t="s">
        <v>3940</v>
      </c>
      <c r="T87" t="s">
        <v>3941</v>
      </c>
      <c r="U87" t="s">
        <v>3942</v>
      </c>
      <c r="V87" t="s">
        <v>3376</v>
      </c>
      <c r="W87" t="s">
        <v>3933</v>
      </c>
      <c r="X87" t="s">
        <v>3934</v>
      </c>
      <c r="Y87" t="s">
        <v>3935</v>
      </c>
      <c r="Z87" t="s">
        <v>3936</v>
      </c>
      <c r="AA87" t="s">
        <v>3321</v>
      </c>
    </row>
    <row r="88" spans="2:27" ht="15" customHeight="1" x14ac:dyDescent="0.25">
      <c r="B88" s="3" t="s">
        <v>3478</v>
      </c>
      <c r="C88" s="1" t="s">
        <v>3479</v>
      </c>
      <c r="D88" s="2" t="s">
        <v>3324</v>
      </c>
      <c r="E88" s="1" t="s">
        <v>3927</v>
      </c>
      <c r="F88" s="2" t="s">
        <v>3926</v>
      </c>
      <c r="G88" s="1" t="s">
        <v>3480</v>
      </c>
      <c r="H88" s="1" t="s">
        <v>3322</v>
      </c>
      <c r="I88" t="str">
        <f t="shared" si="15"/>
        <v>2B</v>
      </c>
      <c r="J88" t="str">
        <f t="shared" si="16"/>
        <v>1003½</v>
      </c>
      <c r="K88" t="str">
        <f t="shared" si="17"/>
        <v xml:space="preserve">1004 </v>
      </c>
      <c r="M88" s="8" t="str">
        <f t="shared" si="14"/>
        <v>UP</v>
      </c>
      <c r="N88" t="s">
        <v>3946</v>
      </c>
      <c r="O88" t="s">
        <v>3926</v>
      </c>
    </row>
    <row r="89" spans="2:27" ht="15" customHeight="1" x14ac:dyDescent="0.25">
      <c r="B89" s="3" t="s">
        <v>3481</v>
      </c>
      <c r="C89" s="1" t="s">
        <v>1710</v>
      </c>
      <c r="D89" s="2" t="s">
        <v>3926</v>
      </c>
      <c r="E89" s="1" t="s">
        <v>3928</v>
      </c>
      <c r="F89" s="2" t="s">
        <v>3324</v>
      </c>
      <c r="G89" s="1" t="s">
        <v>1713</v>
      </c>
      <c r="H89" s="1" t="s">
        <v>3322</v>
      </c>
      <c r="I89" t="str">
        <f t="shared" si="15"/>
        <v>1B</v>
      </c>
      <c r="J89" t="str">
        <f t="shared" si="16"/>
        <v xml:space="preserve">1008 </v>
      </c>
      <c r="K89" t="str">
        <f t="shared" si="17"/>
        <v>1008½</v>
      </c>
      <c r="M89" s="8" t="str">
        <f t="shared" si="14"/>
        <v>DN</v>
      </c>
      <c r="N89" t="s">
        <v>3929</v>
      </c>
      <c r="O89" t="s">
        <v>3930</v>
      </c>
      <c r="P89" t="s">
        <v>3382</v>
      </c>
      <c r="Q89" t="s">
        <v>3932</v>
      </c>
      <c r="R89" t="s">
        <v>3376</v>
      </c>
      <c r="S89" t="s">
        <v>3933</v>
      </c>
      <c r="T89" t="s">
        <v>3934</v>
      </c>
      <c r="U89" t="s">
        <v>3935</v>
      </c>
      <c r="V89" t="s">
        <v>3936</v>
      </c>
      <c r="W89" t="s">
        <v>3321</v>
      </c>
      <c r="X89" t="s">
        <v>3937</v>
      </c>
      <c r="Y89" t="s">
        <v>3385</v>
      </c>
      <c r="Z89" t="s">
        <v>3324</v>
      </c>
    </row>
    <row r="90" spans="2:27" ht="15" customHeight="1" x14ac:dyDescent="0.25">
      <c r="B90" s="3" t="s">
        <v>3482</v>
      </c>
      <c r="C90" s="1" t="s">
        <v>3483</v>
      </c>
      <c r="D90" s="2" t="s">
        <v>3326</v>
      </c>
      <c r="E90" s="1" t="s">
        <v>3927</v>
      </c>
      <c r="F90" s="2" t="s">
        <v>3926</v>
      </c>
      <c r="G90" s="1" t="s">
        <v>3484</v>
      </c>
      <c r="H90" s="1" t="s">
        <v>3322</v>
      </c>
      <c r="I90" t="str">
        <f t="shared" si="15"/>
        <v>2R</v>
      </c>
      <c r="J90" t="str">
        <f t="shared" si="16"/>
        <v xml:space="preserve">1011 </v>
      </c>
      <c r="K90" t="str">
        <f t="shared" si="17"/>
        <v>1011½</v>
      </c>
      <c r="M90" s="8" t="str">
        <f t="shared" si="14"/>
        <v>UP</v>
      </c>
      <c r="N90" t="s">
        <v>3946</v>
      </c>
      <c r="O90" t="s">
        <v>3926</v>
      </c>
    </row>
    <row r="91" spans="2:27" ht="15" customHeight="1" x14ac:dyDescent="0.25">
      <c r="B91" s="3" t="s">
        <v>3485</v>
      </c>
      <c r="C91" s="1" t="s">
        <v>328</v>
      </c>
      <c r="D91" s="2" t="s">
        <v>3926</v>
      </c>
      <c r="E91" s="1" t="s">
        <v>3928</v>
      </c>
      <c r="F91" s="2" t="s">
        <v>3326</v>
      </c>
      <c r="G91" s="1" t="s">
        <v>3486</v>
      </c>
      <c r="H91" s="1" t="s">
        <v>3322</v>
      </c>
      <c r="I91" t="str">
        <f t="shared" si="15"/>
        <v>2R</v>
      </c>
      <c r="J91" t="str">
        <f t="shared" si="16"/>
        <v xml:space="preserve">1014 </v>
      </c>
      <c r="K91" t="str">
        <f t="shared" si="17"/>
        <v>1014½</v>
      </c>
      <c r="M91" s="8" t="str">
        <f t="shared" si="14"/>
        <v>DN</v>
      </c>
      <c r="N91" t="s">
        <v>3929</v>
      </c>
      <c r="O91" t="s">
        <v>3938</v>
      </c>
      <c r="P91" t="s">
        <v>1033</v>
      </c>
      <c r="Q91" t="s">
        <v>3945</v>
      </c>
      <c r="R91" t="s">
        <v>3326</v>
      </c>
    </row>
    <row r="92" spans="2:27" ht="15" customHeight="1" x14ac:dyDescent="0.25">
      <c r="B92" s="3" t="s">
        <v>3487</v>
      </c>
      <c r="C92" s="1" t="s">
        <v>3488</v>
      </c>
      <c r="D92" s="2" t="s">
        <v>3324</v>
      </c>
      <c r="E92" s="1" t="s">
        <v>3927</v>
      </c>
      <c r="F92" s="2" t="s">
        <v>3926</v>
      </c>
      <c r="G92" s="1" t="s">
        <v>331</v>
      </c>
      <c r="H92" s="1" t="s">
        <v>3322</v>
      </c>
      <c r="I92" t="str">
        <f t="shared" si="15"/>
        <v>1B</v>
      </c>
      <c r="J92" t="str">
        <f t="shared" si="16"/>
        <v>1015½</v>
      </c>
      <c r="K92" t="str">
        <f t="shared" si="17"/>
        <v xml:space="preserve">1016 </v>
      </c>
      <c r="M92" s="8" t="str">
        <f t="shared" si="14"/>
        <v>UP</v>
      </c>
      <c r="N92" t="s">
        <v>3926</v>
      </c>
    </row>
    <row r="93" spans="2:27" ht="15" customHeight="1" x14ac:dyDescent="0.25">
      <c r="B93" s="3" t="s">
        <v>3489</v>
      </c>
      <c r="C93" s="1" t="s">
        <v>336</v>
      </c>
      <c r="D93" s="2" t="s">
        <v>3926</v>
      </c>
      <c r="E93" s="1" t="s">
        <v>3928</v>
      </c>
      <c r="F93" s="2" t="s">
        <v>3324</v>
      </c>
      <c r="G93" s="1" t="s">
        <v>1728</v>
      </c>
      <c r="H93" s="1" t="s">
        <v>3322</v>
      </c>
      <c r="I93" t="str">
        <f t="shared" si="15"/>
        <v>2B</v>
      </c>
      <c r="J93" t="str">
        <f t="shared" si="16"/>
        <v xml:space="preserve">1019 </v>
      </c>
      <c r="K93" t="str">
        <f t="shared" si="17"/>
        <v>1019½</v>
      </c>
      <c r="M93" s="8" t="str">
        <f t="shared" si="14"/>
        <v>DN</v>
      </c>
      <c r="N93" t="s">
        <v>3929</v>
      </c>
      <c r="O93" t="s">
        <v>3930</v>
      </c>
      <c r="P93" t="s">
        <v>3931</v>
      </c>
      <c r="Q93" t="s">
        <v>3382</v>
      </c>
      <c r="R93" t="s">
        <v>3932</v>
      </c>
      <c r="S93" t="s">
        <v>3376</v>
      </c>
      <c r="T93" t="s">
        <v>3933</v>
      </c>
      <c r="U93" t="s">
        <v>3934</v>
      </c>
      <c r="V93" t="s">
        <v>3935</v>
      </c>
      <c r="W93" t="s">
        <v>3936</v>
      </c>
      <c r="X93" t="s">
        <v>3321</v>
      </c>
      <c r="Y93" t="s">
        <v>3937</v>
      </c>
      <c r="Z93" t="s">
        <v>3385</v>
      </c>
      <c r="AA93" t="s">
        <v>3324</v>
      </c>
    </row>
    <row r="94" spans="2:27" ht="15" customHeight="1" x14ac:dyDescent="0.25">
      <c r="B94" s="3" t="s">
        <v>3490</v>
      </c>
      <c r="C94" s="1" t="s">
        <v>3491</v>
      </c>
      <c r="D94" s="2" t="s">
        <v>3321</v>
      </c>
      <c r="E94" s="1" t="s">
        <v>3927</v>
      </c>
      <c r="F94" s="2" t="s">
        <v>3926</v>
      </c>
      <c r="G94" s="1" t="s">
        <v>342</v>
      </c>
      <c r="H94" s="1" t="s">
        <v>3322</v>
      </c>
      <c r="I94" t="str">
        <f t="shared" si="15"/>
        <v>2D</v>
      </c>
      <c r="J94" t="str">
        <f t="shared" si="16"/>
        <v>1025½</v>
      </c>
      <c r="K94" t="str">
        <f t="shared" si="17"/>
        <v xml:space="preserve">1026 </v>
      </c>
      <c r="M94" s="8" t="str">
        <f t="shared" si="14"/>
        <v>UP</v>
      </c>
      <c r="N94" t="s">
        <v>3946</v>
      </c>
      <c r="O94" t="s">
        <v>3926</v>
      </c>
    </row>
    <row r="95" spans="2:27" ht="15" customHeight="1" x14ac:dyDescent="0.25">
      <c r="B95" s="3" t="s">
        <v>3492</v>
      </c>
      <c r="C95" s="1" t="s">
        <v>1744</v>
      </c>
      <c r="D95" s="2" t="s">
        <v>3926</v>
      </c>
      <c r="E95" s="1" t="s">
        <v>3928</v>
      </c>
      <c r="F95" s="2" t="s">
        <v>3321</v>
      </c>
      <c r="G95" s="1" t="s">
        <v>3493</v>
      </c>
      <c r="H95" s="1" t="s">
        <v>3322</v>
      </c>
      <c r="I95" t="str">
        <f t="shared" si="15"/>
        <v>2D</v>
      </c>
      <c r="J95" t="str">
        <f t="shared" si="16"/>
        <v xml:space="preserve">1029 </v>
      </c>
      <c r="K95" t="str">
        <f t="shared" si="17"/>
        <v>1029½</v>
      </c>
      <c r="M95" s="8" t="str">
        <f t="shared" si="14"/>
        <v>DN</v>
      </c>
      <c r="N95" t="s">
        <v>3929</v>
      </c>
      <c r="O95" t="s">
        <v>3930</v>
      </c>
      <c r="P95" t="s">
        <v>3943</v>
      </c>
      <c r="Q95" t="s">
        <v>3944</v>
      </c>
      <c r="R95" t="s">
        <v>3326</v>
      </c>
      <c r="S95" t="s">
        <v>3940</v>
      </c>
      <c r="T95" t="s">
        <v>3941</v>
      </c>
      <c r="U95" t="s">
        <v>3942</v>
      </c>
      <c r="V95" t="s">
        <v>3376</v>
      </c>
      <c r="W95" t="s">
        <v>3933</v>
      </c>
      <c r="X95" t="s">
        <v>3934</v>
      </c>
      <c r="Y95" t="s">
        <v>3935</v>
      </c>
      <c r="Z95" t="s">
        <v>3936</v>
      </c>
      <c r="AA95" t="s">
        <v>3321</v>
      </c>
    </row>
    <row r="96" spans="2:27" ht="15" customHeight="1" x14ac:dyDescent="0.25">
      <c r="B96" s="3" t="s">
        <v>3494</v>
      </c>
      <c r="C96" s="1" t="s">
        <v>3495</v>
      </c>
      <c r="D96" s="2" t="s">
        <v>3324</v>
      </c>
      <c r="E96" s="1" t="s">
        <v>3927</v>
      </c>
      <c r="F96" s="2" t="s">
        <v>3926</v>
      </c>
      <c r="G96" s="1" t="s">
        <v>1753</v>
      </c>
      <c r="H96" s="1" t="s">
        <v>3322</v>
      </c>
      <c r="I96" t="str">
        <f t="shared" ref="I96:I119" si="18">LEFT(B96,2)</f>
        <v>2B</v>
      </c>
      <c r="J96" t="str">
        <f t="shared" ref="J96:J119" si="19">LEFT(C96,5)</f>
        <v>1033½</v>
      </c>
      <c r="K96" t="str">
        <f t="shared" ref="K96:K119" si="20">LEFT(G96,5)</f>
        <v xml:space="preserve">1034 </v>
      </c>
      <c r="M96" s="8" t="str">
        <f t="shared" si="14"/>
        <v>UP</v>
      </c>
      <c r="N96" t="s">
        <v>3946</v>
      </c>
      <c r="O96" t="s">
        <v>3926</v>
      </c>
    </row>
    <row r="97" spans="2:27" ht="15" customHeight="1" x14ac:dyDescent="0.25">
      <c r="B97" s="3" t="s">
        <v>3496</v>
      </c>
      <c r="C97" s="1" t="s">
        <v>351</v>
      </c>
      <c r="D97" s="2" t="s">
        <v>3926</v>
      </c>
      <c r="E97" s="1" t="s">
        <v>3928</v>
      </c>
      <c r="F97" s="2" t="s">
        <v>3324</v>
      </c>
      <c r="G97" s="1" t="s">
        <v>1759</v>
      </c>
      <c r="H97" s="1" t="s">
        <v>3322</v>
      </c>
      <c r="I97" t="str">
        <f t="shared" si="18"/>
        <v>1B</v>
      </c>
      <c r="J97" t="str">
        <f t="shared" si="19"/>
        <v xml:space="preserve">1038 </v>
      </c>
      <c r="K97" t="str">
        <f t="shared" si="20"/>
        <v>1038½</v>
      </c>
      <c r="M97" s="8" t="str">
        <f t="shared" si="14"/>
        <v>DN</v>
      </c>
      <c r="N97" t="s">
        <v>3929</v>
      </c>
      <c r="O97" t="s">
        <v>3930</v>
      </c>
      <c r="P97" t="s">
        <v>3382</v>
      </c>
      <c r="Q97" t="s">
        <v>3932</v>
      </c>
      <c r="R97" t="s">
        <v>3376</v>
      </c>
      <c r="S97" t="s">
        <v>3933</v>
      </c>
      <c r="T97" t="s">
        <v>3934</v>
      </c>
      <c r="U97" t="s">
        <v>3935</v>
      </c>
      <c r="V97" t="s">
        <v>3936</v>
      </c>
      <c r="W97" t="s">
        <v>3321</v>
      </c>
      <c r="X97" t="s">
        <v>3937</v>
      </c>
      <c r="Y97" t="s">
        <v>3385</v>
      </c>
      <c r="Z97" t="s">
        <v>3324</v>
      </c>
    </row>
    <row r="98" spans="2:27" ht="15" customHeight="1" x14ac:dyDescent="0.25">
      <c r="B98" s="3" t="s">
        <v>3497</v>
      </c>
      <c r="C98" s="1" t="s">
        <v>3498</v>
      </c>
      <c r="D98" s="2" t="s">
        <v>3326</v>
      </c>
      <c r="E98" s="1" t="s">
        <v>3927</v>
      </c>
      <c r="F98" s="2" t="s">
        <v>3926</v>
      </c>
      <c r="G98" s="1" t="s">
        <v>3499</v>
      </c>
      <c r="H98" s="1" t="s">
        <v>3322</v>
      </c>
      <c r="I98" t="str">
        <f t="shared" si="18"/>
        <v>2R</v>
      </c>
      <c r="J98" t="str">
        <f t="shared" si="19"/>
        <v xml:space="preserve">1041 </v>
      </c>
      <c r="K98" t="str">
        <f t="shared" si="20"/>
        <v>1041½</v>
      </c>
      <c r="M98" s="8" t="str">
        <f t="shared" si="14"/>
        <v>UP</v>
      </c>
      <c r="N98" t="s">
        <v>3946</v>
      </c>
      <c r="O98" t="s">
        <v>3926</v>
      </c>
    </row>
    <row r="99" spans="2:27" ht="15" customHeight="1" x14ac:dyDescent="0.25">
      <c r="B99" s="3" t="s">
        <v>3500</v>
      </c>
      <c r="C99" s="1" t="s">
        <v>3501</v>
      </c>
      <c r="D99" s="2" t="s">
        <v>3926</v>
      </c>
      <c r="E99" s="1" t="s">
        <v>3928</v>
      </c>
      <c r="F99" s="2" t="s">
        <v>3326</v>
      </c>
      <c r="G99" s="1" t="s">
        <v>3502</v>
      </c>
      <c r="H99" s="1" t="s">
        <v>3322</v>
      </c>
      <c r="I99" t="str">
        <f t="shared" si="18"/>
        <v>2R</v>
      </c>
      <c r="J99" t="str">
        <f t="shared" si="19"/>
        <v xml:space="preserve">1044 </v>
      </c>
      <c r="K99" t="str">
        <f t="shared" si="20"/>
        <v>1044½</v>
      </c>
      <c r="M99" s="8" t="str">
        <f t="shared" si="14"/>
        <v>DN</v>
      </c>
      <c r="N99" t="s">
        <v>3929</v>
      </c>
      <c r="O99" t="s">
        <v>3938</v>
      </c>
      <c r="P99" t="s">
        <v>1033</v>
      </c>
      <c r="Q99" t="s">
        <v>3945</v>
      </c>
      <c r="R99" t="s">
        <v>3326</v>
      </c>
    </row>
    <row r="100" spans="2:27" ht="15" customHeight="1" x14ac:dyDescent="0.25">
      <c r="B100" s="3" t="s">
        <v>3503</v>
      </c>
      <c r="C100" s="1" t="s">
        <v>3504</v>
      </c>
      <c r="D100" s="2" t="s">
        <v>3324</v>
      </c>
      <c r="E100" s="1" t="s">
        <v>3927</v>
      </c>
      <c r="F100" s="2" t="s">
        <v>3926</v>
      </c>
      <c r="G100" s="1" t="s">
        <v>1772</v>
      </c>
      <c r="H100" s="1" t="s">
        <v>3322</v>
      </c>
      <c r="I100" t="str">
        <f t="shared" si="18"/>
        <v>1B</v>
      </c>
      <c r="J100" t="str">
        <f t="shared" si="19"/>
        <v>1045½</v>
      </c>
      <c r="K100" t="str">
        <f t="shared" si="20"/>
        <v xml:space="preserve">1046 </v>
      </c>
      <c r="M100" s="8" t="str">
        <f t="shared" si="14"/>
        <v>UP</v>
      </c>
      <c r="N100" t="s">
        <v>3926</v>
      </c>
    </row>
    <row r="101" spans="2:27" ht="15" customHeight="1" x14ac:dyDescent="0.25">
      <c r="B101" s="3" t="s">
        <v>3505</v>
      </c>
      <c r="C101" s="1" t="s">
        <v>358</v>
      </c>
      <c r="D101" s="2" t="s">
        <v>3926</v>
      </c>
      <c r="E101" s="1" t="s">
        <v>3928</v>
      </c>
      <c r="F101" s="2" t="s">
        <v>3324</v>
      </c>
      <c r="G101" s="1" t="s">
        <v>3506</v>
      </c>
      <c r="H101" s="1" t="s">
        <v>3322</v>
      </c>
      <c r="I101" t="str">
        <f t="shared" si="18"/>
        <v>2B</v>
      </c>
      <c r="J101" t="str">
        <f t="shared" si="19"/>
        <v xml:space="preserve">1049 </v>
      </c>
      <c r="K101" t="str">
        <f t="shared" si="20"/>
        <v>1049½</v>
      </c>
      <c r="M101" s="8" t="str">
        <f t="shared" si="14"/>
        <v>DN</v>
      </c>
      <c r="N101" t="s">
        <v>3929</v>
      </c>
      <c r="O101" t="s">
        <v>3930</v>
      </c>
      <c r="P101" t="s">
        <v>3931</v>
      </c>
      <c r="Q101" t="s">
        <v>3382</v>
      </c>
      <c r="R101" t="s">
        <v>3932</v>
      </c>
      <c r="S101" t="s">
        <v>3376</v>
      </c>
      <c r="T101" t="s">
        <v>3933</v>
      </c>
      <c r="U101" t="s">
        <v>3934</v>
      </c>
      <c r="V101" t="s">
        <v>3935</v>
      </c>
      <c r="W101" t="s">
        <v>3936</v>
      </c>
      <c r="X101" t="s">
        <v>3321</v>
      </c>
      <c r="Y101" t="s">
        <v>3937</v>
      </c>
      <c r="Z101" t="s">
        <v>3385</v>
      </c>
      <c r="AA101" t="s">
        <v>3324</v>
      </c>
    </row>
    <row r="102" spans="2:27" ht="15" customHeight="1" x14ac:dyDescent="0.25">
      <c r="B102" s="3" t="s">
        <v>3507</v>
      </c>
      <c r="C102" s="1" t="s">
        <v>3508</v>
      </c>
      <c r="D102" s="2" t="s">
        <v>3321</v>
      </c>
      <c r="E102" s="1" t="s">
        <v>3927</v>
      </c>
      <c r="F102" s="2" t="s">
        <v>3926</v>
      </c>
      <c r="G102" s="1" t="s">
        <v>364</v>
      </c>
      <c r="H102" s="1" t="s">
        <v>3322</v>
      </c>
      <c r="I102" t="str">
        <f t="shared" si="18"/>
        <v>2D</v>
      </c>
      <c r="J102" t="str">
        <f t="shared" si="19"/>
        <v>1055½</v>
      </c>
      <c r="K102" t="str">
        <f t="shared" si="20"/>
        <v xml:space="preserve">1056 </v>
      </c>
      <c r="M102" s="8" t="str">
        <f t="shared" si="14"/>
        <v>UP</v>
      </c>
      <c r="N102" t="s">
        <v>3946</v>
      </c>
      <c r="O102" t="s">
        <v>3926</v>
      </c>
    </row>
    <row r="103" spans="2:27" ht="15" customHeight="1" x14ac:dyDescent="0.25">
      <c r="B103" s="3" t="s">
        <v>3509</v>
      </c>
      <c r="C103" s="1" t="s">
        <v>369</v>
      </c>
      <c r="D103" s="2" t="s">
        <v>3926</v>
      </c>
      <c r="E103" s="1" t="s">
        <v>3928</v>
      </c>
      <c r="F103" s="2" t="s">
        <v>3321</v>
      </c>
      <c r="G103" s="1" t="s">
        <v>3510</v>
      </c>
      <c r="H103" s="1" t="s">
        <v>3322</v>
      </c>
      <c r="I103" t="str">
        <f t="shared" si="18"/>
        <v>2D</v>
      </c>
      <c r="J103" t="str">
        <f t="shared" si="19"/>
        <v xml:space="preserve">1059 </v>
      </c>
      <c r="K103" t="str">
        <f t="shared" si="20"/>
        <v>1059½</v>
      </c>
      <c r="M103" s="8" t="str">
        <f t="shared" si="14"/>
        <v>DN</v>
      </c>
      <c r="N103" t="s">
        <v>3929</v>
      </c>
      <c r="O103" t="s">
        <v>3930</v>
      </c>
      <c r="P103" t="s">
        <v>3943</v>
      </c>
      <c r="Q103" t="s">
        <v>3944</v>
      </c>
      <c r="R103" t="s">
        <v>3326</v>
      </c>
      <c r="S103" t="s">
        <v>3940</v>
      </c>
      <c r="T103" t="s">
        <v>3941</v>
      </c>
      <c r="U103" t="s">
        <v>3942</v>
      </c>
      <c r="V103" t="s">
        <v>3376</v>
      </c>
      <c r="W103" t="s">
        <v>3933</v>
      </c>
      <c r="X103" t="s">
        <v>3934</v>
      </c>
      <c r="Y103" t="s">
        <v>3935</v>
      </c>
      <c r="Z103" t="s">
        <v>3936</v>
      </c>
      <c r="AA103" t="s">
        <v>3321</v>
      </c>
    </row>
    <row r="104" spans="2:27" ht="15" customHeight="1" x14ac:dyDescent="0.25">
      <c r="B104" s="3" t="s">
        <v>3511</v>
      </c>
      <c r="C104" s="1" t="s">
        <v>3512</v>
      </c>
      <c r="D104" s="2" t="s">
        <v>3324</v>
      </c>
      <c r="E104" s="1" t="s">
        <v>3927</v>
      </c>
      <c r="F104" s="2" t="s">
        <v>3926</v>
      </c>
      <c r="G104" s="1" t="s">
        <v>3513</v>
      </c>
      <c r="H104" s="1" t="s">
        <v>3322</v>
      </c>
      <c r="I104" t="str">
        <f t="shared" si="18"/>
        <v>2B</v>
      </c>
      <c r="J104" t="str">
        <f t="shared" si="19"/>
        <v>1103½</v>
      </c>
      <c r="K104" t="str">
        <f t="shared" si="20"/>
        <v xml:space="preserve">1104 </v>
      </c>
      <c r="M104" s="8" t="str">
        <f t="shared" si="14"/>
        <v>UP</v>
      </c>
      <c r="N104" t="s">
        <v>3946</v>
      </c>
      <c r="O104" t="s">
        <v>3926</v>
      </c>
    </row>
    <row r="105" spans="2:27" ht="15" customHeight="1" x14ac:dyDescent="0.25">
      <c r="B105" s="3" t="s">
        <v>3514</v>
      </c>
      <c r="C105" s="1" t="s">
        <v>3515</v>
      </c>
      <c r="D105" s="2" t="s">
        <v>3926</v>
      </c>
      <c r="E105" s="1" t="s">
        <v>3928</v>
      </c>
      <c r="F105" s="2" t="s">
        <v>3324</v>
      </c>
      <c r="G105" s="1" t="s">
        <v>1805</v>
      </c>
      <c r="H105" s="1" t="s">
        <v>3322</v>
      </c>
      <c r="I105" t="str">
        <f t="shared" si="18"/>
        <v>1B</v>
      </c>
      <c r="J105" t="str">
        <f t="shared" si="19"/>
        <v xml:space="preserve">1108 </v>
      </c>
      <c r="K105" t="str">
        <f t="shared" si="20"/>
        <v>1108½</v>
      </c>
      <c r="M105" s="8" t="str">
        <f t="shared" si="14"/>
        <v>DN</v>
      </c>
      <c r="N105" t="s">
        <v>3929</v>
      </c>
      <c r="O105" t="s">
        <v>3930</v>
      </c>
      <c r="P105" t="s">
        <v>3382</v>
      </c>
      <c r="Q105" t="s">
        <v>3932</v>
      </c>
      <c r="R105" t="s">
        <v>3376</v>
      </c>
      <c r="S105" t="s">
        <v>3933</v>
      </c>
      <c r="T105" t="s">
        <v>3934</v>
      </c>
      <c r="U105" t="s">
        <v>3935</v>
      </c>
      <c r="V105" t="s">
        <v>3936</v>
      </c>
      <c r="W105" t="s">
        <v>3321</v>
      </c>
      <c r="X105" t="s">
        <v>3937</v>
      </c>
      <c r="Y105" t="s">
        <v>3385</v>
      </c>
      <c r="Z105" t="s">
        <v>3324</v>
      </c>
    </row>
    <row r="106" spans="2:27" ht="15" customHeight="1" x14ac:dyDescent="0.25">
      <c r="B106" s="3" t="s">
        <v>3516</v>
      </c>
      <c r="C106" s="1" t="s">
        <v>3517</v>
      </c>
      <c r="D106" s="2" t="s">
        <v>3326</v>
      </c>
      <c r="E106" s="1" t="s">
        <v>3927</v>
      </c>
      <c r="F106" s="2" t="s">
        <v>3926</v>
      </c>
      <c r="G106" s="1" t="s">
        <v>3518</v>
      </c>
      <c r="H106" s="1" t="s">
        <v>3322</v>
      </c>
      <c r="I106" t="str">
        <f t="shared" si="18"/>
        <v>2R</v>
      </c>
      <c r="J106" t="str">
        <f t="shared" si="19"/>
        <v xml:space="preserve">1111 </v>
      </c>
      <c r="K106" t="str">
        <f t="shared" si="20"/>
        <v>1111½</v>
      </c>
      <c r="M106" s="8" t="str">
        <f t="shared" si="14"/>
        <v>UP</v>
      </c>
      <c r="N106" t="s">
        <v>3946</v>
      </c>
      <c r="O106" t="s">
        <v>3926</v>
      </c>
    </row>
    <row r="107" spans="2:27" ht="15" customHeight="1" x14ac:dyDescent="0.25">
      <c r="B107" s="3" t="s">
        <v>3519</v>
      </c>
      <c r="C107" s="1" t="s">
        <v>376</v>
      </c>
      <c r="D107" s="2" t="s">
        <v>3926</v>
      </c>
      <c r="E107" s="1" t="s">
        <v>3928</v>
      </c>
      <c r="F107" s="2" t="s">
        <v>3326</v>
      </c>
      <c r="G107" s="1" t="s">
        <v>3520</v>
      </c>
      <c r="H107" s="1" t="s">
        <v>3322</v>
      </c>
      <c r="I107" t="str">
        <f t="shared" si="18"/>
        <v>2R</v>
      </c>
      <c r="J107" t="str">
        <f t="shared" si="19"/>
        <v xml:space="preserve">1114 </v>
      </c>
      <c r="K107" t="str">
        <f t="shared" si="20"/>
        <v>1114½</v>
      </c>
      <c r="M107" s="8" t="str">
        <f t="shared" si="14"/>
        <v>DN</v>
      </c>
      <c r="N107" t="s">
        <v>3929</v>
      </c>
      <c r="O107" t="s">
        <v>3938</v>
      </c>
      <c r="P107" t="s">
        <v>1033</v>
      </c>
      <c r="Q107" t="s">
        <v>3945</v>
      </c>
      <c r="R107" t="s">
        <v>3326</v>
      </c>
    </row>
    <row r="108" spans="2:27" ht="15" customHeight="1" x14ac:dyDescent="0.25">
      <c r="B108" s="3" t="s">
        <v>3521</v>
      </c>
      <c r="C108" s="1" t="s">
        <v>3522</v>
      </c>
      <c r="D108" s="2" t="s">
        <v>3324</v>
      </c>
      <c r="E108" s="1" t="s">
        <v>3927</v>
      </c>
      <c r="F108" s="2" t="s">
        <v>3926</v>
      </c>
      <c r="G108" s="1" t="s">
        <v>379</v>
      </c>
      <c r="H108" s="1" t="s">
        <v>3322</v>
      </c>
      <c r="I108" t="str">
        <f t="shared" si="18"/>
        <v>1B</v>
      </c>
      <c r="J108" t="str">
        <f t="shared" si="19"/>
        <v>1115½</v>
      </c>
      <c r="K108" t="str">
        <f t="shared" si="20"/>
        <v xml:space="preserve">1116 </v>
      </c>
      <c r="M108" s="8" t="str">
        <f t="shared" si="14"/>
        <v>UP</v>
      </c>
      <c r="N108" t="s">
        <v>3926</v>
      </c>
    </row>
    <row r="109" spans="2:27" ht="15" customHeight="1" x14ac:dyDescent="0.25">
      <c r="B109" s="3" t="s">
        <v>3523</v>
      </c>
      <c r="C109" s="1" t="s">
        <v>384</v>
      </c>
      <c r="D109" s="2" t="s">
        <v>3926</v>
      </c>
      <c r="E109" s="1" t="s">
        <v>3928</v>
      </c>
      <c r="F109" s="2" t="s">
        <v>3324</v>
      </c>
      <c r="G109" s="1" t="s">
        <v>1819</v>
      </c>
      <c r="H109" s="1" t="s">
        <v>3322</v>
      </c>
      <c r="I109" t="str">
        <f t="shared" si="18"/>
        <v>2B</v>
      </c>
      <c r="J109" t="str">
        <f t="shared" si="19"/>
        <v xml:space="preserve">1119 </v>
      </c>
      <c r="K109" t="str">
        <f t="shared" si="20"/>
        <v>1119½</v>
      </c>
      <c r="M109" s="8" t="str">
        <f t="shared" si="14"/>
        <v>DN</v>
      </c>
      <c r="N109" t="s">
        <v>3929</v>
      </c>
      <c r="O109" t="s">
        <v>3930</v>
      </c>
      <c r="P109" t="s">
        <v>3931</v>
      </c>
      <c r="Q109" t="s">
        <v>3382</v>
      </c>
      <c r="R109" t="s">
        <v>3932</v>
      </c>
      <c r="S109" t="s">
        <v>3376</v>
      </c>
      <c r="T109" t="s">
        <v>3933</v>
      </c>
      <c r="U109" t="s">
        <v>3934</v>
      </c>
      <c r="V109" t="s">
        <v>3935</v>
      </c>
      <c r="W109" t="s">
        <v>3936</v>
      </c>
      <c r="X109" t="s">
        <v>3321</v>
      </c>
      <c r="Y109" t="s">
        <v>3937</v>
      </c>
      <c r="Z109" t="s">
        <v>3385</v>
      </c>
      <c r="AA109" t="s">
        <v>3324</v>
      </c>
    </row>
    <row r="110" spans="2:27" ht="15" customHeight="1" x14ac:dyDescent="0.25">
      <c r="B110" s="3" t="s">
        <v>3524</v>
      </c>
      <c r="C110" s="1" t="s">
        <v>3525</v>
      </c>
      <c r="D110" s="2" t="s">
        <v>3321</v>
      </c>
      <c r="E110" s="1" t="s">
        <v>3927</v>
      </c>
      <c r="F110" s="2" t="s">
        <v>3926</v>
      </c>
      <c r="G110" s="1" t="s">
        <v>390</v>
      </c>
      <c r="H110" s="1" t="s">
        <v>3322</v>
      </c>
      <c r="I110" t="str">
        <f t="shared" si="18"/>
        <v>2D</v>
      </c>
      <c r="J110" t="str">
        <f t="shared" si="19"/>
        <v>1125½</v>
      </c>
      <c r="K110" t="str">
        <f t="shared" si="20"/>
        <v xml:space="preserve">1126 </v>
      </c>
      <c r="M110" s="8" t="str">
        <f t="shared" si="14"/>
        <v>UP</v>
      </c>
      <c r="N110" t="s">
        <v>3946</v>
      </c>
      <c r="O110" t="s">
        <v>3926</v>
      </c>
    </row>
    <row r="111" spans="2:27" ht="15" customHeight="1" x14ac:dyDescent="0.25">
      <c r="B111" s="3" t="s">
        <v>3526</v>
      </c>
      <c r="C111" s="1" t="s">
        <v>1837</v>
      </c>
      <c r="D111" s="2" t="s">
        <v>3926</v>
      </c>
      <c r="E111" s="1" t="s">
        <v>3928</v>
      </c>
      <c r="F111" s="2" t="s">
        <v>3321</v>
      </c>
      <c r="G111" s="1" t="s">
        <v>3527</v>
      </c>
      <c r="H111" s="1" t="s">
        <v>3322</v>
      </c>
      <c r="I111" t="str">
        <f t="shared" si="18"/>
        <v>2D</v>
      </c>
      <c r="J111" t="str">
        <f t="shared" si="19"/>
        <v xml:space="preserve">1129 </v>
      </c>
      <c r="K111" t="str">
        <f t="shared" si="20"/>
        <v>1129½</v>
      </c>
      <c r="M111" s="8" t="str">
        <f t="shared" si="14"/>
        <v>DN</v>
      </c>
      <c r="N111" t="s">
        <v>3929</v>
      </c>
      <c r="O111" t="s">
        <v>3930</v>
      </c>
      <c r="P111" t="s">
        <v>3943</v>
      </c>
      <c r="Q111" t="s">
        <v>3944</v>
      </c>
      <c r="R111" t="s">
        <v>3326</v>
      </c>
      <c r="S111" t="s">
        <v>3940</v>
      </c>
      <c r="T111" t="s">
        <v>3941</v>
      </c>
      <c r="U111" t="s">
        <v>3942</v>
      </c>
      <c r="V111" t="s">
        <v>3376</v>
      </c>
      <c r="W111" t="s">
        <v>3933</v>
      </c>
      <c r="X111" t="s">
        <v>3934</v>
      </c>
      <c r="Y111" t="s">
        <v>3935</v>
      </c>
      <c r="Z111" t="s">
        <v>3936</v>
      </c>
      <c r="AA111" t="s">
        <v>3321</v>
      </c>
    </row>
    <row r="112" spans="2:27" ht="15" customHeight="1" x14ac:dyDescent="0.25">
      <c r="B112" s="3" t="s">
        <v>3528</v>
      </c>
      <c r="C112" s="1" t="s">
        <v>3529</v>
      </c>
      <c r="D112" s="2" t="s">
        <v>3324</v>
      </c>
      <c r="E112" s="1" t="s">
        <v>3927</v>
      </c>
      <c r="F112" s="2" t="s">
        <v>3926</v>
      </c>
      <c r="G112" s="1" t="s">
        <v>3530</v>
      </c>
      <c r="H112" s="1" t="s">
        <v>3322</v>
      </c>
      <c r="I112" t="str">
        <f t="shared" si="18"/>
        <v>2B</v>
      </c>
      <c r="J112" t="str">
        <f t="shared" si="19"/>
        <v>1133½</v>
      </c>
      <c r="K112" t="str">
        <f t="shared" si="20"/>
        <v xml:space="preserve">1134 </v>
      </c>
      <c r="M112" s="8" t="str">
        <f t="shared" si="14"/>
        <v>UP</v>
      </c>
      <c r="N112" t="s">
        <v>3946</v>
      </c>
      <c r="O112" t="s">
        <v>3926</v>
      </c>
    </row>
    <row r="113" spans="2:27" ht="15" customHeight="1" x14ac:dyDescent="0.25">
      <c r="B113" s="3" t="s">
        <v>3531</v>
      </c>
      <c r="C113" s="1" t="s">
        <v>399</v>
      </c>
      <c r="D113" s="2" t="s">
        <v>3926</v>
      </c>
      <c r="E113" s="1" t="s">
        <v>3928</v>
      </c>
      <c r="F113" s="2" t="s">
        <v>3324</v>
      </c>
      <c r="G113" s="1" t="s">
        <v>1848</v>
      </c>
      <c r="H113" s="1" t="s">
        <v>3322</v>
      </c>
      <c r="I113" t="str">
        <f t="shared" si="18"/>
        <v>1B</v>
      </c>
      <c r="J113" t="str">
        <f t="shared" si="19"/>
        <v xml:space="preserve">1138 </v>
      </c>
      <c r="K113" t="str">
        <f t="shared" si="20"/>
        <v>1138½</v>
      </c>
      <c r="M113" s="8" t="str">
        <f t="shared" si="14"/>
        <v>DN</v>
      </c>
      <c r="N113" t="s">
        <v>3929</v>
      </c>
      <c r="O113" t="s">
        <v>3930</v>
      </c>
      <c r="P113" t="s">
        <v>3382</v>
      </c>
      <c r="Q113" t="s">
        <v>3932</v>
      </c>
      <c r="R113" t="s">
        <v>3376</v>
      </c>
      <c r="S113" t="s">
        <v>3933</v>
      </c>
      <c r="T113" t="s">
        <v>3934</v>
      </c>
      <c r="U113" t="s">
        <v>3935</v>
      </c>
      <c r="V113" t="s">
        <v>3936</v>
      </c>
      <c r="W113" t="s">
        <v>3321</v>
      </c>
      <c r="X113" t="s">
        <v>3937</v>
      </c>
      <c r="Y113" t="s">
        <v>3385</v>
      </c>
      <c r="Z113" t="s">
        <v>3324</v>
      </c>
    </row>
    <row r="114" spans="2:27" ht="15" customHeight="1" x14ac:dyDescent="0.25">
      <c r="B114" s="3" t="s">
        <v>3532</v>
      </c>
      <c r="C114" s="1" t="s">
        <v>3533</v>
      </c>
      <c r="D114" s="2" t="s">
        <v>3326</v>
      </c>
      <c r="E114" s="1" t="s">
        <v>3927</v>
      </c>
      <c r="F114" s="2" t="s">
        <v>3926</v>
      </c>
      <c r="G114" s="1" t="s">
        <v>3534</v>
      </c>
      <c r="H114" s="1" t="s">
        <v>3322</v>
      </c>
      <c r="I114" t="str">
        <f t="shared" si="18"/>
        <v>2R</v>
      </c>
      <c r="J114" t="str">
        <f t="shared" si="19"/>
        <v xml:space="preserve">1141 </v>
      </c>
      <c r="K114" t="str">
        <f t="shared" si="20"/>
        <v>1141½</v>
      </c>
      <c r="M114" s="8" t="str">
        <f t="shared" si="14"/>
        <v>UP</v>
      </c>
      <c r="N114" t="s">
        <v>3946</v>
      </c>
      <c r="O114" t="s">
        <v>3926</v>
      </c>
    </row>
    <row r="115" spans="2:27" ht="15" customHeight="1" x14ac:dyDescent="0.25">
      <c r="B115" s="3" t="s">
        <v>3535</v>
      </c>
      <c r="C115" s="1" t="s">
        <v>3536</v>
      </c>
      <c r="D115" s="2" t="s">
        <v>3926</v>
      </c>
      <c r="E115" s="1" t="s">
        <v>3928</v>
      </c>
      <c r="F115" s="2" t="s">
        <v>3326</v>
      </c>
      <c r="G115" s="1" t="s">
        <v>3537</v>
      </c>
      <c r="H115" s="1" t="s">
        <v>3322</v>
      </c>
      <c r="I115" t="str">
        <f t="shared" si="18"/>
        <v>2R</v>
      </c>
      <c r="J115" t="str">
        <f t="shared" si="19"/>
        <v xml:space="preserve">1144 </v>
      </c>
      <c r="K115" t="str">
        <f t="shared" si="20"/>
        <v>1144½</v>
      </c>
      <c r="M115" s="8" t="str">
        <f t="shared" si="14"/>
        <v>DN</v>
      </c>
      <c r="N115" t="s">
        <v>3929</v>
      </c>
      <c r="O115" t="s">
        <v>3938</v>
      </c>
      <c r="P115" t="s">
        <v>1033</v>
      </c>
      <c r="Q115" t="s">
        <v>3945</v>
      </c>
      <c r="R115" t="s">
        <v>3326</v>
      </c>
    </row>
    <row r="116" spans="2:27" ht="15" customHeight="1" x14ac:dyDescent="0.25">
      <c r="B116" s="3" t="s">
        <v>3538</v>
      </c>
      <c r="C116" s="1" t="s">
        <v>3539</v>
      </c>
      <c r="D116" s="2" t="s">
        <v>3324</v>
      </c>
      <c r="E116" s="1" t="s">
        <v>3927</v>
      </c>
      <c r="F116" s="2" t="s">
        <v>3926</v>
      </c>
      <c r="G116" s="1" t="s">
        <v>1878</v>
      </c>
      <c r="H116" s="1" t="s">
        <v>3322</v>
      </c>
      <c r="I116" t="str">
        <f t="shared" si="18"/>
        <v>1B</v>
      </c>
      <c r="J116" t="str">
        <f t="shared" si="19"/>
        <v>1145½</v>
      </c>
      <c r="K116" t="str">
        <f t="shared" si="20"/>
        <v xml:space="preserve">1146 </v>
      </c>
      <c r="M116" s="8" t="str">
        <f t="shared" si="14"/>
        <v>UP</v>
      </c>
      <c r="N116" t="s">
        <v>3926</v>
      </c>
    </row>
    <row r="117" spans="2:27" ht="15" customHeight="1" x14ac:dyDescent="0.25">
      <c r="B117" s="3" t="s">
        <v>3540</v>
      </c>
      <c r="C117" s="1" t="s">
        <v>406</v>
      </c>
      <c r="D117" s="2" t="s">
        <v>3926</v>
      </c>
      <c r="E117" s="1" t="s">
        <v>3928</v>
      </c>
      <c r="F117" s="2" t="s">
        <v>3324</v>
      </c>
      <c r="G117" s="1" t="s">
        <v>3541</v>
      </c>
      <c r="H117" s="1" t="s">
        <v>3322</v>
      </c>
      <c r="I117" t="str">
        <f t="shared" si="18"/>
        <v>2B</v>
      </c>
      <c r="J117" t="str">
        <f t="shared" si="19"/>
        <v xml:space="preserve">1149 </v>
      </c>
      <c r="K117" t="str">
        <f t="shared" si="20"/>
        <v>1149½</v>
      </c>
      <c r="M117" s="8" t="str">
        <f t="shared" si="14"/>
        <v>DN</v>
      </c>
      <c r="N117" t="s">
        <v>3929</v>
      </c>
      <c r="O117" t="s">
        <v>3930</v>
      </c>
      <c r="P117" t="s">
        <v>3931</v>
      </c>
      <c r="Q117" t="s">
        <v>3382</v>
      </c>
      <c r="R117" t="s">
        <v>3932</v>
      </c>
      <c r="S117" t="s">
        <v>3376</v>
      </c>
      <c r="T117" t="s">
        <v>3933</v>
      </c>
      <c r="U117" t="s">
        <v>3934</v>
      </c>
      <c r="V117" t="s">
        <v>3935</v>
      </c>
      <c r="W117" t="s">
        <v>3936</v>
      </c>
      <c r="X117" t="s">
        <v>3321</v>
      </c>
      <c r="Y117" t="s">
        <v>3937</v>
      </c>
      <c r="Z117" t="s">
        <v>3385</v>
      </c>
      <c r="AA117" t="s">
        <v>3324</v>
      </c>
    </row>
    <row r="118" spans="2:27" ht="15" customHeight="1" x14ac:dyDescent="0.25">
      <c r="B118" s="3" t="s">
        <v>3542</v>
      </c>
      <c r="C118" s="1" t="s">
        <v>3543</v>
      </c>
      <c r="D118" s="2" t="s">
        <v>3321</v>
      </c>
      <c r="E118" s="1" t="s">
        <v>3927</v>
      </c>
      <c r="F118" s="2" t="s">
        <v>3926</v>
      </c>
      <c r="G118" s="1" t="s">
        <v>412</v>
      </c>
      <c r="H118" s="1" t="s">
        <v>3322</v>
      </c>
      <c r="I118" t="str">
        <f t="shared" si="18"/>
        <v>2D</v>
      </c>
      <c r="J118" t="str">
        <f t="shared" si="19"/>
        <v>1155½</v>
      </c>
      <c r="K118" t="str">
        <f t="shared" si="20"/>
        <v xml:space="preserve">1156 </v>
      </c>
      <c r="M118" s="8" t="str">
        <f t="shared" si="14"/>
        <v>UP</v>
      </c>
      <c r="N118" t="s">
        <v>3946</v>
      </c>
      <c r="O118" t="s">
        <v>3926</v>
      </c>
    </row>
    <row r="119" spans="2:27" ht="15" customHeight="1" x14ac:dyDescent="0.25">
      <c r="B119" s="3" t="s">
        <v>3544</v>
      </c>
      <c r="C119" s="1" t="s">
        <v>417</v>
      </c>
      <c r="D119" s="2" t="s">
        <v>3926</v>
      </c>
      <c r="E119" s="1" t="s">
        <v>3928</v>
      </c>
      <c r="F119" s="2" t="s">
        <v>3321</v>
      </c>
      <c r="G119" s="1" t="s">
        <v>3545</v>
      </c>
      <c r="H119" s="1" t="s">
        <v>3322</v>
      </c>
      <c r="I119" t="str">
        <f t="shared" si="18"/>
        <v>2D</v>
      </c>
      <c r="J119" t="str">
        <f t="shared" si="19"/>
        <v xml:space="preserve">1159 </v>
      </c>
      <c r="K119" t="str">
        <f t="shared" si="20"/>
        <v>1159½</v>
      </c>
      <c r="M119" s="8" t="str">
        <f t="shared" si="14"/>
        <v>DN</v>
      </c>
      <c r="N119" t="s">
        <v>3929</v>
      </c>
      <c r="O119" t="s">
        <v>3930</v>
      </c>
      <c r="P119" t="s">
        <v>3943</v>
      </c>
      <c r="Q119" t="s">
        <v>3944</v>
      </c>
      <c r="R119" t="s">
        <v>3326</v>
      </c>
      <c r="S119" t="s">
        <v>3940</v>
      </c>
      <c r="T119" t="s">
        <v>3941</v>
      </c>
      <c r="U119" t="s">
        <v>3942</v>
      </c>
      <c r="V119" t="s">
        <v>3376</v>
      </c>
      <c r="W119" t="s">
        <v>3933</v>
      </c>
      <c r="X119" t="s">
        <v>3934</v>
      </c>
      <c r="Y119" t="s">
        <v>3935</v>
      </c>
      <c r="Z119" t="s">
        <v>3936</v>
      </c>
      <c r="AA119" t="s">
        <v>3321</v>
      </c>
    </row>
    <row r="120" spans="2:27" ht="15" customHeight="1" x14ac:dyDescent="0.25">
      <c r="B120" s="3" t="s">
        <v>3546</v>
      </c>
      <c r="C120" s="1" t="s">
        <v>3547</v>
      </c>
      <c r="D120" s="2" t="s">
        <v>3324</v>
      </c>
      <c r="E120" s="1" t="s">
        <v>3927</v>
      </c>
      <c r="F120" s="2" t="s">
        <v>3926</v>
      </c>
      <c r="G120" s="1" t="s">
        <v>3548</v>
      </c>
      <c r="H120" s="1" t="s">
        <v>3322</v>
      </c>
      <c r="I120" t="str">
        <f t="shared" ref="I120:I143" si="21">LEFT(B120,2)</f>
        <v>2B</v>
      </c>
      <c r="J120" t="str">
        <f t="shared" ref="J120:J143" si="22">LEFT(C120,5)</f>
        <v>1203½</v>
      </c>
      <c r="K120" t="str">
        <f t="shared" ref="K120:K143" si="23">LEFT(G120,5)</f>
        <v xml:space="preserve">1204 </v>
      </c>
      <c r="M120" s="8" t="str">
        <f t="shared" si="14"/>
        <v>UP</v>
      </c>
      <c r="N120" t="s">
        <v>3946</v>
      </c>
      <c r="O120" t="s">
        <v>3926</v>
      </c>
    </row>
    <row r="121" spans="2:27" ht="15" customHeight="1" x14ac:dyDescent="0.25">
      <c r="B121" s="3" t="s">
        <v>3549</v>
      </c>
      <c r="C121" s="1" t="s">
        <v>3550</v>
      </c>
      <c r="D121" s="2" t="s">
        <v>3926</v>
      </c>
      <c r="E121" s="1" t="s">
        <v>3928</v>
      </c>
      <c r="F121" s="2" t="s">
        <v>3324</v>
      </c>
      <c r="G121" s="1" t="s">
        <v>1894</v>
      </c>
      <c r="H121" s="1" t="s">
        <v>3322</v>
      </c>
      <c r="I121" t="str">
        <f t="shared" si="21"/>
        <v>1B</v>
      </c>
      <c r="J121" t="str">
        <f t="shared" si="22"/>
        <v xml:space="preserve">1208 </v>
      </c>
      <c r="K121" t="str">
        <f t="shared" si="23"/>
        <v>1208½</v>
      </c>
      <c r="M121" s="8" t="str">
        <f t="shared" si="14"/>
        <v>DN</v>
      </c>
      <c r="N121" t="s">
        <v>3929</v>
      </c>
      <c r="O121" t="s">
        <v>3930</v>
      </c>
      <c r="P121" t="s">
        <v>3382</v>
      </c>
      <c r="Q121" t="s">
        <v>3932</v>
      </c>
      <c r="R121" t="s">
        <v>3376</v>
      </c>
      <c r="S121" t="s">
        <v>3933</v>
      </c>
      <c r="T121" t="s">
        <v>3934</v>
      </c>
      <c r="U121" t="s">
        <v>3935</v>
      </c>
      <c r="V121" t="s">
        <v>3936</v>
      </c>
      <c r="W121" t="s">
        <v>3321</v>
      </c>
      <c r="X121" t="s">
        <v>3937</v>
      </c>
      <c r="Y121" t="s">
        <v>3385</v>
      </c>
      <c r="Z121" t="s">
        <v>3324</v>
      </c>
    </row>
    <row r="122" spans="2:27" ht="15" customHeight="1" x14ac:dyDescent="0.25">
      <c r="B122" s="3" t="s">
        <v>3551</v>
      </c>
      <c r="C122" s="1" t="s">
        <v>3552</v>
      </c>
      <c r="D122" s="2" t="s">
        <v>3326</v>
      </c>
      <c r="E122" s="1" t="s">
        <v>3927</v>
      </c>
      <c r="F122" s="2" t="s">
        <v>3926</v>
      </c>
      <c r="G122" s="1" t="s">
        <v>3553</v>
      </c>
      <c r="H122" s="1" t="s">
        <v>3322</v>
      </c>
      <c r="I122" t="str">
        <f t="shared" si="21"/>
        <v>2R</v>
      </c>
      <c r="J122" t="str">
        <f t="shared" si="22"/>
        <v xml:space="preserve">1211 </v>
      </c>
      <c r="K122" t="str">
        <f t="shared" si="23"/>
        <v>1211½</v>
      </c>
      <c r="M122" s="8" t="str">
        <f t="shared" si="14"/>
        <v>UP</v>
      </c>
      <c r="N122" t="s">
        <v>3946</v>
      </c>
      <c r="O122" t="s">
        <v>3926</v>
      </c>
    </row>
    <row r="123" spans="2:27" ht="15" customHeight="1" x14ac:dyDescent="0.25">
      <c r="B123" s="3" t="s">
        <v>3554</v>
      </c>
      <c r="C123" s="1" t="s">
        <v>424</v>
      </c>
      <c r="D123" s="2" t="s">
        <v>3926</v>
      </c>
      <c r="E123" s="1" t="s">
        <v>3928</v>
      </c>
      <c r="F123" s="2" t="s">
        <v>3326</v>
      </c>
      <c r="G123" s="1" t="s">
        <v>3555</v>
      </c>
      <c r="H123" s="1" t="s">
        <v>3322</v>
      </c>
      <c r="I123" t="str">
        <f t="shared" si="21"/>
        <v>2R</v>
      </c>
      <c r="J123" t="str">
        <f t="shared" si="22"/>
        <v xml:space="preserve">1214 </v>
      </c>
      <c r="K123" t="str">
        <f t="shared" si="23"/>
        <v>1214½</v>
      </c>
      <c r="M123" s="8" t="str">
        <f t="shared" si="14"/>
        <v>DN</v>
      </c>
      <c r="N123" t="s">
        <v>3929</v>
      </c>
      <c r="O123" t="s">
        <v>3938</v>
      </c>
      <c r="P123" t="s">
        <v>1033</v>
      </c>
      <c r="Q123" t="s">
        <v>3945</v>
      </c>
      <c r="R123" t="s">
        <v>3326</v>
      </c>
    </row>
    <row r="124" spans="2:27" ht="15" customHeight="1" x14ac:dyDescent="0.25">
      <c r="B124" s="3" t="s">
        <v>3556</v>
      </c>
      <c r="C124" s="1" t="s">
        <v>3557</v>
      </c>
      <c r="D124" s="2" t="s">
        <v>3324</v>
      </c>
      <c r="E124" s="1" t="s">
        <v>3927</v>
      </c>
      <c r="F124" s="2" t="s">
        <v>3926</v>
      </c>
      <c r="G124" s="1" t="s">
        <v>427</v>
      </c>
      <c r="H124" s="1" t="s">
        <v>3322</v>
      </c>
      <c r="I124" t="str">
        <f t="shared" si="21"/>
        <v>1B</v>
      </c>
      <c r="J124" t="str">
        <f t="shared" si="22"/>
        <v>1215½</v>
      </c>
      <c r="K124" t="str">
        <f t="shared" si="23"/>
        <v xml:space="preserve">1216 </v>
      </c>
      <c r="M124" s="8" t="str">
        <f t="shared" ref="M124:M187" si="24">E124</f>
        <v>UP</v>
      </c>
      <c r="N124" t="s">
        <v>3926</v>
      </c>
    </row>
    <row r="125" spans="2:27" ht="15" customHeight="1" x14ac:dyDescent="0.25">
      <c r="B125" s="3" t="s">
        <v>3558</v>
      </c>
      <c r="C125" s="1" t="s">
        <v>432</v>
      </c>
      <c r="D125" s="2" t="s">
        <v>3926</v>
      </c>
      <c r="E125" s="1" t="s">
        <v>3928</v>
      </c>
      <c r="F125" s="2" t="s">
        <v>3324</v>
      </c>
      <c r="G125" s="1" t="s">
        <v>1907</v>
      </c>
      <c r="H125" s="1" t="s">
        <v>3322</v>
      </c>
      <c r="I125" t="str">
        <f t="shared" si="21"/>
        <v>2B</v>
      </c>
      <c r="J125" t="str">
        <f t="shared" si="22"/>
        <v xml:space="preserve">1219 </v>
      </c>
      <c r="K125" t="str">
        <f t="shared" si="23"/>
        <v>1219½</v>
      </c>
      <c r="M125" s="8" t="str">
        <f t="shared" si="24"/>
        <v>DN</v>
      </c>
      <c r="N125" t="s">
        <v>3929</v>
      </c>
      <c r="O125" t="s">
        <v>3930</v>
      </c>
      <c r="P125" t="s">
        <v>3931</v>
      </c>
      <c r="Q125" t="s">
        <v>3382</v>
      </c>
      <c r="R125" t="s">
        <v>3932</v>
      </c>
      <c r="S125" t="s">
        <v>3376</v>
      </c>
      <c r="T125" t="s">
        <v>3933</v>
      </c>
      <c r="U125" t="s">
        <v>3934</v>
      </c>
      <c r="V125" t="s">
        <v>3935</v>
      </c>
      <c r="W125" t="s">
        <v>3936</v>
      </c>
      <c r="X125" t="s">
        <v>3321</v>
      </c>
      <c r="Y125" t="s">
        <v>3937</v>
      </c>
      <c r="Z125" t="s">
        <v>3385</v>
      </c>
      <c r="AA125" t="s">
        <v>3324</v>
      </c>
    </row>
    <row r="126" spans="2:27" ht="15" customHeight="1" x14ac:dyDescent="0.25">
      <c r="B126" s="3" t="s">
        <v>3559</v>
      </c>
      <c r="C126" s="1" t="s">
        <v>3560</v>
      </c>
      <c r="D126" s="2" t="s">
        <v>3321</v>
      </c>
      <c r="E126" s="1" t="s">
        <v>3927</v>
      </c>
      <c r="F126" s="2" t="s">
        <v>3926</v>
      </c>
      <c r="G126" s="1" t="s">
        <v>438</v>
      </c>
      <c r="H126" s="1" t="s">
        <v>3322</v>
      </c>
      <c r="I126" t="str">
        <f t="shared" si="21"/>
        <v>2D</v>
      </c>
      <c r="J126" t="str">
        <f t="shared" si="22"/>
        <v>1225½</v>
      </c>
      <c r="K126" t="str">
        <f t="shared" si="23"/>
        <v xml:space="preserve">1226 </v>
      </c>
      <c r="M126" s="8" t="str">
        <f t="shared" si="24"/>
        <v>UP</v>
      </c>
      <c r="N126" t="s">
        <v>3946</v>
      </c>
      <c r="O126" t="s">
        <v>3926</v>
      </c>
    </row>
    <row r="127" spans="2:27" ht="15" customHeight="1" x14ac:dyDescent="0.25">
      <c r="B127" s="3" t="s">
        <v>3561</v>
      </c>
      <c r="C127" s="1" t="s">
        <v>1922</v>
      </c>
      <c r="D127" s="2" t="s">
        <v>3926</v>
      </c>
      <c r="E127" s="1" t="s">
        <v>3928</v>
      </c>
      <c r="F127" s="2" t="s">
        <v>3321</v>
      </c>
      <c r="G127" s="1" t="s">
        <v>3562</v>
      </c>
      <c r="H127" s="1" t="s">
        <v>3322</v>
      </c>
      <c r="I127" t="str">
        <f t="shared" si="21"/>
        <v>2D</v>
      </c>
      <c r="J127" t="str">
        <f t="shared" si="22"/>
        <v xml:space="preserve">1229 </v>
      </c>
      <c r="K127" t="str">
        <f t="shared" si="23"/>
        <v>1229½</v>
      </c>
      <c r="M127" s="8" t="str">
        <f t="shared" si="24"/>
        <v>DN</v>
      </c>
      <c r="N127" t="s">
        <v>3929</v>
      </c>
      <c r="O127" t="s">
        <v>3930</v>
      </c>
      <c r="P127" t="s">
        <v>3943</v>
      </c>
      <c r="Q127" t="s">
        <v>3944</v>
      </c>
      <c r="R127" t="s">
        <v>3326</v>
      </c>
      <c r="S127" t="s">
        <v>3940</v>
      </c>
      <c r="T127" t="s">
        <v>3941</v>
      </c>
      <c r="U127" t="s">
        <v>3942</v>
      </c>
      <c r="V127" t="s">
        <v>3376</v>
      </c>
      <c r="W127" t="s">
        <v>3933</v>
      </c>
      <c r="X127" t="s">
        <v>3934</v>
      </c>
      <c r="Y127" t="s">
        <v>3935</v>
      </c>
      <c r="Z127" t="s">
        <v>3936</v>
      </c>
      <c r="AA127" t="s">
        <v>3321</v>
      </c>
    </row>
    <row r="128" spans="2:27" ht="15" customHeight="1" x14ac:dyDescent="0.25">
      <c r="B128" s="3" t="s">
        <v>3563</v>
      </c>
      <c r="C128" s="1" t="s">
        <v>3564</v>
      </c>
      <c r="D128" s="2" t="s">
        <v>3324</v>
      </c>
      <c r="E128" s="1" t="s">
        <v>3927</v>
      </c>
      <c r="F128" s="2" t="s">
        <v>3926</v>
      </c>
      <c r="G128" s="1" t="s">
        <v>3565</v>
      </c>
      <c r="H128" s="1" t="s">
        <v>3322</v>
      </c>
      <c r="I128" t="str">
        <f t="shared" si="21"/>
        <v>2B</v>
      </c>
      <c r="J128" t="str">
        <f t="shared" si="22"/>
        <v>1233½</v>
      </c>
      <c r="K128" t="str">
        <f t="shared" si="23"/>
        <v xml:space="preserve">1234 </v>
      </c>
      <c r="M128" s="8" t="str">
        <f t="shared" si="24"/>
        <v>UP</v>
      </c>
      <c r="N128" t="s">
        <v>3946</v>
      </c>
      <c r="O128" t="s">
        <v>3926</v>
      </c>
    </row>
    <row r="129" spans="2:27" ht="15" customHeight="1" x14ac:dyDescent="0.25">
      <c r="B129" s="3" t="s">
        <v>3566</v>
      </c>
      <c r="C129" s="1" t="s">
        <v>447</v>
      </c>
      <c r="D129" s="2" t="s">
        <v>3926</v>
      </c>
      <c r="E129" s="1" t="s">
        <v>3928</v>
      </c>
      <c r="F129" s="2" t="s">
        <v>3324</v>
      </c>
      <c r="G129" s="1" t="s">
        <v>1935</v>
      </c>
      <c r="H129" s="1" t="s">
        <v>3322</v>
      </c>
      <c r="I129" t="str">
        <f t="shared" si="21"/>
        <v>1B</v>
      </c>
      <c r="J129" t="str">
        <f t="shared" si="22"/>
        <v xml:space="preserve">1238 </v>
      </c>
      <c r="K129" t="str">
        <f t="shared" si="23"/>
        <v>1238½</v>
      </c>
      <c r="M129" s="8" t="str">
        <f t="shared" si="24"/>
        <v>DN</v>
      </c>
      <c r="N129" t="s">
        <v>3929</v>
      </c>
      <c r="O129" t="s">
        <v>3930</v>
      </c>
      <c r="P129" t="s">
        <v>3382</v>
      </c>
      <c r="Q129" t="s">
        <v>3932</v>
      </c>
      <c r="R129" t="s">
        <v>3376</v>
      </c>
      <c r="S129" t="s">
        <v>3933</v>
      </c>
      <c r="T129" t="s">
        <v>3934</v>
      </c>
      <c r="U129" t="s">
        <v>3935</v>
      </c>
      <c r="V129" t="s">
        <v>3936</v>
      </c>
      <c r="W129" t="s">
        <v>3321</v>
      </c>
      <c r="X129" t="s">
        <v>3937</v>
      </c>
      <c r="Y129" t="s">
        <v>3385</v>
      </c>
      <c r="Z129" t="s">
        <v>3324</v>
      </c>
    </row>
    <row r="130" spans="2:27" ht="15" customHeight="1" x14ac:dyDescent="0.25">
      <c r="B130" s="3" t="s">
        <v>3567</v>
      </c>
      <c r="C130" s="1" t="s">
        <v>3568</v>
      </c>
      <c r="D130" s="2" t="s">
        <v>3326</v>
      </c>
      <c r="E130" s="1" t="s">
        <v>3927</v>
      </c>
      <c r="F130" s="2" t="s">
        <v>3926</v>
      </c>
      <c r="G130" s="1" t="s">
        <v>3569</v>
      </c>
      <c r="H130" s="1" t="s">
        <v>3322</v>
      </c>
      <c r="I130" t="str">
        <f t="shared" si="21"/>
        <v>2R</v>
      </c>
      <c r="J130" t="str">
        <f t="shared" si="22"/>
        <v xml:space="preserve">1241 </v>
      </c>
      <c r="K130" t="str">
        <f t="shared" si="23"/>
        <v>1241½</v>
      </c>
      <c r="M130" s="8" t="str">
        <f t="shared" si="24"/>
        <v>UP</v>
      </c>
      <c r="N130" t="s">
        <v>3946</v>
      </c>
      <c r="O130" t="s">
        <v>3926</v>
      </c>
    </row>
    <row r="131" spans="2:27" ht="15" customHeight="1" x14ac:dyDescent="0.25">
      <c r="B131" s="3" t="s">
        <v>3570</v>
      </c>
      <c r="C131" s="1" t="s">
        <v>3571</v>
      </c>
      <c r="D131" s="2" t="s">
        <v>3926</v>
      </c>
      <c r="E131" s="1" t="s">
        <v>3928</v>
      </c>
      <c r="F131" s="2" t="s">
        <v>3326</v>
      </c>
      <c r="G131" s="1" t="s">
        <v>3572</v>
      </c>
      <c r="H131" s="1" t="s">
        <v>3322</v>
      </c>
      <c r="I131" t="str">
        <f t="shared" si="21"/>
        <v>2R</v>
      </c>
      <c r="J131" t="str">
        <f t="shared" si="22"/>
        <v xml:space="preserve">1244 </v>
      </c>
      <c r="K131" t="str">
        <f t="shared" si="23"/>
        <v>1244½</v>
      </c>
      <c r="M131" s="8" t="str">
        <f t="shared" si="24"/>
        <v>DN</v>
      </c>
      <c r="N131" t="s">
        <v>3929</v>
      </c>
      <c r="O131" t="s">
        <v>3938</v>
      </c>
      <c r="P131" t="s">
        <v>1033</v>
      </c>
      <c r="Q131" t="s">
        <v>3945</v>
      </c>
      <c r="R131" t="s">
        <v>3326</v>
      </c>
    </row>
    <row r="132" spans="2:27" ht="15" customHeight="1" x14ac:dyDescent="0.25">
      <c r="B132" s="3" t="s">
        <v>3573</v>
      </c>
      <c r="C132" s="1" t="s">
        <v>3574</v>
      </c>
      <c r="D132" s="2" t="s">
        <v>3324</v>
      </c>
      <c r="E132" s="1" t="s">
        <v>3927</v>
      </c>
      <c r="F132" s="2" t="s">
        <v>3926</v>
      </c>
      <c r="G132" s="1" t="s">
        <v>2019</v>
      </c>
      <c r="H132" s="1" t="s">
        <v>3322</v>
      </c>
      <c r="I132" t="str">
        <f t="shared" si="21"/>
        <v>1B</v>
      </c>
      <c r="J132" t="str">
        <f t="shared" si="22"/>
        <v>1245½</v>
      </c>
      <c r="K132" t="str">
        <f t="shared" si="23"/>
        <v xml:space="preserve">1246 </v>
      </c>
      <c r="M132" s="8" t="str">
        <f t="shared" si="24"/>
        <v>UP</v>
      </c>
      <c r="N132" t="s">
        <v>3926</v>
      </c>
    </row>
    <row r="133" spans="2:27" ht="15" customHeight="1" x14ac:dyDescent="0.25">
      <c r="B133" s="3" t="s">
        <v>3575</v>
      </c>
      <c r="C133" s="1" t="s">
        <v>454</v>
      </c>
      <c r="D133" s="2" t="s">
        <v>3926</v>
      </c>
      <c r="E133" s="1" t="s">
        <v>3928</v>
      </c>
      <c r="F133" s="2" t="s">
        <v>3324</v>
      </c>
      <c r="G133" s="1" t="s">
        <v>3576</v>
      </c>
      <c r="H133" s="1" t="s">
        <v>3322</v>
      </c>
      <c r="I133" t="str">
        <f t="shared" si="21"/>
        <v>2B</v>
      </c>
      <c r="J133" t="str">
        <f t="shared" si="22"/>
        <v xml:space="preserve">1249 </v>
      </c>
      <c r="K133" t="str">
        <f t="shared" si="23"/>
        <v>1249½</v>
      </c>
      <c r="M133" s="8" t="str">
        <f t="shared" si="24"/>
        <v>DN</v>
      </c>
      <c r="N133" t="s">
        <v>3929</v>
      </c>
      <c r="O133" t="s">
        <v>3930</v>
      </c>
      <c r="P133" t="s">
        <v>3931</v>
      </c>
      <c r="Q133" t="s">
        <v>3382</v>
      </c>
      <c r="R133" t="s">
        <v>3932</v>
      </c>
      <c r="S133" t="s">
        <v>3376</v>
      </c>
      <c r="T133" t="s">
        <v>3933</v>
      </c>
      <c r="U133" t="s">
        <v>3934</v>
      </c>
      <c r="V133" t="s">
        <v>3935</v>
      </c>
      <c r="W133" t="s">
        <v>3936</v>
      </c>
      <c r="X133" t="s">
        <v>3321</v>
      </c>
      <c r="Y133" t="s">
        <v>3937</v>
      </c>
      <c r="Z133" t="s">
        <v>3385</v>
      </c>
      <c r="AA133" t="s">
        <v>3324</v>
      </c>
    </row>
    <row r="134" spans="2:27" ht="15" customHeight="1" x14ac:dyDescent="0.25">
      <c r="B134" s="3" t="s">
        <v>3577</v>
      </c>
      <c r="C134" s="1" t="s">
        <v>3578</v>
      </c>
      <c r="D134" s="2" t="s">
        <v>3321</v>
      </c>
      <c r="E134" s="1" t="s">
        <v>3927</v>
      </c>
      <c r="F134" s="2" t="s">
        <v>3926</v>
      </c>
      <c r="G134" s="1" t="s">
        <v>460</v>
      </c>
      <c r="H134" s="1" t="s">
        <v>3322</v>
      </c>
      <c r="I134" t="str">
        <f t="shared" si="21"/>
        <v>2D</v>
      </c>
      <c r="J134" t="str">
        <f t="shared" si="22"/>
        <v>1255½</v>
      </c>
      <c r="K134" t="str">
        <f t="shared" si="23"/>
        <v xml:space="preserve">1256 </v>
      </c>
      <c r="M134" s="8" t="str">
        <f t="shared" si="24"/>
        <v>UP</v>
      </c>
      <c r="N134" t="s">
        <v>3946</v>
      </c>
      <c r="O134" t="s">
        <v>3926</v>
      </c>
    </row>
    <row r="135" spans="2:27" ht="15" customHeight="1" x14ac:dyDescent="0.25">
      <c r="B135" s="3" t="s">
        <v>3579</v>
      </c>
      <c r="C135" s="1" t="s">
        <v>465</v>
      </c>
      <c r="D135" s="2" t="s">
        <v>3926</v>
      </c>
      <c r="E135" s="1" t="s">
        <v>3928</v>
      </c>
      <c r="F135" s="2" t="s">
        <v>3321</v>
      </c>
      <c r="G135" s="1" t="s">
        <v>3580</v>
      </c>
      <c r="H135" s="1" t="s">
        <v>3322</v>
      </c>
      <c r="I135" t="str">
        <f t="shared" si="21"/>
        <v>2D</v>
      </c>
      <c r="J135" t="str">
        <f t="shared" si="22"/>
        <v xml:space="preserve">1259 </v>
      </c>
      <c r="K135" t="str">
        <f t="shared" si="23"/>
        <v>1259½</v>
      </c>
      <c r="M135" s="8" t="str">
        <f t="shared" si="24"/>
        <v>DN</v>
      </c>
      <c r="N135" t="s">
        <v>3929</v>
      </c>
      <c r="O135" t="s">
        <v>3930</v>
      </c>
      <c r="P135" t="s">
        <v>3943</v>
      </c>
      <c r="Q135" t="s">
        <v>3944</v>
      </c>
      <c r="R135" t="s">
        <v>3326</v>
      </c>
      <c r="S135" t="s">
        <v>3940</v>
      </c>
      <c r="T135" t="s">
        <v>3941</v>
      </c>
      <c r="U135" t="s">
        <v>3942</v>
      </c>
      <c r="V135" t="s">
        <v>3376</v>
      </c>
      <c r="W135" t="s">
        <v>3933</v>
      </c>
      <c r="X135" t="s">
        <v>3934</v>
      </c>
      <c r="Y135" t="s">
        <v>3935</v>
      </c>
      <c r="Z135" t="s">
        <v>3936</v>
      </c>
      <c r="AA135" t="s">
        <v>3321</v>
      </c>
    </row>
    <row r="136" spans="2:27" ht="15" customHeight="1" x14ac:dyDescent="0.25">
      <c r="B136" s="3" t="s">
        <v>3581</v>
      </c>
      <c r="C136" s="1" t="s">
        <v>3582</v>
      </c>
      <c r="D136" s="2" t="s">
        <v>3324</v>
      </c>
      <c r="E136" s="1" t="s">
        <v>3927</v>
      </c>
      <c r="F136" s="2" t="s">
        <v>3926</v>
      </c>
      <c r="G136" s="1" t="s">
        <v>3583</v>
      </c>
      <c r="H136" s="1" t="s">
        <v>3322</v>
      </c>
      <c r="I136" t="str">
        <f t="shared" si="21"/>
        <v>2B</v>
      </c>
      <c r="J136" t="str">
        <f t="shared" si="22"/>
        <v>1303½</v>
      </c>
      <c r="K136" t="str">
        <f t="shared" si="23"/>
        <v xml:space="preserve">1304 </v>
      </c>
      <c r="M136" s="8" t="str">
        <f t="shared" si="24"/>
        <v>UP</v>
      </c>
      <c r="N136" t="s">
        <v>3946</v>
      </c>
      <c r="O136" t="s">
        <v>3926</v>
      </c>
    </row>
    <row r="137" spans="2:27" ht="15" customHeight="1" x14ac:dyDescent="0.25">
      <c r="B137" s="3" t="s">
        <v>3584</v>
      </c>
      <c r="C137" s="1" t="s">
        <v>3585</v>
      </c>
      <c r="D137" s="2" t="s">
        <v>3926</v>
      </c>
      <c r="E137" s="1" t="s">
        <v>3928</v>
      </c>
      <c r="F137" s="2" t="s">
        <v>3324</v>
      </c>
      <c r="G137" s="1" t="s">
        <v>1983</v>
      </c>
      <c r="H137" s="1" t="s">
        <v>3322</v>
      </c>
      <c r="I137" t="str">
        <f t="shared" si="21"/>
        <v>1B</v>
      </c>
      <c r="J137" t="str">
        <f t="shared" si="22"/>
        <v xml:space="preserve">1308 </v>
      </c>
      <c r="K137" t="str">
        <f t="shared" si="23"/>
        <v>1308½</v>
      </c>
      <c r="M137" s="8" t="str">
        <f t="shared" si="24"/>
        <v>DN</v>
      </c>
      <c r="N137" t="s">
        <v>3929</v>
      </c>
      <c r="O137" t="s">
        <v>3930</v>
      </c>
      <c r="P137" t="s">
        <v>3382</v>
      </c>
      <c r="Q137" t="s">
        <v>3932</v>
      </c>
      <c r="R137" t="s">
        <v>3376</v>
      </c>
      <c r="S137" t="s">
        <v>3933</v>
      </c>
      <c r="T137" t="s">
        <v>3934</v>
      </c>
      <c r="U137" t="s">
        <v>3935</v>
      </c>
      <c r="V137" t="s">
        <v>3936</v>
      </c>
      <c r="W137" t="s">
        <v>3321</v>
      </c>
      <c r="X137" t="s">
        <v>3937</v>
      </c>
      <c r="Y137" t="s">
        <v>3385</v>
      </c>
      <c r="Z137" t="s">
        <v>3324</v>
      </c>
    </row>
    <row r="138" spans="2:27" ht="15" customHeight="1" x14ac:dyDescent="0.25">
      <c r="B138" s="3" t="s">
        <v>3586</v>
      </c>
      <c r="C138" s="1" t="s">
        <v>3587</v>
      </c>
      <c r="D138" s="2" t="s">
        <v>3326</v>
      </c>
      <c r="E138" s="1" t="s">
        <v>3927</v>
      </c>
      <c r="F138" s="2" t="s">
        <v>3926</v>
      </c>
      <c r="G138" s="1" t="s">
        <v>3588</v>
      </c>
      <c r="H138" s="1" t="s">
        <v>3322</v>
      </c>
      <c r="I138" t="str">
        <f t="shared" si="21"/>
        <v>2R</v>
      </c>
      <c r="J138" t="str">
        <f t="shared" si="22"/>
        <v xml:space="preserve">1311 </v>
      </c>
      <c r="K138" t="str">
        <f t="shared" si="23"/>
        <v>1311½</v>
      </c>
      <c r="M138" s="8" t="str">
        <f t="shared" si="24"/>
        <v>UP</v>
      </c>
      <c r="N138" t="s">
        <v>3946</v>
      </c>
      <c r="O138" t="s">
        <v>3926</v>
      </c>
    </row>
    <row r="139" spans="2:27" ht="15" customHeight="1" x14ac:dyDescent="0.25">
      <c r="B139" s="3" t="s">
        <v>3589</v>
      </c>
      <c r="C139" s="1" t="s">
        <v>471</v>
      </c>
      <c r="D139" s="2" t="s">
        <v>3926</v>
      </c>
      <c r="E139" s="1" t="s">
        <v>3928</v>
      </c>
      <c r="F139" s="2" t="s">
        <v>3326</v>
      </c>
      <c r="G139" s="1" t="s">
        <v>3590</v>
      </c>
      <c r="H139" s="1" t="s">
        <v>3322</v>
      </c>
      <c r="I139" t="str">
        <f t="shared" si="21"/>
        <v>2R</v>
      </c>
      <c r="J139" t="str">
        <f t="shared" si="22"/>
        <v xml:space="preserve">1314 </v>
      </c>
      <c r="K139" t="str">
        <f t="shared" si="23"/>
        <v>1314½</v>
      </c>
      <c r="M139" s="8" t="str">
        <f t="shared" si="24"/>
        <v>DN</v>
      </c>
      <c r="N139" t="s">
        <v>3929</v>
      </c>
      <c r="O139" t="s">
        <v>3938</v>
      </c>
      <c r="P139" t="s">
        <v>1033</v>
      </c>
      <c r="Q139" t="s">
        <v>3945</v>
      </c>
      <c r="R139" t="s">
        <v>3326</v>
      </c>
    </row>
    <row r="140" spans="2:27" ht="15" customHeight="1" x14ac:dyDescent="0.25">
      <c r="B140" s="3" t="s">
        <v>3591</v>
      </c>
      <c r="C140" s="1" t="s">
        <v>3592</v>
      </c>
      <c r="D140" s="2" t="s">
        <v>3324</v>
      </c>
      <c r="E140" s="1" t="s">
        <v>3927</v>
      </c>
      <c r="F140" s="2" t="s">
        <v>3926</v>
      </c>
      <c r="G140" s="1" t="s">
        <v>474</v>
      </c>
      <c r="H140" s="1" t="s">
        <v>3322</v>
      </c>
      <c r="I140" t="str">
        <f t="shared" si="21"/>
        <v>1B</v>
      </c>
      <c r="J140" t="str">
        <f t="shared" si="22"/>
        <v>1315½</v>
      </c>
      <c r="K140" t="str">
        <f t="shared" si="23"/>
        <v xml:space="preserve">1316 </v>
      </c>
      <c r="M140" s="8" t="str">
        <f t="shared" si="24"/>
        <v>UP</v>
      </c>
      <c r="N140" t="s">
        <v>3926</v>
      </c>
    </row>
    <row r="141" spans="2:27" ht="15" customHeight="1" x14ac:dyDescent="0.25">
      <c r="B141" s="3" t="s">
        <v>3593</v>
      </c>
      <c r="C141" s="1" t="s">
        <v>479</v>
      </c>
      <c r="D141" s="2" t="s">
        <v>3926</v>
      </c>
      <c r="E141" s="1" t="s">
        <v>3928</v>
      </c>
      <c r="F141" s="2" t="s">
        <v>3324</v>
      </c>
      <c r="G141" s="1" t="s">
        <v>1998</v>
      </c>
      <c r="H141" s="1" t="s">
        <v>3322</v>
      </c>
      <c r="I141" t="str">
        <f t="shared" si="21"/>
        <v>2B</v>
      </c>
      <c r="J141" t="str">
        <f t="shared" si="22"/>
        <v xml:space="preserve">1319 </v>
      </c>
      <c r="K141" t="str">
        <f t="shared" si="23"/>
        <v>1319½</v>
      </c>
      <c r="M141" s="8" t="str">
        <f t="shared" si="24"/>
        <v>DN</v>
      </c>
      <c r="N141" t="s">
        <v>3929</v>
      </c>
      <c r="O141" t="s">
        <v>3930</v>
      </c>
      <c r="P141" t="s">
        <v>3931</v>
      </c>
      <c r="Q141" t="s">
        <v>3382</v>
      </c>
      <c r="R141" t="s">
        <v>3932</v>
      </c>
      <c r="S141" t="s">
        <v>3376</v>
      </c>
      <c r="T141" t="s">
        <v>3933</v>
      </c>
      <c r="U141" t="s">
        <v>3934</v>
      </c>
      <c r="V141" t="s">
        <v>3935</v>
      </c>
      <c r="W141" t="s">
        <v>3936</v>
      </c>
      <c r="X141" t="s">
        <v>3321</v>
      </c>
      <c r="Y141" t="s">
        <v>3937</v>
      </c>
      <c r="Z141" t="s">
        <v>3385</v>
      </c>
      <c r="AA141" t="s">
        <v>3324</v>
      </c>
    </row>
    <row r="142" spans="2:27" ht="15" customHeight="1" x14ac:dyDescent="0.25">
      <c r="B142" s="3" t="s">
        <v>3594</v>
      </c>
      <c r="C142" s="1" t="s">
        <v>3595</v>
      </c>
      <c r="D142" s="2" t="s">
        <v>3321</v>
      </c>
      <c r="E142" s="1" t="s">
        <v>3927</v>
      </c>
      <c r="F142" s="2" t="s">
        <v>3926</v>
      </c>
      <c r="G142" s="1" t="s">
        <v>485</v>
      </c>
      <c r="H142" s="1" t="s">
        <v>3322</v>
      </c>
      <c r="I142" t="str">
        <f t="shared" si="21"/>
        <v>2D</v>
      </c>
      <c r="J142" t="str">
        <f t="shared" si="22"/>
        <v>1325½</v>
      </c>
      <c r="K142" t="str">
        <f t="shared" si="23"/>
        <v xml:space="preserve">1326 </v>
      </c>
      <c r="M142" s="8" t="str">
        <f t="shared" si="24"/>
        <v>UP</v>
      </c>
      <c r="N142" t="s">
        <v>3946</v>
      </c>
      <c r="O142" t="s">
        <v>3926</v>
      </c>
    </row>
    <row r="143" spans="2:27" ht="15" customHeight="1" x14ac:dyDescent="0.25">
      <c r="B143" s="3" t="s">
        <v>3596</v>
      </c>
      <c r="C143" s="1" t="s">
        <v>2016</v>
      </c>
      <c r="D143" s="2" t="s">
        <v>3926</v>
      </c>
      <c r="E143" s="1" t="s">
        <v>3928</v>
      </c>
      <c r="F143" s="2" t="s">
        <v>3321</v>
      </c>
      <c r="G143" s="1" t="s">
        <v>3597</v>
      </c>
      <c r="H143" s="1" t="s">
        <v>3322</v>
      </c>
      <c r="I143" t="str">
        <f t="shared" si="21"/>
        <v>2D</v>
      </c>
      <c r="J143" t="str">
        <f t="shared" si="22"/>
        <v xml:space="preserve">1329 </v>
      </c>
      <c r="K143" t="str">
        <f t="shared" si="23"/>
        <v>1329½</v>
      </c>
      <c r="M143" s="8" t="str">
        <f t="shared" si="24"/>
        <v>DN</v>
      </c>
      <c r="N143" t="s">
        <v>3929</v>
      </c>
      <c r="O143" t="s">
        <v>3930</v>
      </c>
      <c r="P143" t="s">
        <v>3943</v>
      </c>
      <c r="Q143" t="s">
        <v>3944</v>
      </c>
      <c r="R143" t="s">
        <v>3326</v>
      </c>
      <c r="S143" t="s">
        <v>3940</v>
      </c>
      <c r="T143" t="s">
        <v>3941</v>
      </c>
      <c r="U143" t="s">
        <v>3942</v>
      </c>
      <c r="V143" t="s">
        <v>3376</v>
      </c>
      <c r="W143" t="s">
        <v>3933</v>
      </c>
      <c r="X143" t="s">
        <v>3934</v>
      </c>
      <c r="Y143" t="s">
        <v>3935</v>
      </c>
      <c r="Z143" t="s">
        <v>3936</v>
      </c>
      <c r="AA143" t="s">
        <v>3321</v>
      </c>
    </row>
    <row r="144" spans="2:27" ht="15" customHeight="1" x14ac:dyDescent="0.25">
      <c r="B144" s="3" t="s">
        <v>3598</v>
      </c>
      <c r="C144" s="1" t="s">
        <v>3599</v>
      </c>
      <c r="D144" s="2" t="s">
        <v>3324</v>
      </c>
      <c r="E144" s="1" t="s">
        <v>3927</v>
      </c>
      <c r="F144" s="2" t="s">
        <v>3926</v>
      </c>
      <c r="G144" s="1" t="s">
        <v>3600</v>
      </c>
      <c r="H144" s="1" t="s">
        <v>3322</v>
      </c>
      <c r="I144" t="str">
        <f t="shared" ref="I144:I167" si="25">LEFT(B144,2)</f>
        <v>2B</v>
      </c>
      <c r="J144" t="str">
        <f t="shared" ref="J144:J167" si="26">LEFT(C144,5)</f>
        <v>1333½</v>
      </c>
      <c r="K144" t="str">
        <f t="shared" ref="K144:K167" si="27">LEFT(G144,5)</f>
        <v xml:space="preserve">1334 </v>
      </c>
      <c r="M144" s="8" t="str">
        <f t="shared" si="24"/>
        <v>UP</v>
      </c>
      <c r="N144" t="s">
        <v>3946</v>
      </c>
      <c r="O144" t="s">
        <v>3926</v>
      </c>
    </row>
    <row r="145" spans="2:27" ht="15" customHeight="1" x14ac:dyDescent="0.25">
      <c r="B145" s="3" t="s">
        <v>3601</v>
      </c>
      <c r="C145" s="1" t="s">
        <v>500</v>
      </c>
      <c r="D145" s="2" t="s">
        <v>3926</v>
      </c>
      <c r="E145" s="1" t="s">
        <v>3928</v>
      </c>
      <c r="F145" s="2" t="s">
        <v>3324</v>
      </c>
      <c r="G145" s="1" t="s">
        <v>2029</v>
      </c>
      <c r="H145" s="1" t="s">
        <v>3322</v>
      </c>
      <c r="I145" t="str">
        <f t="shared" si="25"/>
        <v>1B</v>
      </c>
      <c r="J145" t="str">
        <f t="shared" si="26"/>
        <v xml:space="preserve">1338 </v>
      </c>
      <c r="K145" t="str">
        <f t="shared" si="27"/>
        <v>1338½</v>
      </c>
      <c r="M145" s="8" t="str">
        <f t="shared" si="24"/>
        <v>DN</v>
      </c>
      <c r="N145" t="s">
        <v>3929</v>
      </c>
      <c r="O145" t="s">
        <v>3930</v>
      </c>
      <c r="P145" t="s">
        <v>3382</v>
      </c>
      <c r="Q145" t="s">
        <v>3932</v>
      </c>
      <c r="R145" t="s">
        <v>3376</v>
      </c>
      <c r="S145" t="s">
        <v>3933</v>
      </c>
      <c r="T145" t="s">
        <v>3934</v>
      </c>
      <c r="U145" t="s">
        <v>3935</v>
      </c>
      <c r="V145" t="s">
        <v>3936</v>
      </c>
      <c r="W145" t="s">
        <v>3321</v>
      </c>
      <c r="X145" t="s">
        <v>3937</v>
      </c>
      <c r="Y145" t="s">
        <v>3385</v>
      </c>
      <c r="Z145" t="s">
        <v>3324</v>
      </c>
    </row>
    <row r="146" spans="2:27" ht="15" customHeight="1" x14ac:dyDescent="0.25">
      <c r="B146" s="3" t="s">
        <v>3602</v>
      </c>
      <c r="C146" s="1" t="s">
        <v>3603</v>
      </c>
      <c r="D146" s="2" t="s">
        <v>3326</v>
      </c>
      <c r="E146" s="1" t="s">
        <v>3927</v>
      </c>
      <c r="F146" s="2" t="s">
        <v>3926</v>
      </c>
      <c r="G146" s="1" t="s">
        <v>3604</v>
      </c>
      <c r="H146" s="1" t="s">
        <v>3322</v>
      </c>
      <c r="I146" t="str">
        <f t="shared" si="25"/>
        <v>2R</v>
      </c>
      <c r="J146" t="str">
        <f t="shared" si="26"/>
        <v xml:space="preserve">1341 </v>
      </c>
      <c r="K146" t="str">
        <f t="shared" si="27"/>
        <v>1341½</v>
      </c>
      <c r="M146" s="8" t="str">
        <f t="shared" si="24"/>
        <v>UP</v>
      </c>
      <c r="N146" t="s">
        <v>3946</v>
      </c>
      <c r="O146" t="s">
        <v>3926</v>
      </c>
    </row>
    <row r="147" spans="2:27" ht="15" customHeight="1" x14ac:dyDescent="0.25">
      <c r="B147" s="3" t="s">
        <v>3605</v>
      </c>
      <c r="C147" s="1" t="s">
        <v>3606</v>
      </c>
      <c r="D147" s="2" t="s">
        <v>3926</v>
      </c>
      <c r="E147" s="1" t="s">
        <v>3928</v>
      </c>
      <c r="F147" s="2" t="s">
        <v>3326</v>
      </c>
      <c r="G147" s="1" t="s">
        <v>3607</v>
      </c>
      <c r="H147" s="1" t="s">
        <v>3322</v>
      </c>
      <c r="I147" t="str">
        <f t="shared" si="25"/>
        <v>2R</v>
      </c>
      <c r="J147" t="str">
        <f t="shared" si="26"/>
        <v xml:space="preserve">1344 </v>
      </c>
      <c r="K147" t="str">
        <f t="shared" si="27"/>
        <v>1344½</v>
      </c>
      <c r="M147" s="8" t="str">
        <f t="shared" si="24"/>
        <v>DN</v>
      </c>
      <c r="N147" t="s">
        <v>3929</v>
      </c>
      <c r="O147" t="s">
        <v>3938</v>
      </c>
      <c r="P147" t="s">
        <v>1033</v>
      </c>
      <c r="Q147" t="s">
        <v>3945</v>
      </c>
      <c r="R147" t="s">
        <v>3326</v>
      </c>
    </row>
    <row r="148" spans="2:27" ht="15" customHeight="1" x14ac:dyDescent="0.25">
      <c r="B148" s="3" t="s">
        <v>3608</v>
      </c>
      <c r="C148" s="1" t="s">
        <v>3609</v>
      </c>
      <c r="D148" s="2" t="s">
        <v>3324</v>
      </c>
      <c r="E148" s="1" t="s">
        <v>3927</v>
      </c>
      <c r="F148" s="2" t="s">
        <v>3926</v>
      </c>
      <c r="G148" s="1" t="s">
        <v>2275</v>
      </c>
      <c r="H148" s="1" t="s">
        <v>3322</v>
      </c>
      <c r="I148" t="str">
        <f t="shared" si="25"/>
        <v>1B</v>
      </c>
      <c r="J148" t="str">
        <f t="shared" si="26"/>
        <v>1345½</v>
      </c>
      <c r="K148" t="str">
        <f t="shared" si="27"/>
        <v xml:space="preserve">1346 </v>
      </c>
      <c r="M148" s="8" t="str">
        <f t="shared" si="24"/>
        <v>UP</v>
      </c>
      <c r="N148" t="s">
        <v>3926</v>
      </c>
    </row>
    <row r="149" spans="2:27" ht="15" customHeight="1" x14ac:dyDescent="0.25">
      <c r="B149" s="3" t="s">
        <v>3610</v>
      </c>
      <c r="C149" s="1" t="s">
        <v>506</v>
      </c>
      <c r="D149" s="2" t="s">
        <v>3926</v>
      </c>
      <c r="E149" s="1" t="s">
        <v>3928</v>
      </c>
      <c r="F149" s="2" t="s">
        <v>3324</v>
      </c>
      <c r="G149" s="1" t="s">
        <v>3611</v>
      </c>
      <c r="H149" s="1" t="s">
        <v>3322</v>
      </c>
      <c r="I149" t="str">
        <f t="shared" si="25"/>
        <v>2B</v>
      </c>
      <c r="J149" t="str">
        <f t="shared" si="26"/>
        <v xml:space="preserve">1349 </v>
      </c>
      <c r="K149" t="str">
        <f t="shared" si="27"/>
        <v>1349½</v>
      </c>
      <c r="M149" s="8" t="str">
        <f t="shared" si="24"/>
        <v>DN</v>
      </c>
      <c r="N149" t="s">
        <v>3929</v>
      </c>
      <c r="O149" t="s">
        <v>3930</v>
      </c>
      <c r="P149" t="s">
        <v>3931</v>
      </c>
      <c r="Q149" t="s">
        <v>3382</v>
      </c>
      <c r="R149" t="s">
        <v>3932</v>
      </c>
      <c r="S149" t="s">
        <v>3376</v>
      </c>
      <c r="T149" t="s">
        <v>3933</v>
      </c>
      <c r="U149" t="s">
        <v>3934</v>
      </c>
      <c r="V149" t="s">
        <v>3935</v>
      </c>
      <c r="W149" t="s">
        <v>3936</v>
      </c>
      <c r="X149" t="s">
        <v>3321</v>
      </c>
      <c r="Y149" t="s">
        <v>3937</v>
      </c>
      <c r="Z149" t="s">
        <v>3385</v>
      </c>
      <c r="AA149" t="s">
        <v>3324</v>
      </c>
    </row>
    <row r="150" spans="2:27" ht="15" customHeight="1" x14ac:dyDescent="0.25">
      <c r="B150" s="3" t="s">
        <v>3612</v>
      </c>
      <c r="C150" s="1" t="s">
        <v>3613</v>
      </c>
      <c r="D150" s="2" t="s">
        <v>3321</v>
      </c>
      <c r="E150" s="1" t="s">
        <v>3927</v>
      </c>
      <c r="F150" s="2" t="s">
        <v>3926</v>
      </c>
      <c r="G150" s="1" t="s">
        <v>512</v>
      </c>
      <c r="H150" s="1" t="s">
        <v>3322</v>
      </c>
      <c r="I150" t="str">
        <f t="shared" si="25"/>
        <v>2D</v>
      </c>
      <c r="J150" t="str">
        <f t="shared" si="26"/>
        <v>1355½</v>
      </c>
      <c r="K150" t="str">
        <f t="shared" si="27"/>
        <v xml:space="preserve">1356 </v>
      </c>
      <c r="M150" s="8" t="str">
        <f t="shared" si="24"/>
        <v>UP</v>
      </c>
      <c r="N150" t="s">
        <v>3946</v>
      </c>
      <c r="O150" t="s">
        <v>3926</v>
      </c>
    </row>
    <row r="151" spans="2:27" ht="15" customHeight="1" x14ac:dyDescent="0.25">
      <c r="B151" s="3" t="s">
        <v>3614</v>
      </c>
      <c r="C151" s="1" t="s">
        <v>517</v>
      </c>
      <c r="D151" s="2" t="s">
        <v>3926</v>
      </c>
      <c r="E151" s="1" t="s">
        <v>3928</v>
      </c>
      <c r="F151" s="2" t="s">
        <v>3321</v>
      </c>
      <c r="G151" s="1" t="s">
        <v>3615</v>
      </c>
      <c r="H151" s="1" t="s">
        <v>3322</v>
      </c>
      <c r="I151" t="str">
        <f t="shared" si="25"/>
        <v>2D</v>
      </c>
      <c r="J151" t="str">
        <f t="shared" si="26"/>
        <v xml:space="preserve">1359 </v>
      </c>
      <c r="K151" t="str">
        <f t="shared" si="27"/>
        <v>1359½</v>
      </c>
      <c r="M151" s="8" t="str">
        <f t="shared" si="24"/>
        <v>DN</v>
      </c>
      <c r="N151" t="s">
        <v>3929</v>
      </c>
      <c r="O151" t="s">
        <v>3930</v>
      </c>
      <c r="P151" t="s">
        <v>3943</v>
      </c>
      <c r="Q151" t="s">
        <v>3944</v>
      </c>
      <c r="R151" t="s">
        <v>3326</v>
      </c>
      <c r="S151" t="s">
        <v>3940</v>
      </c>
      <c r="T151" t="s">
        <v>3941</v>
      </c>
      <c r="U151" t="s">
        <v>3942</v>
      </c>
      <c r="V151" t="s">
        <v>3376</v>
      </c>
      <c r="W151" t="s">
        <v>3933</v>
      </c>
      <c r="X151" t="s">
        <v>3934</v>
      </c>
      <c r="Y151" t="s">
        <v>3935</v>
      </c>
      <c r="Z151" t="s">
        <v>3936</v>
      </c>
      <c r="AA151" t="s">
        <v>3321</v>
      </c>
    </row>
    <row r="152" spans="2:27" ht="15" customHeight="1" x14ac:dyDescent="0.25">
      <c r="B152" s="3" t="s">
        <v>3616</v>
      </c>
      <c r="C152" s="1" t="s">
        <v>3617</v>
      </c>
      <c r="D152" s="2" t="s">
        <v>3324</v>
      </c>
      <c r="E152" s="1" t="s">
        <v>3927</v>
      </c>
      <c r="F152" s="2" t="s">
        <v>3926</v>
      </c>
      <c r="G152" s="1" t="s">
        <v>3618</v>
      </c>
      <c r="H152" s="1" t="s">
        <v>3322</v>
      </c>
      <c r="I152" t="str">
        <f t="shared" si="25"/>
        <v>2B</v>
      </c>
      <c r="J152" t="str">
        <f t="shared" si="26"/>
        <v>1403½</v>
      </c>
      <c r="K152" t="str">
        <f t="shared" si="27"/>
        <v xml:space="preserve">1404 </v>
      </c>
      <c r="M152" s="8" t="str">
        <f t="shared" si="24"/>
        <v>UP</v>
      </c>
      <c r="N152" t="s">
        <v>3946</v>
      </c>
      <c r="O152" t="s">
        <v>3926</v>
      </c>
    </row>
    <row r="153" spans="2:27" ht="15" customHeight="1" x14ac:dyDescent="0.25">
      <c r="B153" s="3" t="s">
        <v>3619</v>
      </c>
      <c r="C153" s="1" t="s">
        <v>3620</v>
      </c>
      <c r="D153" s="2" t="s">
        <v>3926</v>
      </c>
      <c r="E153" s="1" t="s">
        <v>3928</v>
      </c>
      <c r="F153" s="2" t="s">
        <v>3324</v>
      </c>
      <c r="G153" s="1" t="s">
        <v>2075</v>
      </c>
      <c r="H153" s="1" t="s">
        <v>3322</v>
      </c>
      <c r="I153" t="str">
        <f t="shared" si="25"/>
        <v>1B</v>
      </c>
      <c r="J153" t="str">
        <f t="shared" si="26"/>
        <v xml:space="preserve">1408 </v>
      </c>
      <c r="K153" t="str">
        <f t="shared" si="27"/>
        <v>1408½</v>
      </c>
      <c r="M153" s="8" t="str">
        <f t="shared" si="24"/>
        <v>DN</v>
      </c>
      <c r="N153" t="s">
        <v>3929</v>
      </c>
      <c r="O153" t="s">
        <v>3930</v>
      </c>
      <c r="P153" t="s">
        <v>3382</v>
      </c>
      <c r="Q153" t="s">
        <v>3932</v>
      </c>
      <c r="R153" t="s">
        <v>3376</v>
      </c>
      <c r="S153" t="s">
        <v>3933</v>
      </c>
      <c r="T153" t="s">
        <v>3934</v>
      </c>
      <c r="U153" t="s">
        <v>3935</v>
      </c>
      <c r="V153" t="s">
        <v>3936</v>
      </c>
      <c r="W153" t="s">
        <v>3321</v>
      </c>
      <c r="X153" t="s">
        <v>3937</v>
      </c>
      <c r="Y153" t="s">
        <v>3385</v>
      </c>
      <c r="Z153" t="s">
        <v>3324</v>
      </c>
    </row>
    <row r="154" spans="2:27" ht="15" customHeight="1" x14ac:dyDescent="0.25">
      <c r="B154" s="3" t="s">
        <v>3621</v>
      </c>
      <c r="C154" s="1" t="s">
        <v>3622</v>
      </c>
      <c r="D154" s="2" t="s">
        <v>3326</v>
      </c>
      <c r="E154" s="1" t="s">
        <v>3927</v>
      </c>
      <c r="F154" s="2" t="s">
        <v>3926</v>
      </c>
      <c r="G154" s="1" t="s">
        <v>3623</v>
      </c>
      <c r="H154" s="1" t="s">
        <v>3322</v>
      </c>
      <c r="I154" t="str">
        <f t="shared" si="25"/>
        <v>2R</v>
      </c>
      <c r="J154" t="str">
        <f t="shared" si="26"/>
        <v xml:space="preserve">1411 </v>
      </c>
      <c r="K154" t="str">
        <f t="shared" si="27"/>
        <v>1411½</v>
      </c>
      <c r="M154" s="8" t="str">
        <f t="shared" si="24"/>
        <v>UP</v>
      </c>
      <c r="N154" t="s">
        <v>3946</v>
      </c>
      <c r="O154" t="s">
        <v>3926</v>
      </c>
    </row>
    <row r="155" spans="2:27" ht="15" customHeight="1" x14ac:dyDescent="0.25">
      <c r="B155" s="3" t="s">
        <v>3624</v>
      </c>
      <c r="C155" s="1" t="s">
        <v>524</v>
      </c>
      <c r="D155" s="2" t="s">
        <v>3926</v>
      </c>
      <c r="E155" s="1" t="s">
        <v>3928</v>
      </c>
      <c r="F155" s="2" t="s">
        <v>3326</v>
      </c>
      <c r="G155" s="1" t="s">
        <v>3625</v>
      </c>
      <c r="H155" s="1" t="s">
        <v>3322</v>
      </c>
      <c r="I155" t="str">
        <f t="shared" si="25"/>
        <v>2R</v>
      </c>
      <c r="J155" t="str">
        <f t="shared" si="26"/>
        <v xml:space="preserve">1414 </v>
      </c>
      <c r="K155" t="str">
        <f t="shared" si="27"/>
        <v>1414½</v>
      </c>
      <c r="M155" s="8" t="str">
        <f t="shared" si="24"/>
        <v>DN</v>
      </c>
      <c r="N155" t="s">
        <v>3929</v>
      </c>
      <c r="O155" t="s">
        <v>3938</v>
      </c>
      <c r="P155" t="s">
        <v>1033</v>
      </c>
      <c r="Q155" t="s">
        <v>3945</v>
      </c>
      <c r="R155" t="s">
        <v>3326</v>
      </c>
    </row>
    <row r="156" spans="2:27" ht="15" customHeight="1" x14ac:dyDescent="0.25">
      <c r="B156" s="3" t="s">
        <v>3626</v>
      </c>
      <c r="C156" s="1" t="s">
        <v>3627</v>
      </c>
      <c r="D156" s="2" t="s">
        <v>3324</v>
      </c>
      <c r="E156" s="1" t="s">
        <v>3927</v>
      </c>
      <c r="F156" s="2" t="s">
        <v>3926</v>
      </c>
      <c r="G156" s="1" t="s">
        <v>527</v>
      </c>
      <c r="H156" s="1" t="s">
        <v>3322</v>
      </c>
      <c r="I156" t="str">
        <f t="shared" si="25"/>
        <v>1B</v>
      </c>
      <c r="J156" t="str">
        <f t="shared" si="26"/>
        <v>1415½</v>
      </c>
      <c r="K156" t="str">
        <f t="shared" si="27"/>
        <v xml:space="preserve">1416 </v>
      </c>
      <c r="M156" s="8" t="str">
        <f t="shared" si="24"/>
        <v>UP</v>
      </c>
      <c r="N156" t="s">
        <v>3926</v>
      </c>
    </row>
    <row r="157" spans="2:27" ht="15" customHeight="1" x14ac:dyDescent="0.25">
      <c r="B157" s="3" t="s">
        <v>3628</v>
      </c>
      <c r="C157" s="1" t="s">
        <v>532</v>
      </c>
      <c r="D157" s="2" t="s">
        <v>3926</v>
      </c>
      <c r="E157" s="1" t="s">
        <v>3928</v>
      </c>
      <c r="F157" s="2" t="s">
        <v>3324</v>
      </c>
      <c r="G157" s="1" t="s">
        <v>2089</v>
      </c>
      <c r="H157" s="1" t="s">
        <v>3322</v>
      </c>
      <c r="I157" t="str">
        <f t="shared" si="25"/>
        <v>2B</v>
      </c>
      <c r="J157" t="str">
        <f t="shared" si="26"/>
        <v xml:space="preserve">1419 </v>
      </c>
      <c r="K157" t="str">
        <f t="shared" si="27"/>
        <v>1419½</v>
      </c>
      <c r="M157" s="8" t="str">
        <f t="shared" si="24"/>
        <v>DN</v>
      </c>
      <c r="N157" t="s">
        <v>3929</v>
      </c>
      <c r="O157" t="s">
        <v>3930</v>
      </c>
      <c r="P157" t="s">
        <v>3931</v>
      </c>
      <c r="Q157" t="s">
        <v>3382</v>
      </c>
      <c r="R157" t="s">
        <v>3932</v>
      </c>
      <c r="S157" t="s">
        <v>3376</v>
      </c>
      <c r="T157" t="s">
        <v>3933</v>
      </c>
      <c r="U157" t="s">
        <v>3934</v>
      </c>
      <c r="V157" t="s">
        <v>3935</v>
      </c>
      <c r="W157" t="s">
        <v>3936</v>
      </c>
      <c r="X157" t="s">
        <v>3321</v>
      </c>
      <c r="Y157" t="s">
        <v>3937</v>
      </c>
      <c r="Z157" t="s">
        <v>3385</v>
      </c>
      <c r="AA157" t="s">
        <v>3324</v>
      </c>
    </row>
    <row r="158" spans="2:27" ht="15" customHeight="1" x14ac:dyDescent="0.25">
      <c r="B158" s="3" t="s">
        <v>3629</v>
      </c>
      <c r="C158" s="1" t="s">
        <v>3630</v>
      </c>
      <c r="D158" s="2" t="s">
        <v>3321</v>
      </c>
      <c r="E158" s="1" t="s">
        <v>3927</v>
      </c>
      <c r="F158" s="2" t="s">
        <v>3926</v>
      </c>
      <c r="G158" s="1" t="s">
        <v>538</v>
      </c>
      <c r="H158" s="1" t="s">
        <v>3322</v>
      </c>
      <c r="I158" t="str">
        <f t="shared" si="25"/>
        <v>2D</v>
      </c>
      <c r="J158" t="str">
        <f t="shared" si="26"/>
        <v>1425½</v>
      </c>
      <c r="K158" t="str">
        <f t="shared" si="27"/>
        <v xml:space="preserve">1426 </v>
      </c>
      <c r="M158" s="8" t="str">
        <f t="shared" si="24"/>
        <v>UP</v>
      </c>
      <c r="N158" t="s">
        <v>3946</v>
      </c>
      <c r="O158" t="s">
        <v>3926</v>
      </c>
    </row>
    <row r="159" spans="2:27" ht="15" customHeight="1" x14ac:dyDescent="0.25">
      <c r="B159" s="3" t="s">
        <v>3631</v>
      </c>
      <c r="C159" s="1" t="s">
        <v>2106</v>
      </c>
      <c r="D159" s="2" t="s">
        <v>3926</v>
      </c>
      <c r="E159" s="1" t="s">
        <v>3928</v>
      </c>
      <c r="F159" s="2" t="s">
        <v>3321</v>
      </c>
      <c r="G159" s="1" t="s">
        <v>3632</v>
      </c>
      <c r="H159" s="1" t="s">
        <v>3322</v>
      </c>
      <c r="I159" t="str">
        <f t="shared" si="25"/>
        <v>2D</v>
      </c>
      <c r="J159" t="str">
        <f t="shared" si="26"/>
        <v xml:space="preserve">1429 </v>
      </c>
      <c r="K159" t="str">
        <f t="shared" si="27"/>
        <v>1429½</v>
      </c>
      <c r="M159" s="8" t="str">
        <f t="shared" si="24"/>
        <v>DN</v>
      </c>
      <c r="N159" t="s">
        <v>3929</v>
      </c>
      <c r="O159" t="s">
        <v>3930</v>
      </c>
      <c r="P159" t="s">
        <v>3943</v>
      </c>
      <c r="Q159" t="s">
        <v>3944</v>
      </c>
      <c r="R159" t="s">
        <v>3326</v>
      </c>
      <c r="S159" t="s">
        <v>3940</v>
      </c>
      <c r="T159" t="s">
        <v>3941</v>
      </c>
      <c r="U159" t="s">
        <v>3942</v>
      </c>
      <c r="V159" t="s">
        <v>3376</v>
      </c>
      <c r="W159" t="s">
        <v>3933</v>
      </c>
      <c r="X159" t="s">
        <v>3934</v>
      </c>
      <c r="Y159" t="s">
        <v>3935</v>
      </c>
      <c r="Z159" t="s">
        <v>3936</v>
      </c>
      <c r="AA159" t="s">
        <v>3321</v>
      </c>
    </row>
    <row r="160" spans="2:27" ht="15" customHeight="1" x14ac:dyDescent="0.25">
      <c r="B160" s="3" t="s">
        <v>3633</v>
      </c>
      <c r="C160" s="1" t="s">
        <v>3634</v>
      </c>
      <c r="D160" s="2" t="s">
        <v>3324</v>
      </c>
      <c r="E160" s="1" t="s">
        <v>3927</v>
      </c>
      <c r="F160" s="2" t="s">
        <v>3926</v>
      </c>
      <c r="G160" s="1" t="s">
        <v>3635</v>
      </c>
      <c r="H160" s="1" t="s">
        <v>3322</v>
      </c>
      <c r="I160" t="str">
        <f t="shared" si="25"/>
        <v>2B</v>
      </c>
      <c r="J160" t="str">
        <f t="shared" si="26"/>
        <v>1433½</v>
      </c>
      <c r="K160" t="str">
        <f t="shared" si="27"/>
        <v xml:space="preserve">1434 </v>
      </c>
      <c r="M160" s="8" t="str">
        <f t="shared" si="24"/>
        <v>UP</v>
      </c>
      <c r="N160" t="s">
        <v>3946</v>
      </c>
      <c r="O160" t="s">
        <v>3926</v>
      </c>
    </row>
    <row r="161" spans="2:27" ht="15" customHeight="1" x14ac:dyDescent="0.25">
      <c r="B161" s="3" t="s">
        <v>3636</v>
      </c>
      <c r="C161" s="1" t="s">
        <v>547</v>
      </c>
      <c r="D161" s="2" t="s">
        <v>3926</v>
      </c>
      <c r="E161" s="1" t="s">
        <v>3928</v>
      </c>
      <c r="F161" s="2" t="s">
        <v>3324</v>
      </c>
      <c r="G161" s="1" t="s">
        <v>2118</v>
      </c>
      <c r="H161" s="1" t="s">
        <v>3322</v>
      </c>
      <c r="I161" t="str">
        <f t="shared" si="25"/>
        <v>1B</v>
      </c>
      <c r="J161" t="str">
        <f t="shared" si="26"/>
        <v xml:space="preserve">1438 </v>
      </c>
      <c r="K161" t="str">
        <f t="shared" si="27"/>
        <v>1438½</v>
      </c>
      <c r="M161" s="8" t="str">
        <f t="shared" si="24"/>
        <v>DN</v>
      </c>
      <c r="N161" t="s">
        <v>3929</v>
      </c>
      <c r="O161" t="s">
        <v>3930</v>
      </c>
      <c r="P161" t="s">
        <v>3382</v>
      </c>
      <c r="Q161" t="s">
        <v>3932</v>
      </c>
      <c r="R161" t="s">
        <v>3376</v>
      </c>
      <c r="S161" t="s">
        <v>3933</v>
      </c>
      <c r="T161" t="s">
        <v>3934</v>
      </c>
      <c r="U161" t="s">
        <v>3935</v>
      </c>
      <c r="V161" t="s">
        <v>3936</v>
      </c>
      <c r="W161" t="s">
        <v>3321</v>
      </c>
      <c r="X161" t="s">
        <v>3937</v>
      </c>
      <c r="Y161" t="s">
        <v>3385</v>
      </c>
      <c r="Z161" t="s">
        <v>3324</v>
      </c>
    </row>
    <row r="162" spans="2:27" ht="15" customHeight="1" x14ac:dyDescent="0.25">
      <c r="B162" s="3" t="s">
        <v>3637</v>
      </c>
      <c r="C162" s="1" t="s">
        <v>3638</v>
      </c>
      <c r="D162" s="2" t="s">
        <v>3326</v>
      </c>
      <c r="E162" s="1" t="s">
        <v>3927</v>
      </c>
      <c r="F162" s="2" t="s">
        <v>3926</v>
      </c>
      <c r="G162" s="1" t="s">
        <v>3639</v>
      </c>
      <c r="H162" s="1" t="s">
        <v>3322</v>
      </c>
      <c r="I162" t="str">
        <f t="shared" si="25"/>
        <v>2R</v>
      </c>
      <c r="J162" t="str">
        <f t="shared" si="26"/>
        <v xml:space="preserve">1441 </v>
      </c>
      <c r="K162" t="str">
        <f t="shared" si="27"/>
        <v>1441½</v>
      </c>
      <c r="M162" s="8" t="str">
        <f t="shared" si="24"/>
        <v>UP</v>
      </c>
      <c r="N162" t="s">
        <v>3946</v>
      </c>
      <c r="O162" t="s">
        <v>3926</v>
      </c>
    </row>
    <row r="163" spans="2:27" ht="15" customHeight="1" x14ac:dyDescent="0.25">
      <c r="B163" s="3" t="s">
        <v>3640</v>
      </c>
      <c r="C163" s="1" t="s">
        <v>3641</v>
      </c>
      <c r="D163" s="2" t="s">
        <v>3926</v>
      </c>
      <c r="E163" s="1" t="s">
        <v>3928</v>
      </c>
      <c r="F163" s="2" t="s">
        <v>3326</v>
      </c>
      <c r="G163" s="1" t="s">
        <v>3642</v>
      </c>
      <c r="H163" s="1" t="s">
        <v>3322</v>
      </c>
      <c r="I163" t="str">
        <f t="shared" si="25"/>
        <v>2R</v>
      </c>
      <c r="J163" t="str">
        <f t="shared" si="26"/>
        <v xml:space="preserve">1444 </v>
      </c>
      <c r="K163" t="str">
        <f t="shared" si="27"/>
        <v>1444½</v>
      </c>
      <c r="M163" s="8" t="str">
        <f t="shared" si="24"/>
        <v>DN</v>
      </c>
      <c r="N163" t="s">
        <v>3929</v>
      </c>
      <c r="O163" t="s">
        <v>3938</v>
      </c>
      <c r="P163" t="s">
        <v>1033</v>
      </c>
      <c r="Q163" t="s">
        <v>3945</v>
      </c>
      <c r="R163" t="s">
        <v>3326</v>
      </c>
    </row>
    <row r="164" spans="2:27" ht="15" customHeight="1" x14ac:dyDescent="0.25">
      <c r="B164" s="3" t="s">
        <v>3643</v>
      </c>
      <c r="C164" s="1" t="s">
        <v>3644</v>
      </c>
      <c r="D164" s="2" t="s">
        <v>3324</v>
      </c>
      <c r="E164" s="1" t="s">
        <v>3927</v>
      </c>
      <c r="F164" s="2" t="s">
        <v>3926</v>
      </c>
      <c r="G164" s="1" t="s">
        <v>2274</v>
      </c>
      <c r="H164" s="1" t="s">
        <v>3322</v>
      </c>
      <c r="I164" t="str">
        <f t="shared" si="25"/>
        <v>1B</v>
      </c>
      <c r="J164" t="str">
        <f t="shared" si="26"/>
        <v>1445½</v>
      </c>
      <c r="K164" t="str">
        <f t="shared" si="27"/>
        <v xml:space="preserve">1446 </v>
      </c>
      <c r="M164" s="8" t="str">
        <f t="shared" si="24"/>
        <v>UP</v>
      </c>
      <c r="N164" t="s">
        <v>3926</v>
      </c>
    </row>
    <row r="165" spans="2:27" ht="15" customHeight="1" x14ac:dyDescent="0.25">
      <c r="B165" s="3" t="s">
        <v>3645</v>
      </c>
      <c r="C165" s="1" t="s">
        <v>554</v>
      </c>
      <c r="D165" s="2" t="s">
        <v>3926</v>
      </c>
      <c r="E165" s="1" t="s">
        <v>3928</v>
      </c>
      <c r="F165" s="2" t="s">
        <v>3324</v>
      </c>
      <c r="G165" s="1" t="s">
        <v>3646</v>
      </c>
      <c r="H165" s="1" t="s">
        <v>3322</v>
      </c>
      <c r="I165" t="str">
        <f t="shared" si="25"/>
        <v>2B</v>
      </c>
      <c r="J165" t="str">
        <f t="shared" si="26"/>
        <v xml:space="preserve">1449 </v>
      </c>
      <c r="K165" t="str">
        <f t="shared" si="27"/>
        <v>1449½</v>
      </c>
      <c r="M165" s="8" t="str">
        <f t="shared" si="24"/>
        <v>DN</v>
      </c>
      <c r="N165" t="s">
        <v>3929</v>
      </c>
      <c r="O165" t="s">
        <v>3930</v>
      </c>
      <c r="P165" t="s">
        <v>3931</v>
      </c>
      <c r="Q165" t="s">
        <v>3382</v>
      </c>
      <c r="R165" t="s">
        <v>3932</v>
      </c>
      <c r="S165" t="s">
        <v>3376</v>
      </c>
      <c r="T165" t="s">
        <v>3933</v>
      </c>
      <c r="U165" t="s">
        <v>3934</v>
      </c>
      <c r="V165" t="s">
        <v>3935</v>
      </c>
      <c r="W165" t="s">
        <v>3936</v>
      </c>
      <c r="X165" t="s">
        <v>3321</v>
      </c>
      <c r="Y165" t="s">
        <v>3937</v>
      </c>
      <c r="Z165" t="s">
        <v>3385</v>
      </c>
      <c r="AA165" t="s">
        <v>3324</v>
      </c>
    </row>
    <row r="166" spans="2:27" ht="15" customHeight="1" x14ac:dyDescent="0.25">
      <c r="B166" s="3" t="s">
        <v>3647</v>
      </c>
      <c r="C166" s="1" t="s">
        <v>3648</v>
      </c>
      <c r="D166" s="2" t="s">
        <v>3321</v>
      </c>
      <c r="E166" s="1" t="s">
        <v>3927</v>
      </c>
      <c r="F166" s="2" t="s">
        <v>3926</v>
      </c>
      <c r="G166" s="1" t="s">
        <v>560</v>
      </c>
      <c r="H166" s="1" t="s">
        <v>3322</v>
      </c>
      <c r="I166" t="str">
        <f t="shared" si="25"/>
        <v>2D</v>
      </c>
      <c r="J166" t="str">
        <f t="shared" si="26"/>
        <v>1455½</v>
      </c>
      <c r="K166" t="str">
        <f t="shared" si="27"/>
        <v xml:space="preserve">1456 </v>
      </c>
      <c r="M166" s="8" t="str">
        <f t="shared" si="24"/>
        <v>UP</v>
      </c>
      <c r="N166" t="s">
        <v>3946</v>
      </c>
      <c r="O166" t="s">
        <v>3926</v>
      </c>
    </row>
    <row r="167" spans="2:27" ht="15" customHeight="1" x14ac:dyDescent="0.25">
      <c r="B167" s="3" t="s">
        <v>3649</v>
      </c>
      <c r="C167" s="1" t="s">
        <v>565</v>
      </c>
      <c r="D167" s="2" t="s">
        <v>3926</v>
      </c>
      <c r="E167" s="1" t="s">
        <v>3928</v>
      </c>
      <c r="F167" s="2" t="s">
        <v>3321</v>
      </c>
      <c r="G167" s="1" t="s">
        <v>2144</v>
      </c>
      <c r="H167" s="1" t="s">
        <v>3322</v>
      </c>
      <c r="I167" t="str">
        <f t="shared" si="25"/>
        <v>2D</v>
      </c>
      <c r="J167" t="str">
        <f t="shared" si="26"/>
        <v xml:space="preserve">1459 </v>
      </c>
      <c r="K167" t="str">
        <f t="shared" si="27"/>
        <v>1459½</v>
      </c>
      <c r="M167" s="8" t="str">
        <f t="shared" si="24"/>
        <v>DN</v>
      </c>
      <c r="N167" t="s">
        <v>3929</v>
      </c>
      <c r="O167" t="s">
        <v>3930</v>
      </c>
      <c r="P167" t="s">
        <v>3943</v>
      </c>
      <c r="Q167" t="s">
        <v>3944</v>
      </c>
      <c r="R167" t="s">
        <v>3326</v>
      </c>
      <c r="S167" t="s">
        <v>3940</v>
      </c>
      <c r="T167" t="s">
        <v>3941</v>
      </c>
      <c r="U167" t="s">
        <v>3942</v>
      </c>
      <c r="V167" t="s">
        <v>3376</v>
      </c>
      <c r="W167" t="s">
        <v>3933</v>
      </c>
      <c r="X167" t="s">
        <v>3934</v>
      </c>
      <c r="Y167" t="s">
        <v>3935</v>
      </c>
      <c r="Z167" t="s">
        <v>3936</v>
      </c>
      <c r="AA167" t="s">
        <v>3321</v>
      </c>
    </row>
    <row r="168" spans="2:27" ht="15" customHeight="1" x14ac:dyDescent="0.25">
      <c r="B168" s="3" t="s">
        <v>3650</v>
      </c>
      <c r="C168" s="1" t="s">
        <v>3651</v>
      </c>
      <c r="D168" s="2" t="s">
        <v>3324</v>
      </c>
      <c r="E168" s="1" t="s">
        <v>3927</v>
      </c>
      <c r="F168" s="2" t="s">
        <v>3926</v>
      </c>
      <c r="G168" s="1" t="s">
        <v>3652</v>
      </c>
      <c r="H168" s="1" t="s">
        <v>3322</v>
      </c>
      <c r="I168" t="str">
        <f t="shared" ref="I168:I193" si="28">LEFT(B168,2)</f>
        <v>2B</v>
      </c>
      <c r="J168" t="str">
        <f t="shared" ref="J168:J193" si="29">LEFT(C168,5)</f>
        <v>1503½</v>
      </c>
      <c r="K168" t="str">
        <f t="shared" ref="K168:K193" si="30">LEFT(G168,5)</f>
        <v xml:space="preserve">1504 </v>
      </c>
      <c r="M168" s="8" t="str">
        <f t="shared" si="24"/>
        <v>UP</v>
      </c>
      <c r="N168" t="s">
        <v>3946</v>
      </c>
      <c r="O168" t="s">
        <v>3926</v>
      </c>
    </row>
    <row r="169" spans="2:27" ht="15" customHeight="1" x14ac:dyDescent="0.25">
      <c r="B169" s="3" t="s">
        <v>3653</v>
      </c>
      <c r="C169" s="1" t="s">
        <v>3654</v>
      </c>
      <c r="D169" s="2" t="s">
        <v>3926</v>
      </c>
      <c r="E169" s="1" t="s">
        <v>3928</v>
      </c>
      <c r="F169" s="2" t="s">
        <v>3324</v>
      </c>
      <c r="G169" s="1" t="s">
        <v>2158</v>
      </c>
      <c r="H169" s="1" t="s">
        <v>3322</v>
      </c>
      <c r="I169" t="str">
        <f t="shared" si="28"/>
        <v>1B</v>
      </c>
      <c r="J169" t="str">
        <f t="shared" si="29"/>
        <v xml:space="preserve">1508 </v>
      </c>
      <c r="K169" t="str">
        <f t="shared" si="30"/>
        <v>1508½</v>
      </c>
      <c r="M169" s="8" t="str">
        <f t="shared" si="24"/>
        <v>DN</v>
      </c>
      <c r="N169" t="s">
        <v>3929</v>
      </c>
      <c r="O169" t="s">
        <v>3930</v>
      </c>
      <c r="P169" t="s">
        <v>3382</v>
      </c>
      <c r="Q169" t="s">
        <v>3932</v>
      </c>
      <c r="R169" t="s">
        <v>3376</v>
      </c>
      <c r="S169" t="s">
        <v>3933</v>
      </c>
      <c r="T169" t="s">
        <v>3934</v>
      </c>
      <c r="U169" t="s">
        <v>3935</v>
      </c>
      <c r="V169" t="s">
        <v>3936</v>
      </c>
      <c r="W169" t="s">
        <v>3321</v>
      </c>
      <c r="X169" t="s">
        <v>3937</v>
      </c>
      <c r="Y169" t="s">
        <v>3385</v>
      </c>
      <c r="Z169" t="s">
        <v>3324</v>
      </c>
    </row>
    <row r="170" spans="2:27" ht="15" customHeight="1" x14ac:dyDescent="0.25">
      <c r="B170" s="3" t="s">
        <v>3655</v>
      </c>
      <c r="C170" s="1" t="s">
        <v>3656</v>
      </c>
      <c r="D170" s="2" t="s">
        <v>3326</v>
      </c>
      <c r="E170" s="1" t="s">
        <v>3927</v>
      </c>
      <c r="F170" s="2" t="s">
        <v>3926</v>
      </c>
      <c r="G170" s="1" t="s">
        <v>3657</v>
      </c>
      <c r="H170" s="1" t="s">
        <v>3322</v>
      </c>
      <c r="I170" t="str">
        <f t="shared" si="28"/>
        <v>2R</v>
      </c>
      <c r="J170" t="str">
        <f t="shared" si="29"/>
        <v xml:space="preserve">1511 </v>
      </c>
      <c r="K170" t="str">
        <f t="shared" si="30"/>
        <v>1511½</v>
      </c>
      <c r="M170" s="8" t="str">
        <f t="shared" si="24"/>
        <v>UP</v>
      </c>
      <c r="N170" t="s">
        <v>3946</v>
      </c>
      <c r="O170" t="s">
        <v>3926</v>
      </c>
    </row>
    <row r="171" spans="2:27" ht="15" customHeight="1" x14ac:dyDescent="0.25">
      <c r="B171" s="3" t="s">
        <v>3658</v>
      </c>
      <c r="C171" s="1" t="s">
        <v>572</v>
      </c>
      <c r="D171" s="2" t="s">
        <v>3926</v>
      </c>
      <c r="E171" s="1" t="s">
        <v>3928</v>
      </c>
      <c r="F171" s="2" t="s">
        <v>3326</v>
      </c>
      <c r="G171" s="1" t="s">
        <v>3659</v>
      </c>
      <c r="H171" s="1" t="s">
        <v>3322</v>
      </c>
      <c r="I171" t="str">
        <f t="shared" si="28"/>
        <v>2R</v>
      </c>
      <c r="J171" t="str">
        <f t="shared" si="29"/>
        <v xml:space="preserve">1514 </v>
      </c>
      <c r="K171" t="str">
        <f t="shared" si="30"/>
        <v>1514½</v>
      </c>
      <c r="M171" s="8" t="str">
        <f t="shared" si="24"/>
        <v>DN</v>
      </c>
      <c r="N171" t="s">
        <v>3929</v>
      </c>
      <c r="O171" t="s">
        <v>3938</v>
      </c>
      <c r="P171" t="s">
        <v>1033</v>
      </c>
      <c r="Q171" t="s">
        <v>3945</v>
      </c>
      <c r="R171" t="s">
        <v>3326</v>
      </c>
    </row>
    <row r="172" spans="2:27" ht="15" customHeight="1" x14ac:dyDescent="0.25">
      <c r="B172" s="3" t="s">
        <v>3660</v>
      </c>
      <c r="C172" s="1" t="s">
        <v>3661</v>
      </c>
      <c r="D172" s="2" t="s">
        <v>3324</v>
      </c>
      <c r="E172" s="1" t="s">
        <v>3927</v>
      </c>
      <c r="F172" s="2" t="s">
        <v>3926</v>
      </c>
      <c r="G172" s="1" t="s">
        <v>575</v>
      </c>
      <c r="H172" s="1" t="s">
        <v>3322</v>
      </c>
      <c r="I172" t="str">
        <f t="shared" si="28"/>
        <v>1B</v>
      </c>
      <c r="J172" t="str">
        <f t="shared" si="29"/>
        <v>1515½</v>
      </c>
      <c r="K172" t="str">
        <f t="shared" si="30"/>
        <v xml:space="preserve">1516 </v>
      </c>
      <c r="M172" s="8" t="str">
        <f t="shared" si="24"/>
        <v>UP</v>
      </c>
      <c r="N172" t="s">
        <v>3926</v>
      </c>
    </row>
    <row r="173" spans="2:27" ht="15" customHeight="1" x14ac:dyDescent="0.25">
      <c r="B173" s="3" t="s">
        <v>3662</v>
      </c>
      <c r="C173" s="1" t="s">
        <v>580</v>
      </c>
      <c r="D173" s="2" t="s">
        <v>3926</v>
      </c>
      <c r="E173" s="1" t="s">
        <v>3928</v>
      </c>
      <c r="F173" s="2" t="s">
        <v>3324</v>
      </c>
      <c r="G173" s="1" t="s">
        <v>2169</v>
      </c>
      <c r="H173" s="1" t="s">
        <v>3322</v>
      </c>
      <c r="I173" t="str">
        <f t="shared" si="28"/>
        <v>2B</v>
      </c>
      <c r="J173" t="str">
        <f t="shared" si="29"/>
        <v xml:space="preserve">1519 </v>
      </c>
      <c r="K173" t="str">
        <f t="shared" si="30"/>
        <v>1519½</v>
      </c>
      <c r="M173" s="8" t="str">
        <f t="shared" si="24"/>
        <v>DN</v>
      </c>
      <c r="N173" t="s">
        <v>3929</v>
      </c>
      <c r="O173" t="s">
        <v>3930</v>
      </c>
      <c r="P173" t="s">
        <v>3931</v>
      </c>
      <c r="Q173" t="s">
        <v>3382</v>
      </c>
      <c r="R173" t="s">
        <v>3932</v>
      </c>
      <c r="S173" t="s">
        <v>3376</v>
      </c>
      <c r="T173" t="s">
        <v>3933</v>
      </c>
      <c r="U173" t="s">
        <v>3934</v>
      </c>
      <c r="V173" t="s">
        <v>3935</v>
      </c>
      <c r="W173" t="s">
        <v>3936</v>
      </c>
      <c r="X173" t="s">
        <v>3321</v>
      </c>
      <c r="Y173" t="s">
        <v>3937</v>
      </c>
      <c r="Z173" t="s">
        <v>3385</v>
      </c>
      <c r="AA173" t="s">
        <v>3324</v>
      </c>
    </row>
    <row r="174" spans="2:27" ht="15" customHeight="1" x14ac:dyDescent="0.25">
      <c r="B174" s="3" t="s">
        <v>3663</v>
      </c>
      <c r="C174" s="1" t="s">
        <v>3664</v>
      </c>
      <c r="D174" s="2" t="s">
        <v>3321</v>
      </c>
      <c r="E174" s="1" t="s">
        <v>3927</v>
      </c>
      <c r="F174" s="2" t="s">
        <v>3926</v>
      </c>
      <c r="G174" s="1" t="s">
        <v>586</v>
      </c>
      <c r="H174" s="1" t="s">
        <v>3322</v>
      </c>
      <c r="I174" t="str">
        <f t="shared" si="28"/>
        <v>2D</v>
      </c>
      <c r="J174" t="str">
        <f t="shared" si="29"/>
        <v>1525½</v>
      </c>
      <c r="K174" t="str">
        <f t="shared" si="30"/>
        <v xml:space="preserve">1526 </v>
      </c>
      <c r="M174" s="8" t="str">
        <f t="shared" si="24"/>
        <v>UP</v>
      </c>
      <c r="N174" t="s">
        <v>3946</v>
      </c>
      <c r="O174" t="s">
        <v>3926</v>
      </c>
    </row>
    <row r="175" spans="2:27" ht="15" customHeight="1" x14ac:dyDescent="0.25">
      <c r="B175" s="3" t="s">
        <v>3665</v>
      </c>
      <c r="C175" s="1" t="s">
        <v>2184</v>
      </c>
      <c r="D175" s="2" t="s">
        <v>3926</v>
      </c>
      <c r="E175" s="1" t="s">
        <v>3928</v>
      </c>
      <c r="F175" s="2" t="s">
        <v>3321</v>
      </c>
      <c r="G175" s="1" t="s">
        <v>3666</v>
      </c>
      <c r="H175" s="1" t="s">
        <v>3322</v>
      </c>
      <c r="I175" t="str">
        <f t="shared" si="28"/>
        <v>2D</v>
      </c>
      <c r="J175" t="str">
        <f t="shared" si="29"/>
        <v xml:space="preserve">1529 </v>
      </c>
      <c r="K175" t="str">
        <f t="shared" si="30"/>
        <v>1529½</v>
      </c>
      <c r="M175" s="8" t="str">
        <f t="shared" si="24"/>
        <v>DN</v>
      </c>
      <c r="N175" t="s">
        <v>3929</v>
      </c>
      <c r="O175" t="s">
        <v>3930</v>
      </c>
      <c r="P175" t="s">
        <v>3943</v>
      </c>
      <c r="Q175" t="s">
        <v>3944</v>
      </c>
      <c r="R175" t="s">
        <v>3326</v>
      </c>
      <c r="S175" t="s">
        <v>3940</v>
      </c>
      <c r="T175" t="s">
        <v>3941</v>
      </c>
      <c r="U175" t="s">
        <v>3942</v>
      </c>
      <c r="V175" t="s">
        <v>3376</v>
      </c>
      <c r="W175" t="s">
        <v>3933</v>
      </c>
      <c r="X175" t="s">
        <v>3934</v>
      </c>
      <c r="Y175" t="s">
        <v>3935</v>
      </c>
      <c r="Z175" t="s">
        <v>3936</v>
      </c>
      <c r="AA175" t="s">
        <v>3321</v>
      </c>
    </row>
    <row r="176" spans="2:27" ht="15" customHeight="1" x14ac:dyDescent="0.25">
      <c r="B176" s="3" t="s">
        <v>3667</v>
      </c>
      <c r="C176" s="1" t="s">
        <v>592</v>
      </c>
      <c r="D176" s="2" t="s">
        <v>3926</v>
      </c>
      <c r="E176" s="1" t="s">
        <v>3928</v>
      </c>
      <c r="F176" s="2" t="s">
        <v>3668</v>
      </c>
      <c r="G176" s="1" t="s">
        <v>3669</v>
      </c>
      <c r="H176" s="1" t="s">
        <v>3322</v>
      </c>
      <c r="I176" t="str">
        <f t="shared" si="28"/>
        <v>1B</v>
      </c>
      <c r="J176" t="str">
        <f t="shared" si="29"/>
        <v xml:space="preserve">1533 </v>
      </c>
      <c r="K176" t="str">
        <f t="shared" si="30"/>
        <v>1533½</v>
      </c>
      <c r="M176" s="8" t="str">
        <f t="shared" si="24"/>
        <v>DN</v>
      </c>
      <c r="N176" t="s">
        <v>3929</v>
      </c>
      <c r="O176" t="s">
        <v>3930</v>
      </c>
      <c r="P176" t="s">
        <v>3382</v>
      </c>
      <c r="Q176" t="s">
        <v>3932</v>
      </c>
      <c r="R176" t="s">
        <v>3376</v>
      </c>
      <c r="S176" t="s">
        <v>3933</v>
      </c>
      <c r="T176" t="s">
        <v>3934</v>
      </c>
    </row>
    <row r="177" spans="2:27" ht="15" customHeight="1" x14ac:dyDescent="0.25">
      <c r="B177" s="3" t="s">
        <v>3670</v>
      </c>
      <c r="C177" s="1" t="s">
        <v>3671</v>
      </c>
      <c r="D177" s="2" t="s">
        <v>3324</v>
      </c>
      <c r="E177" s="1" t="s">
        <v>3927</v>
      </c>
      <c r="F177" s="2" t="s">
        <v>3926</v>
      </c>
      <c r="G177" s="1" t="s">
        <v>3672</v>
      </c>
      <c r="H177" s="1" t="s">
        <v>3322</v>
      </c>
      <c r="I177" t="str">
        <f t="shared" si="28"/>
        <v>2B</v>
      </c>
      <c r="J177" t="str">
        <f t="shared" si="29"/>
        <v>1533½</v>
      </c>
      <c r="K177" t="str">
        <f t="shared" si="30"/>
        <v xml:space="preserve">1534 </v>
      </c>
      <c r="M177" s="8" t="str">
        <f t="shared" si="24"/>
        <v>UP</v>
      </c>
      <c r="N177" t="s">
        <v>3946</v>
      </c>
      <c r="O177" t="s">
        <v>3926</v>
      </c>
    </row>
    <row r="178" spans="2:27" ht="15" customHeight="1" x14ac:dyDescent="0.25">
      <c r="B178" s="3" t="s">
        <v>3673</v>
      </c>
      <c r="C178" s="1" t="s">
        <v>595</v>
      </c>
      <c r="D178" s="2" t="s">
        <v>3926</v>
      </c>
      <c r="E178" s="1" t="s">
        <v>3928</v>
      </c>
      <c r="F178" s="2" t="s">
        <v>3324</v>
      </c>
      <c r="G178" s="1" t="s">
        <v>2196</v>
      </c>
      <c r="H178" s="1" t="s">
        <v>3322</v>
      </c>
      <c r="I178" t="str">
        <f t="shared" si="28"/>
        <v>1B</v>
      </c>
      <c r="J178" t="str">
        <f t="shared" si="29"/>
        <v xml:space="preserve">1538 </v>
      </c>
      <c r="K178" t="str">
        <f t="shared" si="30"/>
        <v>1538½</v>
      </c>
      <c r="M178" s="8" t="str">
        <f t="shared" si="24"/>
        <v>DN</v>
      </c>
      <c r="N178" t="s">
        <v>3929</v>
      </c>
      <c r="O178" t="s">
        <v>3930</v>
      </c>
      <c r="P178" t="s">
        <v>3382</v>
      </c>
      <c r="Q178" t="s">
        <v>3932</v>
      </c>
      <c r="R178" t="s">
        <v>3933</v>
      </c>
      <c r="S178" t="s">
        <v>3934</v>
      </c>
      <c r="T178" t="s">
        <v>3935</v>
      </c>
      <c r="U178" t="s">
        <v>3936</v>
      </c>
      <c r="V178" t="s">
        <v>3321</v>
      </c>
      <c r="W178" t="s">
        <v>3937</v>
      </c>
      <c r="X178" t="s">
        <v>3385</v>
      </c>
      <c r="Y178" t="s">
        <v>3324</v>
      </c>
    </row>
    <row r="179" spans="2:27" ht="15" customHeight="1" x14ac:dyDescent="0.25">
      <c r="B179" s="3" t="s">
        <v>3674</v>
      </c>
      <c r="C179" s="1" t="s">
        <v>3675</v>
      </c>
      <c r="D179" s="2" t="s">
        <v>3326</v>
      </c>
      <c r="E179" s="1" t="s">
        <v>3927</v>
      </c>
      <c r="F179" s="2" t="s">
        <v>3926</v>
      </c>
      <c r="G179" s="1" t="s">
        <v>3676</v>
      </c>
      <c r="H179" s="1" t="s">
        <v>3322</v>
      </c>
      <c r="I179" t="str">
        <f t="shared" si="28"/>
        <v>2R</v>
      </c>
      <c r="J179" t="str">
        <f t="shared" si="29"/>
        <v xml:space="preserve">1541 </v>
      </c>
      <c r="K179" t="str">
        <f t="shared" si="30"/>
        <v>1541½</v>
      </c>
      <c r="M179" s="8" t="str">
        <f t="shared" si="24"/>
        <v>UP</v>
      </c>
      <c r="N179" t="s">
        <v>3946</v>
      </c>
      <c r="O179" t="s">
        <v>3926</v>
      </c>
    </row>
    <row r="180" spans="2:27" ht="15" customHeight="1" x14ac:dyDescent="0.25">
      <c r="B180" s="3" t="s">
        <v>3677</v>
      </c>
      <c r="C180" s="1" t="s">
        <v>3678</v>
      </c>
      <c r="D180" s="2" t="s">
        <v>3926</v>
      </c>
      <c r="E180" s="1" t="s">
        <v>3928</v>
      </c>
      <c r="F180" s="2" t="s">
        <v>3326</v>
      </c>
      <c r="G180" s="1" t="s">
        <v>3679</v>
      </c>
      <c r="H180" s="1" t="s">
        <v>3322</v>
      </c>
      <c r="I180" t="str">
        <f t="shared" si="28"/>
        <v>2R</v>
      </c>
      <c r="J180" t="str">
        <f t="shared" si="29"/>
        <v xml:space="preserve">1544 </v>
      </c>
      <c r="K180" t="str">
        <f t="shared" si="30"/>
        <v>1544½</v>
      </c>
      <c r="M180" s="8" t="str">
        <f t="shared" si="24"/>
        <v>DN</v>
      </c>
      <c r="N180" t="s">
        <v>3929</v>
      </c>
      <c r="O180" t="s">
        <v>3938</v>
      </c>
      <c r="P180" t="s">
        <v>1033</v>
      </c>
      <c r="Q180" t="s">
        <v>3945</v>
      </c>
      <c r="R180" t="s">
        <v>3326</v>
      </c>
    </row>
    <row r="181" spans="2:27" ht="15" customHeight="1" x14ac:dyDescent="0.25">
      <c r="B181" s="3" t="s">
        <v>3680</v>
      </c>
      <c r="C181" s="1" t="s">
        <v>3681</v>
      </c>
      <c r="D181" s="2" t="s">
        <v>3324</v>
      </c>
      <c r="E181" s="1" t="s">
        <v>3927</v>
      </c>
      <c r="F181" s="2" t="s">
        <v>3926</v>
      </c>
      <c r="G181" s="1" t="s">
        <v>2273</v>
      </c>
      <c r="H181" s="1" t="s">
        <v>3322</v>
      </c>
      <c r="I181" t="str">
        <f t="shared" si="28"/>
        <v>1B</v>
      </c>
      <c r="J181" t="str">
        <f t="shared" si="29"/>
        <v>1545½</v>
      </c>
      <c r="K181" t="str">
        <f t="shared" si="30"/>
        <v xml:space="preserve">1546 </v>
      </c>
      <c r="M181" s="8" t="str">
        <f t="shared" si="24"/>
        <v>UP</v>
      </c>
      <c r="N181" t="s">
        <v>3926</v>
      </c>
    </row>
    <row r="182" spans="2:27" ht="15" customHeight="1" x14ac:dyDescent="0.25">
      <c r="B182" s="3" t="s">
        <v>3682</v>
      </c>
      <c r="C182" s="1" t="s">
        <v>602</v>
      </c>
      <c r="D182" s="2" t="s">
        <v>3926</v>
      </c>
      <c r="E182" s="1" t="s">
        <v>3928</v>
      </c>
      <c r="F182" s="2" t="s">
        <v>3324</v>
      </c>
      <c r="G182" s="1" t="s">
        <v>3683</v>
      </c>
      <c r="H182" s="1" t="s">
        <v>3322</v>
      </c>
      <c r="I182" t="str">
        <f t="shared" si="28"/>
        <v>2B</v>
      </c>
      <c r="J182" t="str">
        <f t="shared" si="29"/>
        <v xml:space="preserve">1549 </v>
      </c>
      <c r="K182" t="str">
        <f t="shared" si="30"/>
        <v>1549½</v>
      </c>
      <c r="M182" s="8" t="str">
        <f t="shared" si="24"/>
        <v>DN</v>
      </c>
      <c r="N182" t="s">
        <v>3929</v>
      </c>
      <c r="O182" t="s">
        <v>3930</v>
      </c>
      <c r="P182" t="s">
        <v>3931</v>
      </c>
      <c r="Q182" t="s">
        <v>3382</v>
      </c>
      <c r="R182" t="s">
        <v>3932</v>
      </c>
      <c r="S182" t="s">
        <v>3376</v>
      </c>
      <c r="T182" t="s">
        <v>3933</v>
      </c>
      <c r="U182" t="s">
        <v>3934</v>
      </c>
      <c r="V182" t="s">
        <v>3935</v>
      </c>
      <c r="W182" t="s">
        <v>3936</v>
      </c>
      <c r="X182" t="s">
        <v>3321</v>
      </c>
      <c r="Y182" t="s">
        <v>3937</v>
      </c>
      <c r="Z182" t="s">
        <v>3385</v>
      </c>
      <c r="AA182" t="s">
        <v>3324</v>
      </c>
    </row>
    <row r="183" spans="2:27" ht="15" customHeight="1" x14ac:dyDescent="0.25">
      <c r="B183" s="3" t="s">
        <v>3684</v>
      </c>
      <c r="C183" s="1" t="s">
        <v>3685</v>
      </c>
      <c r="D183" s="2" t="s">
        <v>3321</v>
      </c>
      <c r="E183" s="1" t="s">
        <v>3927</v>
      </c>
      <c r="F183" s="2" t="s">
        <v>3926</v>
      </c>
      <c r="G183" s="1" t="s">
        <v>608</v>
      </c>
      <c r="H183" s="1" t="s">
        <v>3322</v>
      </c>
      <c r="I183" t="str">
        <f t="shared" si="28"/>
        <v>2D</v>
      </c>
      <c r="J183" t="str">
        <f t="shared" si="29"/>
        <v>1555½</v>
      </c>
      <c r="K183" t="str">
        <f t="shared" si="30"/>
        <v xml:space="preserve">1556 </v>
      </c>
      <c r="M183" s="8" t="str">
        <f t="shared" si="24"/>
        <v>UP</v>
      </c>
      <c r="N183" t="s">
        <v>3946</v>
      </c>
      <c r="O183" t="s">
        <v>3926</v>
      </c>
    </row>
    <row r="184" spans="2:27" ht="15" customHeight="1" x14ac:dyDescent="0.25">
      <c r="B184" s="3" t="s">
        <v>3686</v>
      </c>
      <c r="C184" s="1" t="s">
        <v>613</v>
      </c>
      <c r="D184" s="2" t="s">
        <v>3926</v>
      </c>
      <c r="E184" s="1" t="s">
        <v>3928</v>
      </c>
      <c r="F184" s="2" t="s">
        <v>3376</v>
      </c>
      <c r="G184" s="1" t="s">
        <v>3687</v>
      </c>
      <c r="H184" s="1" t="s">
        <v>3322</v>
      </c>
      <c r="I184" t="str">
        <f t="shared" si="28"/>
        <v>2D</v>
      </c>
      <c r="J184" t="str">
        <f t="shared" si="29"/>
        <v xml:space="preserve">1559 </v>
      </c>
      <c r="K184" t="str">
        <f t="shared" si="30"/>
        <v>1559½</v>
      </c>
      <c r="M184" s="8" t="str">
        <f t="shared" si="24"/>
        <v>DN</v>
      </c>
      <c r="N184" t="s">
        <v>3929</v>
      </c>
      <c r="O184" t="s">
        <v>3930</v>
      </c>
      <c r="P184" t="s">
        <v>3943</v>
      </c>
      <c r="Q184" t="s">
        <v>3944</v>
      </c>
      <c r="R184" t="s">
        <v>3326</v>
      </c>
      <c r="S184" t="s">
        <v>3940</v>
      </c>
      <c r="T184" t="s">
        <v>3941</v>
      </c>
      <c r="U184" t="s">
        <v>3942</v>
      </c>
      <c r="V184" t="s">
        <v>3376</v>
      </c>
    </row>
    <row r="185" spans="2:27" ht="15" customHeight="1" x14ac:dyDescent="0.25">
      <c r="B185" s="3" t="s">
        <v>3688</v>
      </c>
      <c r="C185" s="1" t="s">
        <v>3689</v>
      </c>
      <c r="D185" s="2" t="s">
        <v>3324</v>
      </c>
      <c r="E185" s="1" t="s">
        <v>3927</v>
      </c>
      <c r="F185" s="2" t="s">
        <v>3926</v>
      </c>
      <c r="G185" s="1" t="s">
        <v>3690</v>
      </c>
      <c r="H185" s="1" t="s">
        <v>3322</v>
      </c>
      <c r="I185" t="str">
        <f t="shared" si="28"/>
        <v>2B</v>
      </c>
      <c r="J185" t="str">
        <f t="shared" si="29"/>
        <v>1603½</v>
      </c>
      <c r="K185" t="str">
        <f t="shared" si="30"/>
        <v xml:space="preserve">1604 </v>
      </c>
      <c r="M185" s="8" t="str">
        <f t="shared" si="24"/>
        <v>UP</v>
      </c>
      <c r="N185" t="s">
        <v>3946</v>
      </c>
      <c r="O185" t="s">
        <v>3926</v>
      </c>
    </row>
    <row r="186" spans="2:27" ht="15" customHeight="1" x14ac:dyDescent="0.25">
      <c r="B186" s="3" t="s">
        <v>3691</v>
      </c>
      <c r="C186" s="1" t="s">
        <v>3690</v>
      </c>
      <c r="D186" s="2" t="s">
        <v>3926</v>
      </c>
      <c r="E186" s="1" t="s">
        <v>3928</v>
      </c>
      <c r="F186" s="2" t="s">
        <v>3326</v>
      </c>
      <c r="G186" s="1" t="s">
        <v>3692</v>
      </c>
      <c r="H186" s="1" t="s">
        <v>3322</v>
      </c>
      <c r="I186" t="str">
        <f t="shared" si="28"/>
        <v>2R</v>
      </c>
      <c r="J186" t="str">
        <f t="shared" si="29"/>
        <v xml:space="preserve">1604 </v>
      </c>
      <c r="K186" t="str">
        <f t="shared" si="30"/>
        <v>1604½</v>
      </c>
      <c r="M186" s="8" t="str">
        <f t="shared" si="24"/>
        <v>DN</v>
      </c>
      <c r="N186" t="s">
        <v>3929</v>
      </c>
      <c r="O186" t="s">
        <v>3938</v>
      </c>
      <c r="P186" t="s">
        <v>1033</v>
      </c>
      <c r="Q186" t="s">
        <v>3945</v>
      </c>
      <c r="R186" t="s">
        <v>3326</v>
      </c>
    </row>
    <row r="187" spans="2:27" ht="15" customHeight="1" x14ac:dyDescent="0.25">
      <c r="B187" s="3" t="s">
        <v>3693</v>
      </c>
      <c r="C187" s="1" t="s">
        <v>2234</v>
      </c>
      <c r="D187" s="2" t="s">
        <v>3926</v>
      </c>
      <c r="E187" s="1" t="s">
        <v>3928</v>
      </c>
      <c r="F187" s="2" t="s">
        <v>3324</v>
      </c>
      <c r="G187" s="1" t="s">
        <v>2236</v>
      </c>
      <c r="H187" s="1" t="s">
        <v>3322</v>
      </c>
      <c r="I187" t="str">
        <f t="shared" si="28"/>
        <v>1B</v>
      </c>
      <c r="J187" t="str">
        <f t="shared" si="29"/>
        <v xml:space="preserve">1608 </v>
      </c>
      <c r="K187" t="str">
        <f t="shared" si="30"/>
        <v>1608½</v>
      </c>
      <c r="M187" s="8" t="str">
        <f t="shared" si="24"/>
        <v>DN</v>
      </c>
      <c r="N187" t="s">
        <v>3929</v>
      </c>
      <c r="O187" t="s">
        <v>3930</v>
      </c>
      <c r="P187" t="s">
        <v>3932</v>
      </c>
      <c r="Q187" t="s">
        <v>3376</v>
      </c>
      <c r="R187" t="s">
        <v>3933</v>
      </c>
      <c r="S187" t="s">
        <v>3934</v>
      </c>
      <c r="T187" t="s">
        <v>3935</v>
      </c>
      <c r="U187" t="s">
        <v>3936</v>
      </c>
      <c r="V187" t="s">
        <v>3321</v>
      </c>
      <c r="W187" t="s">
        <v>3937</v>
      </c>
      <c r="X187" t="s">
        <v>3385</v>
      </c>
      <c r="Y187" t="s">
        <v>3324</v>
      </c>
    </row>
    <row r="188" spans="2:27" ht="15" customHeight="1" x14ac:dyDescent="0.25">
      <c r="B188" s="3" t="s">
        <v>3694</v>
      </c>
      <c r="C188" s="1" t="s">
        <v>2243</v>
      </c>
      <c r="D188" s="2" t="s">
        <v>3326</v>
      </c>
      <c r="E188" s="1" t="s">
        <v>3927</v>
      </c>
      <c r="F188" s="2" t="s">
        <v>3926</v>
      </c>
      <c r="G188" s="1" t="s">
        <v>3695</v>
      </c>
      <c r="H188" s="1" t="s">
        <v>3322</v>
      </c>
      <c r="I188" t="str">
        <f t="shared" si="28"/>
        <v>2R</v>
      </c>
      <c r="J188" t="str">
        <f t="shared" si="29"/>
        <v xml:space="preserve">1611 </v>
      </c>
      <c r="K188" t="str">
        <f t="shared" si="30"/>
        <v>1611½</v>
      </c>
      <c r="M188" s="8" t="str">
        <f t="shared" ref="M188:M251" si="31">E188</f>
        <v>UP</v>
      </c>
      <c r="N188" t="s">
        <v>3946</v>
      </c>
      <c r="O188" t="s">
        <v>3926</v>
      </c>
    </row>
    <row r="189" spans="2:27" ht="15" customHeight="1" x14ac:dyDescent="0.25">
      <c r="B189" s="3" t="s">
        <v>3696</v>
      </c>
      <c r="C189" s="1" t="s">
        <v>2251</v>
      </c>
      <c r="D189" s="2" t="s">
        <v>3324</v>
      </c>
      <c r="E189" s="1" t="s">
        <v>3927</v>
      </c>
      <c r="F189" s="2" t="s">
        <v>3926</v>
      </c>
      <c r="G189" s="1" t="s">
        <v>624</v>
      </c>
      <c r="H189" s="1" t="s">
        <v>3322</v>
      </c>
      <c r="I189" t="str">
        <f t="shared" si="28"/>
        <v>1B</v>
      </c>
      <c r="J189" t="str">
        <f t="shared" si="29"/>
        <v>1616½</v>
      </c>
      <c r="K189" t="str">
        <f t="shared" si="30"/>
        <v xml:space="preserve">1617 </v>
      </c>
      <c r="M189" s="8" t="str">
        <f t="shared" si="31"/>
        <v>UP</v>
      </c>
      <c r="N189" t="s">
        <v>3926</v>
      </c>
    </row>
    <row r="190" spans="2:27" ht="15" customHeight="1" x14ac:dyDescent="0.25">
      <c r="B190" s="3" t="s">
        <v>3697</v>
      </c>
      <c r="C190" s="1" t="s">
        <v>627</v>
      </c>
      <c r="D190" s="2" t="s">
        <v>3926</v>
      </c>
      <c r="E190" s="1" t="s">
        <v>3928</v>
      </c>
      <c r="F190" s="2" t="s">
        <v>3324</v>
      </c>
      <c r="G190" s="1" t="s">
        <v>2255</v>
      </c>
      <c r="H190" s="1" t="s">
        <v>3322</v>
      </c>
      <c r="I190" t="str">
        <f t="shared" si="28"/>
        <v>2B</v>
      </c>
      <c r="J190" t="str">
        <f t="shared" si="29"/>
        <v xml:space="preserve">1619 </v>
      </c>
      <c r="K190" t="str">
        <f t="shared" si="30"/>
        <v>1619½</v>
      </c>
      <c r="M190" s="8" t="str">
        <f t="shared" si="31"/>
        <v>DN</v>
      </c>
      <c r="N190" t="s">
        <v>3929</v>
      </c>
      <c r="O190" t="s">
        <v>3930</v>
      </c>
      <c r="P190" t="s">
        <v>3931</v>
      </c>
      <c r="Q190" t="s">
        <v>3382</v>
      </c>
      <c r="R190" t="s">
        <v>3932</v>
      </c>
      <c r="S190" t="s">
        <v>3376</v>
      </c>
      <c r="T190" t="s">
        <v>3933</v>
      </c>
      <c r="U190" t="s">
        <v>3934</v>
      </c>
      <c r="V190" t="s">
        <v>3935</v>
      </c>
      <c r="W190" t="s">
        <v>3936</v>
      </c>
      <c r="X190" t="s">
        <v>3321</v>
      </c>
      <c r="Y190" t="s">
        <v>3937</v>
      </c>
      <c r="Z190" t="s">
        <v>3385</v>
      </c>
      <c r="AA190" t="s">
        <v>3324</v>
      </c>
    </row>
    <row r="191" spans="2:27" ht="15" customHeight="1" x14ac:dyDescent="0.25">
      <c r="B191" s="3" t="s">
        <v>3698</v>
      </c>
      <c r="C191" s="1" t="s">
        <v>2257</v>
      </c>
      <c r="D191" s="2" t="s">
        <v>3926</v>
      </c>
      <c r="E191" s="1" t="s">
        <v>3928</v>
      </c>
      <c r="F191" s="2" t="s">
        <v>3376</v>
      </c>
      <c r="G191" s="1" t="s">
        <v>2259</v>
      </c>
      <c r="H191" s="1" t="s">
        <v>3322</v>
      </c>
      <c r="I191" t="str">
        <f t="shared" si="28"/>
        <v>2R</v>
      </c>
      <c r="J191" t="str">
        <f t="shared" si="29"/>
        <v xml:space="preserve">1622 </v>
      </c>
      <c r="K191" t="str">
        <f t="shared" si="30"/>
        <v>1622½</v>
      </c>
      <c r="M191" s="8" t="str">
        <f t="shared" si="31"/>
        <v>DN</v>
      </c>
      <c r="N191" t="s">
        <v>3929</v>
      </c>
      <c r="O191" t="s">
        <v>3938</v>
      </c>
      <c r="P191" t="s">
        <v>1033</v>
      </c>
      <c r="Q191" t="s">
        <v>3939</v>
      </c>
      <c r="R191" t="s">
        <v>3326</v>
      </c>
      <c r="S191" t="s">
        <v>3940</v>
      </c>
      <c r="T191" t="s">
        <v>3941</v>
      </c>
      <c r="U191" t="s">
        <v>3942</v>
      </c>
      <c r="V191" t="s">
        <v>3376</v>
      </c>
    </row>
    <row r="192" spans="2:27" ht="15" customHeight="1" x14ac:dyDescent="0.25">
      <c r="B192" s="3" t="s">
        <v>3699</v>
      </c>
      <c r="C192" s="1" t="s">
        <v>3700</v>
      </c>
      <c r="D192" s="2" t="s">
        <v>3321</v>
      </c>
      <c r="E192" s="1" t="s">
        <v>3927</v>
      </c>
      <c r="F192" s="2" t="s">
        <v>3926</v>
      </c>
      <c r="G192" s="1" t="s">
        <v>633</v>
      </c>
      <c r="H192" s="1" t="s">
        <v>3322</v>
      </c>
      <c r="I192" t="str">
        <f t="shared" si="28"/>
        <v>2D</v>
      </c>
      <c r="J192" t="str">
        <f t="shared" si="29"/>
        <v>1625½</v>
      </c>
      <c r="K192" t="str">
        <f t="shared" si="30"/>
        <v xml:space="preserve">1626 </v>
      </c>
      <c r="M192" s="8" t="str">
        <f t="shared" si="31"/>
        <v>UP</v>
      </c>
      <c r="N192" t="s">
        <v>3946</v>
      </c>
      <c r="O192" t="s">
        <v>3926</v>
      </c>
    </row>
    <row r="193" spans="2:25" ht="15" customHeight="1" x14ac:dyDescent="0.25">
      <c r="B193" s="3" t="s">
        <v>3701</v>
      </c>
      <c r="C193" s="1" t="s">
        <v>2268</v>
      </c>
      <c r="D193" s="2" t="s">
        <v>3926</v>
      </c>
      <c r="E193" s="1" t="s">
        <v>3928</v>
      </c>
      <c r="F193" s="2" t="s">
        <v>3401</v>
      </c>
      <c r="G193" s="1" t="s">
        <v>3702</v>
      </c>
      <c r="H193" s="1" t="s">
        <v>3322</v>
      </c>
      <c r="I193" t="str">
        <f t="shared" si="28"/>
        <v>2D</v>
      </c>
      <c r="J193" t="str">
        <f t="shared" si="29"/>
        <v xml:space="preserve">1629 </v>
      </c>
      <c r="K193" t="str">
        <f t="shared" si="30"/>
        <v>1629½</v>
      </c>
      <c r="M193" s="8" t="str">
        <f t="shared" si="31"/>
        <v>DN</v>
      </c>
      <c r="N193" t="s">
        <v>3929</v>
      </c>
      <c r="O193" t="s">
        <v>3930</v>
      </c>
      <c r="P193" t="s">
        <v>3943</v>
      </c>
      <c r="Q193" t="s">
        <v>3944</v>
      </c>
      <c r="R193" t="s">
        <v>3382</v>
      </c>
      <c r="S193" t="s">
        <v>3932</v>
      </c>
      <c r="T193" t="s">
        <v>3326</v>
      </c>
      <c r="U193" t="s">
        <v>3940</v>
      </c>
      <c r="V193" t="s">
        <v>3941</v>
      </c>
      <c r="W193" t="s">
        <v>3942</v>
      </c>
    </row>
    <row r="194" spans="2:25" ht="15" customHeight="1" x14ac:dyDescent="0.25">
      <c r="B194" s="3" t="s">
        <v>3703</v>
      </c>
      <c r="C194" s="1" t="s">
        <v>3704</v>
      </c>
      <c r="D194" s="2" t="s">
        <v>3324</v>
      </c>
      <c r="E194" s="1" t="s">
        <v>3927</v>
      </c>
      <c r="F194" s="2" t="s">
        <v>3926</v>
      </c>
      <c r="G194" s="1" t="s">
        <v>2282</v>
      </c>
      <c r="H194" s="1" t="s">
        <v>3322</v>
      </c>
      <c r="I194" t="str">
        <f t="shared" ref="I194:I219" si="32">LEFT(B194,2)</f>
        <v>2B</v>
      </c>
      <c r="J194" t="str">
        <f t="shared" ref="J194:J219" si="33">LEFT(C194,5)</f>
        <v>1633½</v>
      </c>
      <c r="K194" t="str">
        <f t="shared" ref="K194:K219" si="34">LEFT(G194,5)</f>
        <v xml:space="preserve">1634 </v>
      </c>
      <c r="M194" s="8" t="str">
        <f t="shared" si="31"/>
        <v>UP</v>
      </c>
      <c r="N194" t="s">
        <v>3946</v>
      </c>
      <c r="O194" t="s">
        <v>3926</v>
      </c>
    </row>
    <row r="195" spans="2:25" ht="15" customHeight="1" x14ac:dyDescent="0.25">
      <c r="B195" s="3" t="s">
        <v>3705</v>
      </c>
      <c r="C195" s="1" t="s">
        <v>3706</v>
      </c>
      <c r="D195" s="2" t="s">
        <v>3926</v>
      </c>
      <c r="E195" s="1" t="s">
        <v>3928</v>
      </c>
      <c r="F195" s="2" t="s">
        <v>3324</v>
      </c>
      <c r="G195" s="1" t="s">
        <v>2288</v>
      </c>
      <c r="H195" s="1" t="s">
        <v>3322</v>
      </c>
      <c r="I195" t="str">
        <f t="shared" si="32"/>
        <v>1B</v>
      </c>
      <c r="J195" t="str">
        <f t="shared" si="33"/>
        <v xml:space="preserve">1636 </v>
      </c>
      <c r="K195" t="str">
        <f t="shared" si="34"/>
        <v>1636½</v>
      </c>
      <c r="M195" s="8" t="str">
        <f t="shared" si="31"/>
        <v>DN</v>
      </c>
      <c r="N195" t="s">
        <v>3929</v>
      </c>
      <c r="O195" t="s">
        <v>3930</v>
      </c>
      <c r="P195" t="s">
        <v>3932</v>
      </c>
      <c r="Q195" t="s">
        <v>3376</v>
      </c>
      <c r="R195" t="s">
        <v>3933</v>
      </c>
      <c r="S195" t="s">
        <v>3934</v>
      </c>
      <c r="T195" t="s">
        <v>3935</v>
      </c>
      <c r="U195" t="s">
        <v>3936</v>
      </c>
      <c r="V195" t="s">
        <v>3321</v>
      </c>
      <c r="W195" t="s">
        <v>3937</v>
      </c>
      <c r="X195" t="s">
        <v>3385</v>
      </c>
      <c r="Y195" t="s">
        <v>3324</v>
      </c>
    </row>
    <row r="196" spans="2:25" ht="15" customHeight="1" x14ac:dyDescent="0.25">
      <c r="B196" s="3" t="s">
        <v>3707</v>
      </c>
      <c r="C196" s="1" t="s">
        <v>2291</v>
      </c>
      <c r="D196" s="2" t="s">
        <v>3926</v>
      </c>
      <c r="E196" s="1" t="s">
        <v>3928</v>
      </c>
      <c r="F196" s="2" t="s">
        <v>3382</v>
      </c>
      <c r="G196" s="1" t="s">
        <v>2293</v>
      </c>
      <c r="H196" s="1" t="s">
        <v>3322</v>
      </c>
      <c r="I196" t="str">
        <f t="shared" si="32"/>
        <v>2N</v>
      </c>
      <c r="J196" t="str">
        <f t="shared" si="33"/>
        <v xml:space="preserve">1639 </v>
      </c>
      <c r="K196" t="str">
        <f t="shared" si="34"/>
        <v>1639½</v>
      </c>
      <c r="M196" s="8" t="str">
        <f t="shared" si="31"/>
        <v>DN</v>
      </c>
      <c r="N196" t="s">
        <v>3929</v>
      </c>
      <c r="O196" t="s">
        <v>3930</v>
      </c>
      <c r="P196" t="s">
        <v>3931</v>
      </c>
      <c r="Q196" t="s">
        <v>3382</v>
      </c>
    </row>
    <row r="197" spans="2:25" ht="15" customHeight="1" x14ac:dyDescent="0.25">
      <c r="B197" s="3" t="s">
        <v>3708</v>
      </c>
      <c r="C197" s="1" t="s">
        <v>3224</v>
      </c>
      <c r="D197" s="2" t="s">
        <v>3926</v>
      </c>
      <c r="E197" s="1" t="s">
        <v>3928</v>
      </c>
      <c r="F197" s="2" t="s">
        <v>3376</v>
      </c>
      <c r="G197" s="1" t="s">
        <v>2301</v>
      </c>
      <c r="H197" s="1" t="s">
        <v>3322</v>
      </c>
      <c r="I197" t="str">
        <f t="shared" si="32"/>
        <v>2R</v>
      </c>
      <c r="J197" t="str">
        <f t="shared" si="33"/>
        <v xml:space="preserve">1643 </v>
      </c>
      <c r="K197" t="str">
        <f t="shared" si="34"/>
        <v>1643½</v>
      </c>
      <c r="M197" s="8" t="str">
        <f t="shared" si="31"/>
        <v>DN</v>
      </c>
      <c r="N197" t="s">
        <v>3929</v>
      </c>
      <c r="O197" t="s">
        <v>3938</v>
      </c>
      <c r="P197" t="s">
        <v>1033</v>
      </c>
      <c r="Q197" t="s">
        <v>3939</v>
      </c>
      <c r="R197" t="s">
        <v>3326</v>
      </c>
      <c r="S197" t="s">
        <v>3940</v>
      </c>
      <c r="T197" t="s">
        <v>3941</v>
      </c>
      <c r="U197" t="s">
        <v>3942</v>
      </c>
      <c r="V197" t="s">
        <v>3376</v>
      </c>
    </row>
    <row r="198" spans="2:25" ht="15" customHeight="1" x14ac:dyDescent="0.25">
      <c r="B198" s="3" t="s">
        <v>3709</v>
      </c>
      <c r="C198" s="1" t="s">
        <v>3710</v>
      </c>
      <c r="D198" s="2" t="s">
        <v>3324</v>
      </c>
      <c r="E198" s="1" t="s">
        <v>3927</v>
      </c>
      <c r="F198" s="2" t="s">
        <v>3926</v>
      </c>
      <c r="G198" s="1" t="s">
        <v>3711</v>
      </c>
      <c r="H198" s="1" t="s">
        <v>3322</v>
      </c>
      <c r="I198" t="str">
        <f t="shared" si="32"/>
        <v>1B</v>
      </c>
      <c r="J198" t="str">
        <f t="shared" si="33"/>
        <v>1643½</v>
      </c>
      <c r="K198" t="str">
        <f t="shared" si="34"/>
        <v xml:space="preserve">1644 </v>
      </c>
      <c r="M198" s="8" t="str">
        <f t="shared" si="31"/>
        <v>UP</v>
      </c>
      <c r="N198" t="s">
        <v>3926</v>
      </c>
    </row>
    <row r="199" spans="2:25" ht="15" customHeight="1" x14ac:dyDescent="0.25">
      <c r="B199" s="3" t="s">
        <v>3712</v>
      </c>
      <c r="C199" s="1" t="s">
        <v>2474</v>
      </c>
      <c r="D199" s="2" t="s">
        <v>3926</v>
      </c>
      <c r="E199" s="1" t="s">
        <v>3928</v>
      </c>
      <c r="F199" s="2" t="s">
        <v>3326</v>
      </c>
      <c r="G199" s="1" t="s">
        <v>3713</v>
      </c>
      <c r="H199" s="1" t="s">
        <v>3322</v>
      </c>
      <c r="I199" t="str">
        <f t="shared" si="32"/>
        <v>2D</v>
      </c>
      <c r="J199" t="str">
        <f t="shared" si="33"/>
        <v xml:space="preserve">1646 </v>
      </c>
      <c r="K199" t="str">
        <f t="shared" si="34"/>
        <v>1646½</v>
      </c>
      <c r="M199" s="8" t="str">
        <f t="shared" si="31"/>
        <v>DN</v>
      </c>
      <c r="N199" t="s">
        <v>3929</v>
      </c>
      <c r="O199" t="s">
        <v>3930</v>
      </c>
      <c r="P199" t="s">
        <v>3943</v>
      </c>
      <c r="Q199" t="s">
        <v>3944</v>
      </c>
      <c r="R199" t="s">
        <v>3326</v>
      </c>
    </row>
    <row r="200" spans="2:25" ht="15" customHeight="1" x14ac:dyDescent="0.25">
      <c r="B200" s="3" t="s">
        <v>3714</v>
      </c>
      <c r="C200" s="1" t="s">
        <v>2324</v>
      </c>
      <c r="D200" s="2" t="s">
        <v>3926</v>
      </c>
      <c r="E200" s="1" t="s">
        <v>3928</v>
      </c>
      <c r="F200" s="2" t="s">
        <v>3382</v>
      </c>
      <c r="G200" s="1" t="s">
        <v>3715</v>
      </c>
      <c r="H200" s="1" t="s">
        <v>3322</v>
      </c>
      <c r="I200" t="str">
        <f t="shared" si="32"/>
        <v>2N</v>
      </c>
      <c r="J200" t="str">
        <f t="shared" si="33"/>
        <v xml:space="preserve">1657 </v>
      </c>
      <c r="K200" t="str">
        <f t="shared" si="34"/>
        <v>1657½</v>
      </c>
      <c r="M200" s="8" t="str">
        <f t="shared" si="31"/>
        <v>DN</v>
      </c>
      <c r="N200" t="s">
        <v>3929</v>
      </c>
      <c r="O200" t="s">
        <v>3930</v>
      </c>
      <c r="P200" t="s">
        <v>3931</v>
      </c>
      <c r="Q200" t="s">
        <v>3382</v>
      </c>
    </row>
    <row r="201" spans="2:25" ht="15" customHeight="1" x14ac:dyDescent="0.25">
      <c r="B201" s="3" t="s">
        <v>3716</v>
      </c>
      <c r="C201" s="1" t="s">
        <v>668</v>
      </c>
      <c r="D201" s="2" t="s">
        <v>3324</v>
      </c>
      <c r="E201" s="1" t="s">
        <v>3927</v>
      </c>
      <c r="F201" s="2" t="s">
        <v>3926</v>
      </c>
      <c r="G201" s="1" t="s">
        <v>2338</v>
      </c>
      <c r="H201" s="1" t="s">
        <v>3322</v>
      </c>
      <c r="I201" t="str">
        <f t="shared" si="32"/>
        <v>2B</v>
      </c>
      <c r="J201" t="str">
        <f t="shared" si="33"/>
        <v xml:space="preserve">1702 </v>
      </c>
      <c r="K201" t="str">
        <f t="shared" si="34"/>
        <v>1702½</v>
      </c>
      <c r="M201" s="8" t="str">
        <f t="shared" si="31"/>
        <v>UP</v>
      </c>
      <c r="N201" t="s">
        <v>3946</v>
      </c>
      <c r="O201" t="s">
        <v>3926</v>
      </c>
    </row>
    <row r="202" spans="2:25" ht="15" customHeight="1" x14ac:dyDescent="0.25">
      <c r="B202" s="3" t="s">
        <v>3717</v>
      </c>
      <c r="C202" s="1" t="s">
        <v>3718</v>
      </c>
      <c r="D202" s="2" t="s">
        <v>3926</v>
      </c>
      <c r="E202" s="1" t="s">
        <v>3928</v>
      </c>
      <c r="F202" s="2" t="s">
        <v>3376</v>
      </c>
      <c r="G202" s="1" t="s">
        <v>2342</v>
      </c>
      <c r="H202" s="1" t="s">
        <v>3322</v>
      </c>
      <c r="I202" t="str">
        <f t="shared" si="32"/>
        <v>2R</v>
      </c>
      <c r="J202" t="str">
        <f t="shared" si="33"/>
        <v xml:space="preserve">1704 </v>
      </c>
      <c r="K202" t="str">
        <f t="shared" si="34"/>
        <v>1704½</v>
      </c>
      <c r="M202" s="8" t="str">
        <f t="shared" si="31"/>
        <v>DN</v>
      </c>
      <c r="N202" t="s">
        <v>3929</v>
      </c>
      <c r="O202" t="s">
        <v>3938</v>
      </c>
      <c r="P202" t="s">
        <v>1033</v>
      </c>
      <c r="Q202" t="s">
        <v>3939</v>
      </c>
      <c r="R202" t="s">
        <v>3326</v>
      </c>
      <c r="S202" t="s">
        <v>3940</v>
      </c>
      <c r="T202" t="s">
        <v>3941</v>
      </c>
      <c r="U202" t="s">
        <v>3942</v>
      </c>
      <c r="V202" t="s">
        <v>3376</v>
      </c>
    </row>
    <row r="203" spans="2:25" ht="15" customHeight="1" x14ac:dyDescent="0.25">
      <c r="B203" s="3" t="s">
        <v>3719</v>
      </c>
      <c r="C203" s="1" t="s">
        <v>3720</v>
      </c>
      <c r="D203" s="2" t="s">
        <v>3324</v>
      </c>
      <c r="E203" s="1" t="s">
        <v>3927</v>
      </c>
      <c r="F203" s="2" t="s">
        <v>3926</v>
      </c>
      <c r="G203" s="1" t="s">
        <v>674</v>
      </c>
      <c r="H203" s="1" t="s">
        <v>3322</v>
      </c>
      <c r="I203" t="str">
        <f t="shared" si="32"/>
        <v>1B</v>
      </c>
      <c r="J203" t="str">
        <f t="shared" si="33"/>
        <v>1708½</v>
      </c>
      <c r="K203" t="str">
        <f t="shared" si="34"/>
        <v xml:space="preserve">1709 </v>
      </c>
      <c r="M203" s="8" t="str">
        <f t="shared" si="31"/>
        <v>UP</v>
      </c>
      <c r="N203" t="s">
        <v>3946</v>
      </c>
      <c r="O203" t="s">
        <v>3926</v>
      </c>
    </row>
    <row r="204" spans="2:25" ht="15" customHeight="1" x14ac:dyDescent="0.25">
      <c r="B204" s="3" t="s">
        <v>3721</v>
      </c>
      <c r="C204" s="1" t="s">
        <v>2374</v>
      </c>
      <c r="D204" s="2" t="s">
        <v>3926</v>
      </c>
      <c r="E204" s="1" t="s">
        <v>3928</v>
      </c>
      <c r="F204" s="2" t="s">
        <v>3382</v>
      </c>
      <c r="G204" s="1" t="s">
        <v>682</v>
      </c>
      <c r="H204" s="1" t="s">
        <v>3322</v>
      </c>
      <c r="I204" t="str">
        <f t="shared" si="32"/>
        <v>2N</v>
      </c>
      <c r="J204" t="str">
        <f t="shared" si="33"/>
        <v>1716½</v>
      </c>
      <c r="K204" t="str">
        <f t="shared" si="34"/>
        <v xml:space="preserve">1717 </v>
      </c>
      <c r="M204" s="8" t="str">
        <f t="shared" si="31"/>
        <v>DN</v>
      </c>
      <c r="N204" t="s">
        <v>3929</v>
      </c>
      <c r="O204" t="s">
        <v>3930</v>
      </c>
      <c r="P204" t="s">
        <v>3931</v>
      </c>
      <c r="Q204" t="s">
        <v>3382</v>
      </c>
    </row>
    <row r="205" spans="2:25" ht="15" customHeight="1" x14ac:dyDescent="0.25">
      <c r="B205" s="3" t="s">
        <v>3722</v>
      </c>
      <c r="C205" s="1" t="s">
        <v>2380</v>
      </c>
      <c r="D205" s="2" t="s">
        <v>3926</v>
      </c>
      <c r="E205" s="1" t="s">
        <v>3928</v>
      </c>
      <c r="F205" s="2" t="s">
        <v>3376</v>
      </c>
      <c r="G205" s="1" t="s">
        <v>3723</v>
      </c>
      <c r="H205" s="1" t="s">
        <v>3322</v>
      </c>
      <c r="I205" t="str">
        <f t="shared" si="32"/>
        <v>2R</v>
      </c>
      <c r="J205" t="str">
        <f t="shared" si="33"/>
        <v>1719½</v>
      </c>
      <c r="K205" t="str">
        <f t="shared" si="34"/>
        <v xml:space="preserve">1720 </v>
      </c>
      <c r="M205" s="8" t="str">
        <f t="shared" si="31"/>
        <v>DN</v>
      </c>
      <c r="N205" t="s">
        <v>3929</v>
      </c>
      <c r="O205" t="s">
        <v>3938</v>
      </c>
      <c r="P205" t="s">
        <v>1033</v>
      </c>
      <c r="Q205" t="s">
        <v>3939</v>
      </c>
      <c r="R205" t="s">
        <v>3326</v>
      </c>
      <c r="S205" t="s">
        <v>3940</v>
      </c>
      <c r="T205" t="s">
        <v>3941</v>
      </c>
      <c r="U205" t="s">
        <v>3942</v>
      </c>
      <c r="V205" t="s">
        <v>3376</v>
      </c>
    </row>
    <row r="206" spans="2:25" ht="15" customHeight="1" x14ac:dyDescent="0.25">
      <c r="B206" s="3" t="s">
        <v>3724</v>
      </c>
      <c r="C206" s="1" t="s">
        <v>3725</v>
      </c>
      <c r="D206" s="2" t="s">
        <v>3326</v>
      </c>
      <c r="E206" s="1" t="s">
        <v>3927</v>
      </c>
      <c r="F206" s="2" t="s">
        <v>3926</v>
      </c>
      <c r="G206" s="1" t="s">
        <v>2383</v>
      </c>
      <c r="H206" s="1" t="s">
        <v>3322</v>
      </c>
      <c r="I206" t="str">
        <f t="shared" si="32"/>
        <v>1R</v>
      </c>
      <c r="J206" t="str">
        <f t="shared" si="33"/>
        <v>1721½</v>
      </c>
      <c r="K206" t="str">
        <f t="shared" si="34"/>
        <v xml:space="preserve">1722 </v>
      </c>
      <c r="M206" s="8" t="str">
        <f t="shared" si="31"/>
        <v>UP</v>
      </c>
      <c r="N206" t="s">
        <v>3926</v>
      </c>
    </row>
    <row r="207" spans="2:25" ht="15" customHeight="1" x14ac:dyDescent="0.25">
      <c r="B207" s="3" t="s">
        <v>3726</v>
      </c>
      <c r="C207" s="1" t="s">
        <v>691</v>
      </c>
      <c r="D207" s="2" t="s">
        <v>3926</v>
      </c>
      <c r="E207" s="1" t="s">
        <v>3928</v>
      </c>
      <c r="F207" s="2" t="s">
        <v>3321</v>
      </c>
      <c r="G207" s="1" t="s">
        <v>2394</v>
      </c>
      <c r="H207" s="1" t="s">
        <v>3322</v>
      </c>
      <c r="I207" t="str">
        <f t="shared" si="32"/>
        <v>1B</v>
      </c>
      <c r="J207" t="str">
        <f t="shared" si="33"/>
        <v xml:space="preserve">1726 </v>
      </c>
      <c r="K207" t="str">
        <f t="shared" si="34"/>
        <v>1726½</v>
      </c>
      <c r="M207" s="8" t="str">
        <f t="shared" si="31"/>
        <v>DN</v>
      </c>
      <c r="N207" t="s">
        <v>3930</v>
      </c>
      <c r="O207" t="s">
        <v>3932</v>
      </c>
      <c r="P207" t="s">
        <v>3376</v>
      </c>
      <c r="Q207" t="s">
        <v>3933</v>
      </c>
      <c r="R207" t="s">
        <v>3934</v>
      </c>
      <c r="S207" t="s">
        <v>3935</v>
      </c>
      <c r="T207" t="s">
        <v>3936</v>
      </c>
      <c r="U207" t="s">
        <v>3321</v>
      </c>
    </row>
    <row r="208" spans="2:25" ht="15" customHeight="1" x14ac:dyDescent="0.25">
      <c r="B208" s="3" t="s">
        <v>3727</v>
      </c>
      <c r="C208" s="1" t="s">
        <v>2401</v>
      </c>
      <c r="D208" s="2" t="s">
        <v>3926</v>
      </c>
      <c r="E208" s="1" t="s">
        <v>3928</v>
      </c>
      <c r="F208" s="2" t="s">
        <v>3324</v>
      </c>
      <c r="G208" s="1" t="s">
        <v>2403</v>
      </c>
      <c r="H208" s="1" t="s">
        <v>3322</v>
      </c>
      <c r="I208" t="str">
        <f t="shared" si="32"/>
        <v>1B</v>
      </c>
      <c r="J208" t="str">
        <f t="shared" si="33"/>
        <v xml:space="preserve">1729 </v>
      </c>
      <c r="K208" t="str">
        <f t="shared" si="34"/>
        <v>1729½</v>
      </c>
      <c r="M208" s="8" t="str">
        <f t="shared" si="31"/>
        <v>DN</v>
      </c>
      <c r="N208" t="s">
        <v>3929</v>
      </c>
      <c r="O208" t="s">
        <v>3382</v>
      </c>
      <c r="P208" t="s">
        <v>3932</v>
      </c>
      <c r="Q208" t="s">
        <v>3376</v>
      </c>
      <c r="R208" t="s">
        <v>3933</v>
      </c>
      <c r="S208" t="s">
        <v>3934</v>
      </c>
      <c r="T208" t="s">
        <v>3935</v>
      </c>
      <c r="U208" t="s">
        <v>3936</v>
      </c>
      <c r="V208" t="s">
        <v>3321</v>
      </c>
      <c r="W208" t="s">
        <v>3937</v>
      </c>
      <c r="X208" t="s">
        <v>3385</v>
      </c>
      <c r="Y208" t="s">
        <v>3324</v>
      </c>
    </row>
    <row r="209" spans="2:30" ht="15" customHeight="1" x14ac:dyDescent="0.25">
      <c r="B209" s="3" t="s">
        <v>3728</v>
      </c>
      <c r="C209" s="1" t="s">
        <v>2405</v>
      </c>
      <c r="D209" s="2" t="s">
        <v>3321</v>
      </c>
      <c r="E209" s="1" t="s">
        <v>3927</v>
      </c>
      <c r="F209" s="2" t="s">
        <v>3926</v>
      </c>
      <c r="G209" s="1" t="s">
        <v>694</v>
      </c>
      <c r="H209" s="1" t="s">
        <v>3322</v>
      </c>
      <c r="I209" t="str">
        <f t="shared" si="32"/>
        <v>1D</v>
      </c>
      <c r="J209" t="str">
        <f t="shared" si="33"/>
        <v>1730½</v>
      </c>
      <c r="K209" t="str">
        <f t="shared" si="34"/>
        <v xml:space="preserve">1731 </v>
      </c>
      <c r="M209" s="8" t="str">
        <f t="shared" si="31"/>
        <v>UP</v>
      </c>
      <c r="N209" t="s">
        <v>3926</v>
      </c>
    </row>
    <row r="210" spans="2:30" ht="15" customHeight="1" x14ac:dyDescent="0.25">
      <c r="B210" s="3" t="s">
        <v>3729</v>
      </c>
      <c r="C210" s="1" t="s">
        <v>3730</v>
      </c>
      <c r="D210" s="2" t="s">
        <v>3926</v>
      </c>
      <c r="E210" s="1" t="s">
        <v>3928</v>
      </c>
      <c r="F210" s="2" t="s">
        <v>3382</v>
      </c>
      <c r="G210" s="1" t="s">
        <v>697</v>
      </c>
      <c r="H210" s="1" t="s">
        <v>3322</v>
      </c>
      <c r="I210" t="str">
        <f t="shared" si="32"/>
        <v>2N</v>
      </c>
      <c r="J210" t="str">
        <f t="shared" si="33"/>
        <v>1732½</v>
      </c>
      <c r="K210" t="str">
        <f t="shared" si="34"/>
        <v xml:space="preserve">1733 </v>
      </c>
      <c r="M210" s="8" t="str">
        <f t="shared" si="31"/>
        <v>DN</v>
      </c>
      <c r="N210" t="s">
        <v>3929</v>
      </c>
      <c r="O210" t="s">
        <v>3930</v>
      </c>
      <c r="P210" t="s">
        <v>3931</v>
      </c>
      <c r="Q210" t="s">
        <v>3382</v>
      </c>
    </row>
    <row r="211" spans="2:30" ht="15" customHeight="1" x14ac:dyDescent="0.25">
      <c r="B211" s="3" t="s">
        <v>3731</v>
      </c>
      <c r="C211" s="1" t="s">
        <v>695</v>
      </c>
      <c r="D211" s="2" t="s">
        <v>3926</v>
      </c>
      <c r="E211" s="1" t="s">
        <v>3928</v>
      </c>
      <c r="F211" s="2" t="s">
        <v>3376</v>
      </c>
      <c r="G211" s="1" t="s">
        <v>3732</v>
      </c>
      <c r="H211" s="1" t="s">
        <v>3322</v>
      </c>
      <c r="I211" t="str">
        <f t="shared" si="32"/>
        <v>2R</v>
      </c>
      <c r="J211" t="str">
        <f t="shared" si="33"/>
        <v xml:space="preserve">1735 </v>
      </c>
      <c r="K211" t="str">
        <f t="shared" si="34"/>
        <v>1735½</v>
      </c>
      <c r="M211" s="8" t="str">
        <f t="shared" si="31"/>
        <v>DN</v>
      </c>
      <c r="N211" t="s">
        <v>3929</v>
      </c>
      <c r="O211" t="s">
        <v>3938</v>
      </c>
      <c r="P211" t="s">
        <v>1033</v>
      </c>
      <c r="Q211" t="s">
        <v>3939</v>
      </c>
      <c r="R211" t="s">
        <v>3326</v>
      </c>
      <c r="S211" t="s">
        <v>3940</v>
      </c>
      <c r="T211" t="s">
        <v>3941</v>
      </c>
      <c r="U211" t="s">
        <v>3942</v>
      </c>
      <c r="V211" t="s">
        <v>3376</v>
      </c>
    </row>
    <row r="212" spans="2:30" ht="15" customHeight="1" x14ac:dyDescent="0.25">
      <c r="B212" s="3" t="s">
        <v>3733</v>
      </c>
      <c r="C212" s="1" t="s">
        <v>3734</v>
      </c>
      <c r="D212" s="2" t="s">
        <v>3926</v>
      </c>
      <c r="E212" s="1" t="s">
        <v>3928</v>
      </c>
      <c r="F212" s="2" t="s">
        <v>3326</v>
      </c>
      <c r="G212" s="1" t="s">
        <v>2427</v>
      </c>
      <c r="H212" s="1" t="s">
        <v>3322</v>
      </c>
      <c r="I212" t="str">
        <f t="shared" si="32"/>
        <v>1D</v>
      </c>
      <c r="J212" t="str">
        <f t="shared" si="33"/>
        <v xml:space="preserve">1740 </v>
      </c>
      <c r="K212" t="str">
        <f t="shared" si="34"/>
        <v>1740½</v>
      </c>
      <c r="M212" s="8" t="str">
        <f t="shared" si="31"/>
        <v>DN</v>
      </c>
      <c r="N212" t="s">
        <v>3929</v>
      </c>
      <c r="O212" t="s">
        <v>3930</v>
      </c>
      <c r="P212" t="s">
        <v>3943</v>
      </c>
      <c r="Q212" t="s">
        <v>3944</v>
      </c>
      <c r="R212" t="s">
        <v>3326</v>
      </c>
    </row>
    <row r="213" spans="2:30" ht="15" customHeight="1" x14ac:dyDescent="0.25">
      <c r="B213" s="3" t="s">
        <v>3735</v>
      </c>
      <c r="C213" s="1" t="s">
        <v>3736</v>
      </c>
      <c r="D213" s="2" t="s">
        <v>3926</v>
      </c>
      <c r="E213" s="1" t="s">
        <v>3928</v>
      </c>
      <c r="F213" s="2" t="s">
        <v>3324</v>
      </c>
      <c r="G213" s="1" t="s">
        <v>3737</v>
      </c>
      <c r="H213" s="1" t="s">
        <v>3322</v>
      </c>
      <c r="I213" t="str">
        <f t="shared" si="32"/>
        <v>1B</v>
      </c>
      <c r="J213" t="str">
        <f t="shared" si="33"/>
        <v xml:space="preserve">1744 </v>
      </c>
      <c r="K213" t="str">
        <f t="shared" si="34"/>
        <v>1744½</v>
      </c>
      <c r="M213" s="8" t="str">
        <f t="shared" si="31"/>
        <v>DN</v>
      </c>
      <c r="N213" t="s">
        <v>3929</v>
      </c>
      <c r="O213" t="s">
        <v>3382</v>
      </c>
      <c r="P213" t="s">
        <v>3932</v>
      </c>
      <c r="Q213" t="s">
        <v>3376</v>
      </c>
      <c r="R213" t="s">
        <v>3933</v>
      </c>
      <c r="S213" t="s">
        <v>3934</v>
      </c>
      <c r="T213" t="s">
        <v>3935</v>
      </c>
      <c r="U213" t="s">
        <v>3936</v>
      </c>
      <c r="V213" t="s">
        <v>3321</v>
      </c>
      <c r="W213" t="s">
        <v>3937</v>
      </c>
      <c r="X213" t="s">
        <v>3385</v>
      </c>
      <c r="Y213" t="s">
        <v>3324</v>
      </c>
    </row>
    <row r="214" spans="2:30" ht="15" customHeight="1" x14ac:dyDescent="0.25">
      <c r="B214" s="3" t="s">
        <v>3738</v>
      </c>
      <c r="C214" s="1" t="s">
        <v>2445</v>
      </c>
      <c r="D214" s="2" t="s">
        <v>3926</v>
      </c>
      <c r="E214" s="1" t="s">
        <v>3928</v>
      </c>
      <c r="F214" s="2" t="s">
        <v>3382</v>
      </c>
      <c r="G214" s="1" t="s">
        <v>2443</v>
      </c>
      <c r="H214" s="1" t="s">
        <v>3322</v>
      </c>
      <c r="I214" t="str">
        <f t="shared" si="32"/>
        <v>2N</v>
      </c>
      <c r="J214" t="str">
        <f t="shared" si="33"/>
        <v>1746½</v>
      </c>
      <c r="K214" t="str">
        <f t="shared" si="34"/>
        <v xml:space="preserve">1747 </v>
      </c>
      <c r="M214" s="8" t="str">
        <f t="shared" si="31"/>
        <v>DN</v>
      </c>
      <c r="N214" t="s">
        <v>3929</v>
      </c>
      <c r="O214" t="s">
        <v>3930</v>
      </c>
      <c r="P214" t="s">
        <v>3931</v>
      </c>
      <c r="Q214" t="s">
        <v>3382</v>
      </c>
    </row>
    <row r="215" spans="2:30" ht="15" customHeight="1" x14ac:dyDescent="0.25">
      <c r="B215" s="3" t="s">
        <v>3739</v>
      </c>
      <c r="C215" s="1" t="s">
        <v>707</v>
      </c>
      <c r="D215" s="2" t="s">
        <v>3324</v>
      </c>
      <c r="E215" s="1" t="s">
        <v>3927</v>
      </c>
      <c r="F215" s="2" t="s">
        <v>3926</v>
      </c>
      <c r="G215" s="1" t="s">
        <v>2450</v>
      </c>
      <c r="H215" s="1" t="s">
        <v>3322</v>
      </c>
      <c r="I215" t="str">
        <f t="shared" si="32"/>
        <v>1B</v>
      </c>
      <c r="J215" t="str">
        <f t="shared" si="33"/>
        <v xml:space="preserve">1749 </v>
      </c>
      <c r="K215" t="str">
        <f t="shared" si="34"/>
        <v>1749½</v>
      </c>
      <c r="M215" s="8" t="str">
        <f t="shared" si="31"/>
        <v>UP</v>
      </c>
      <c r="N215" t="s">
        <v>3926</v>
      </c>
    </row>
    <row r="216" spans="2:30" ht="15" customHeight="1" x14ac:dyDescent="0.25">
      <c r="B216" s="3" t="s">
        <v>3740</v>
      </c>
      <c r="C216" s="1" t="s">
        <v>2453</v>
      </c>
      <c r="D216" s="2" t="s">
        <v>3926</v>
      </c>
      <c r="E216" s="1" t="s">
        <v>3928</v>
      </c>
      <c r="F216" s="2" t="s">
        <v>3376</v>
      </c>
      <c r="G216" s="1" t="s">
        <v>3741</v>
      </c>
      <c r="H216" s="1" t="s">
        <v>3322</v>
      </c>
      <c r="I216" t="str">
        <f t="shared" si="32"/>
        <v>2R</v>
      </c>
      <c r="J216" t="str">
        <f t="shared" si="33"/>
        <v xml:space="preserve">1750 </v>
      </c>
      <c r="K216" t="str">
        <f t="shared" si="34"/>
        <v>1750½</v>
      </c>
      <c r="M216" s="8" t="str">
        <f t="shared" si="31"/>
        <v>DN</v>
      </c>
      <c r="N216" t="s">
        <v>3929</v>
      </c>
      <c r="O216" t="s">
        <v>3938</v>
      </c>
      <c r="P216" t="s">
        <v>1033</v>
      </c>
      <c r="Q216" t="s">
        <v>3939</v>
      </c>
      <c r="R216" t="s">
        <v>3326</v>
      </c>
      <c r="S216" t="s">
        <v>3940</v>
      </c>
      <c r="T216" t="s">
        <v>3941</v>
      </c>
      <c r="U216" t="s">
        <v>3942</v>
      </c>
      <c r="V216" t="s">
        <v>3376</v>
      </c>
    </row>
    <row r="217" spans="2:30" ht="15" customHeight="1" x14ac:dyDescent="0.25">
      <c r="B217" s="3" t="s">
        <v>3742</v>
      </c>
      <c r="C217" s="1" t="s">
        <v>3743</v>
      </c>
      <c r="D217" s="2" t="s">
        <v>3926</v>
      </c>
      <c r="E217" s="1" t="s">
        <v>3928</v>
      </c>
      <c r="F217" s="2" t="s">
        <v>3326</v>
      </c>
      <c r="G217" s="1" t="s">
        <v>3744</v>
      </c>
      <c r="H217" s="1" t="s">
        <v>3322</v>
      </c>
      <c r="I217" t="str">
        <f t="shared" si="32"/>
        <v>1D</v>
      </c>
      <c r="J217" t="str">
        <f t="shared" si="33"/>
        <v>1756½</v>
      </c>
      <c r="K217" t="str">
        <f t="shared" si="34"/>
        <v xml:space="preserve">1757 </v>
      </c>
      <c r="M217" s="8" t="str">
        <f t="shared" si="31"/>
        <v>DN</v>
      </c>
      <c r="N217" t="s">
        <v>3930</v>
      </c>
      <c r="O217" t="s">
        <v>3943</v>
      </c>
      <c r="P217" t="s">
        <v>3944</v>
      </c>
      <c r="Q217" t="s">
        <v>3326</v>
      </c>
    </row>
    <row r="218" spans="2:30" ht="15" customHeight="1" x14ac:dyDescent="0.25">
      <c r="B218" s="3" t="s">
        <v>3745</v>
      </c>
      <c r="C218" s="1" t="s">
        <v>3746</v>
      </c>
      <c r="D218" s="2" t="s">
        <v>3401</v>
      </c>
      <c r="E218" s="1" t="s">
        <v>3927</v>
      </c>
      <c r="F218" s="2" t="s">
        <v>3926</v>
      </c>
      <c r="G218" s="1" t="s">
        <v>715</v>
      </c>
      <c r="H218" s="1" t="s">
        <v>3322</v>
      </c>
      <c r="I218" t="str">
        <f t="shared" si="32"/>
        <v>2R</v>
      </c>
      <c r="J218" t="str">
        <f t="shared" si="33"/>
        <v>1757½</v>
      </c>
      <c r="K218" t="str">
        <f t="shared" si="34"/>
        <v xml:space="preserve">1758 </v>
      </c>
      <c r="M218" s="8" t="str">
        <f t="shared" si="31"/>
        <v>UP</v>
      </c>
      <c r="N218" t="s">
        <v>3946</v>
      </c>
      <c r="O218" t="s">
        <v>3926</v>
      </c>
    </row>
    <row r="219" spans="2:30" ht="15" customHeight="1" x14ac:dyDescent="0.25">
      <c r="B219" s="3" t="s">
        <v>3747</v>
      </c>
      <c r="C219" s="1" t="s">
        <v>718</v>
      </c>
      <c r="D219" s="2" t="s">
        <v>3926</v>
      </c>
      <c r="E219" s="1" t="s">
        <v>3928</v>
      </c>
      <c r="F219" s="2" t="s">
        <v>3324</v>
      </c>
      <c r="G219" s="1" t="s">
        <v>2468</v>
      </c>
      <c r="H219" s="1" t="s">
        <v>3322</v>
      </c>
      <c r="I219" t="str">
        <f t="shared" si="32"/>
        <v>1B</v>
      </c>
      <c r="J219" t="str">
        <f t="shared" si="33"/>
        <v xml:space="preserve">1759 </v>
      </c>
      <c r="K219" t="str">
        <f t="shared" si="34"/>
        <v>1759½</v>
      </c>
      <c r="M219" s="8" t="str">
        <f t="shared" si="31"/>
        <v>DN</v>
      </c>
      <c r="N219" t="s">
        <v>3930</v>
      </c>
      <c r="O219" t="s">
        <v>3932</v>
      </c>
      <c r="P219" t="s">
        <v>3376</v>
      </c>
      <c r="Q219" t="s">
        <v>3933</v>
      </c>
      <c r="R219" t="s">
        <v>3934</v>
      </c>
      <c r="S219" t="s">
        <v>3935</v>
      </c>
      <c r="T219" t="s">
        <v>3936</v>
      </c>
      <c r="U219" t="s">
        <v>3321</v>
      </c>
      <c r="V219" t="s">
        <v>3937</v>
      </c>
      <c r="W219" t="s">
        <v>3385</v>
      </c>
      <c r="X219" t="s">
        <v>3324</v>
      </c>
    </row>
    <row r="220" spans="2:30" ht="15" customHeight="1" x14ac:dyDescent="0.25">
      <c r="B220" s="3" t="s">
        <v>3748</v>
      </c>
      <c r="C220" s="1" t="s">
        <v>721</v>
      </c>
      <c r="D220" s="2" t="s">
        <v>3926</v>
      </c>
      <c r="E220" s="1" t="s">
        <v>3928</v>
      </c>
      <c r="F220" s="2" t="s">
        <v>3324</v>
      </c>
      <c r="G220" s="1" t="s">
        <v>2481</v>
      </c>
      <c r="H220" s="1" t="s">
        <v>3322</v>
      </c>
      <c r="I220" t="str">
        <f t="shared" ref="I220:I245" si="35">LEFT(B220,2)</f>
        <v>2R</v>
      </c>
      <c r="J220" t="str">
        <f t="shared" ref="J220:J245" si="36">LEFT(C220,5)</f>
        <v xml:space="preserve">1805 </v>
      </c>
      <c r="K220" t="str">
        <f t="shared" ref="K220:K245" si="37">LEFT(G220,5)</f>
        <v>1805½</v>
      </c>
      <c r="M220" s="8" t="str">
        <f t="shared" si="31"/>
        <v>DN</v>
      </c>
      <c r="N220" t="s">
        <v>3929</v>
      </c>
      <c r="O220" t="s">
        <v>3938</v>
      </c>
      <c r="P220" t="s">
        <v>1033</v>
      </c>
      <c r="Q220" t="s">
        <v>3939</v>
      </c>
      <c r="R220" t="s">
        <v>3326</v>
      </c>
      <c r="S220" t="s">
        <v>3940</v>
      </c>
      <c r="T220" t="s">
        <v>3941</v>
      </c>
      <c r="U220" t="s">
        <v>3942</v>
      </c>
      <c r="V220" t="s">
        <v>3376</v>
      </c>
      <c r="W220" t="s">
        <v>3933</v>
      </c>
      <c r="X220" t="s">
        <v>3934</v>
      </c>
      <c r="Y220" t="s">
        <v>3935</v>
      </c>
      <c r="Z220" t="s">
        <v>3936</v>
      </c>
      <c r="AA220" t="s">
        <v>3321</v>
      </c>
      <c r="AB220" t="s">
        <v>3937</v>
      </c>
      <c r="AC220" t="s">
        <v>3385</v>
      </c>
      <c r="AD220" t="s">
        <v>3324</v>
      </c>
    </row>
    <row r="221" spans="2:30" ht="15" customHeight="1" x14ac:dyDescent="0.25">
      <c r="B221" s="3" t="s">
        <v>3749</v>
      </c>
      <c r="C221" s="1" t="s">
        <v>2490</v>
      </c>
      <c r="D221" s="2" t="s">
        <v>3926</v>
      </c>
      <c r="E221" s="1" t="s">
        <v>3928</v>
      </c>
      <c r="F221" s="2" t="s">
        <v>3324</v>
      </c>
      <c r="G221" s="1" t="s">
        <v>3750</v>
      </c>
      <c r="H221" s="1" t="s">
        <v>3322</v>
      </c>
      <c r="I221" t="str">
        <f t="shared" si="35"/>
        <v>1B</v>
      </c>
      <c r="J221" t="str">
        <f t="shared" si="36"/>
        <v xml:space="preserve">1808 </v>
      </c>
      <c r="K221" t="str">
        <f t="shared" si="37"/>
        <v>1808½</v>
      </c>
      <c r="M221" s="8" t="str">
        <f t="shared" si="31"/>
        <v>DN</v>
      </c>
      <c r="N221" t="s">
        <v>3932</v>
      </c>
      <c r="O221" t="s">
        <v>3376</v>
      </c>
      <c r="P221" t="s">
        <v>3933</v>
      </c>
      <c r="Q221" t="s">
        <v>3934</v>
      </c>
      <c r="R221" t="s">
        <v>3935</v>
      </c>
      <c r="S221" t="s">
        <v>3936</v>
      </c>
      <c r="T221" t="s">
        <v>3321</v>
      </c>
      <c r="U221" t="s">
        <v>3937</v>
      </c>
      <c r="V221" t="s">
        <v>3385</v>
      </c>
      <c r="W221" t="s">
        <v>3324</v>
      </c>
    </row>
    <row r="222" spans="2:30" ht="15" customHeight="1" x14ac:dyDescent="0.25">
      <c r="B222" s="3" t="s">
        <v>3751</v>
      </c>
      <c r="C222" s="1" t="s">
        <v>2498</v>
      </c>
      <c r="D222" s="2" t="s">
        <v>3326</v>
      </c>
      <c r="E222" s="1" t="s">
        <v>3927</v>
      </c>
      <c r="F222" s="2" t="s">
        <v>3926</v>
      </c>
      <c r="G222" s="1" t="s">
        <v>2500</v>
      </c>
      <c r="H222" s="1" t="s">
        <v>3322</v>
      </c>
      <c r="I222" t="str">
        <f t="shared" si="35"/>
        <v>1R</v>
      </c>
      <c r="J222" t="str">
        <f t="shared" si="36"/>
        <v xml:space="preserve">1811 </v>
      </c>
      <c r="K222" t="str">
        <f t="shared" si="37"/>
        <v>1811½</v>
      </c>
      <c r="M222" s="8" t="str">
        <f t="shared" si="31"/>
        <v>UP</v>
      </c>
      <c r="N222" t="s">
        <v>3926</v>
      </c>
    </row>
    <row r="223" spans="2:30" ht="15" customHeight="1" x14ac:dyDescent="0.25">
      <c r="B223" s="3" t="s">
        <v>3752</v>
      </c>
      <c r="C223" s="1" t="s">
        <v>2498</v>
      </c>
      <c r="D223" s="2" t="s">
        <v>3926</v>
      </c>
      <c r="E223" s="1" t="s">
        <v>3928</v>
      </c>
      <c r="F223" s="2" t="s">
        <v>3668</v>
      </c>
      <c r="G223" s="1" t="s">
        <v>2500</v>
      </c>
      <c r="H223" s="1" t="s">
        <v>3322</v>
      </c>
      <c r="I223" t="str">
        <f t="shared" si="35"/>
        <v>2D</v>
      </c>
      <c r="J223" t="str">
        <f t="shared" si="36"/>
        <v xml:space="preserve">1811 </v>
      </c>
      <c r="K223" t="str">
        <f t="shared" si="37"/>
        <v>1811½</v>
      </c>
      <c r="M223" s="8" t="str">
        <f t="shared" si="31"/>
        <v>DN</v>
      </c>
      <c r="N223" t="s">
        <v>3929</v>
      </c>
      <c r="O223" t="s">
        <v>3930</v>
      </c>
      <c r="P223" t="s">
        <v>3943</v>
      </c>
      <c r="Q223" t="s">
        <v>3944</v>
      </c>
      <c r="R223" t="s">
        <v>3326</v>
      </c>
      <c r="S223" t="s">
        <v>3940</v>
      </c>
      <c r="T223" t="s">
        <v>3941</v>
      </c>
      <c r="U223" t="s">
        <v>3942</v>
      </c>
      <c r="V223" t="s">
        <v>3376</v>
      </c>
      <c r="W223" t="s">
        <v>3933</v>
      </c>
      <c r="X223" t="s">
        <v>3934</v>
      </c>
    </row>
    <row r="224" spans="2:30" ht="15" customHeight="1" x14ac:dyDescent="0.25">
      <c r="B224" s="3" t="s">
        <v>3753</v>
      </c>
      <c r="C224" s="1" t="s">
        <v>2507</v>
      </c>
      <c r="D224" s="2" t="s">
        <v>3382</v>
      </c>
      <c r="E224" s="1" t="s">
        <v>3927</v>
      </c>
      <c r="F224" s="2" t="s">
        <v>3926</v>
      </c>
      <c r="G224" s="1" t="s">
        <v>725</v>
      </c>
      <c r="H224" s="1" t="s">
        <v>3322</v>
      </c>
      <c r="I224" t="str">
        <f t="shared" si="35"/>
        <v>2N</v>
      </c>
      <c r="J224" t="str">
        <f t="shared" si="36"/>
        <v>1813½</v>
      </c>
      <c r="K224" t="str">
        <f t="shared" si="37"/>
        <v xml:space="preserve">1814 </v>
      </c>
      <c r="M224" s="8" t="str">
        <f t="shared" si="31"/>
        <v>UP</v>
      </c>
      <c r="N224" t="s">
        <v>3946</v>
      </c>
      <c r="O224" t="s">
        <v>3926</v>
      </c>
    </row>
    <row r="225" spans="2:27" ht="15" customHeight="1" x14ac:dyDescent="0.25">
      <c r="B225" s="3" t="s">
        <v>3754</v>
      </c>
      <c r="C225" s="1" t="s">
        <v>3755</v>
      </c>
      <c r="D225" s="2" t="s">
        <v>3926</v>
      </c>
      <c r="E225" s="1" t="s">
        <v>3928</v>
      </c>
      <c r="F225" s="2" t="s">
        <v>3321</v>
      </c>
      <c r="G225" s="1" t="s">
        <v>2516</v>
      </c>
      <c r="H225" s="1" t="s">
        <v>3322</v>
      </c>
      <c r="I225" t="str">
        <f t="shared" si="35"/>
        <v>2B</v>
      </c>
      <c r="J225" t="str">
        <f t="shared" si="36"/>
        <v xml:space="preserve">1818 </v>
      </c>
      <c r="K225" t="str">
        <f t="shared" si="37"/>
        <v>1818½</v>
      </c>
      <c r="M225" s="8" t="str">
        <f t="shared" si="31"/>
        <v>DN</v>
      </c>
      <c r="N225" t="s">
        <v>3929</v>
      </c>
      <c r="O225" t="s">
        <v>3930</v>
      </c>
      <c r="P225" t="s">
        <v>3931</v>
      </c>
      <c r="Q225" t="s">
        <v>3382</v>
      </c>
      <c r="R225" t="s">
        <v>3932</v>
      </c>
      <c r="S225" t="s">
        <v>3376</v>
      </c>
      <c r="T225" t="s">
        <v>3933</v>
      </c>
      <c r="U225" t="s">
        <v>3934</v>
      </c>
      <c r="V225" t="s">
        <v>3935</v>
      </c>
      <c r="W225" t="s">
        <v>3936</v>
      </c>
      <c r="X225" t="s">
        <v>3321</v>
      </c>
    </row>
    <row r="226" spans="2:27" ht="15" customHeight="1" x14ac:dyDescent="0.25">
      <c r="B226" s="3" t="s">
        <v>3756</v>
      </c>
      <c r="C226" s="1" t="s">
        <v>731</v>
      </c>
      <c r="D226" s="2" t="s">
        <v>3926</v>
      </c>
      <c r="E226" s="1" t="s">
        <v>3928</v>
      </c>
      <c r="F226" s="2" t="s">
        <v>3376</v>
      </c>
      <c r="G226" s="1" t="s">
        <v>2521</v>
      </c>
      <c r="H226" s="1" t="s">
        <v>3322</v>
      </c>
      <c r="I226" t="str">
        <f t="shared" si="35"/>
        <v>2R</v>
      </c>
      <c r="J226" t="str">
        <f t="shared" si="36"/>
        <v xml:space="preserve">1821 </v>
      </c>
      <c r="K226" t="str">
        <f t="shared" si="37"/>
        <v>1821½</v>
      </c>
      <c r="M226" s="8" t="str">
        <f t="shared" si="31"/>
        <v>DN</v>
      </c>
      <c r="N226" t="s">
        <v>3929</v>
      </c>
      <c r="O226" t="s">
        <v>3938</v>
      </c>
      <c r="P226" t="s">
        <v>1033</v>
      </c>
      <c r="Q226" t="s">
        <v>3939</v>
      </c>
      <c r="R226" t="s">
        <v>3326</v>
      </c>
      <c r="S226" t="s">
        <v>3940</v>
      </c>
      <c r="T226" t="s">
        <v>3941</v>
      </c>
      <c r="U226" t="s">
        <v>3942</v>
      </c>
      <c r="V226" t="s">
        <v>3376</v>
      </c>
    </row>
    <row r="227" spans="2:27" ht="15" customHeight="1" x14ac:dyDescent="0.25">
      <c r="B227" s="3" t="s">
        <v>3757</v>
      </c>
      <c r="C227" s="1" t="s">
        <v>3758</v>
      </c>
      <c r="D227" s="2" t="s">
        <v>3324</v>
      </c>
      <c r="E227" s="1" t="s">
        <v>3927</v>
      </c>
      <c r="F227" s="2" t="s">
        <v>3926</v>
      </c>
      <c r="G227" s="1" t="s">
        <v>739</v>
      </c>
      <c r="H227" s="1" t="s">
        <v>3322</v>
      </c>
      <c r="I227" t="str">
        <f t="shared" si="35"/>
        <v>1B</v>
      </c>
      <c r="J227" t="str">
        <f t="shared" si="36"/>
        <v>1825½</v>
      </c>
      <c r="K227" t="str">
        <f t="shared" si="37"/>
        <v xml:space="preserve">1826 </v>
      </c>
      <c r="M227" s="8" t="str">
        <f t="shared" si="31"/>
        <v>UP</v>
      </c>
      <c r="N227" t="s">
        <v>3926</v>
      </c>
    </row>
    <row r="228" spans="2:27" ht="15" customHeight="1" x14ac:dyDescent="0.25">
      <c r="B228" s="3" t="s">
        <v>3759</v>
      </c>
      <c r="C228" s="1" t="s">
        <v>3760</v>
      </c>
      <c r="D228" s="2" t="s">
        <v>3382</v>
      </c>
      <c r="E228" s="1" t="s">
        <v>3927</v>
      </c>
      <c r="F228" s="2" t="s">
        <v>3926</v>
      </c>
      <c r="G228" s="1" t="s">
        <v>740</v>
      </c>
      <c r="H228" s="1" t="s">
        <v>3322</v>
      </c>
      <c r="I228" t="str">
        <f t="shared" si="35"/>
        <v>2N</v>
      </c>
      <c r="J228" t="str">
        <f t="shared" si="36"/>
        <v>1829½</v>
      </c>
      <c r="K228" t="str">
        <f t="shared" si="37"/>
        <v xml:space="preserve">1830 </v>
      </c>
      <c r="M228" s="8" t="str">
        <f t="shared" si="31"/>
        <v>UP</v>
      </c>
      <c r="N228" t="s">
        <v>3946</v>
      </c>
      <c r="O228" t="s">
        <v>3926</v>
      </c>
    </row>
    <row r="229" spans="2:27" ht="15" customHeight="1" x14ac:dyDescent="0.25">
      <c r="B229" s="3" t="s">
        <v>3761</v>
      </c>
      <c r="C229" s="1" t="s">
        <v>2549</v>
      </c>
      <c r="D229" s="2" t="s">
        <v>3926</v>
      </c>
      <c r="E229" s="1" t="s">
        <v>3928</v>
      </c>
      <c r="F229" s="2" t="s">
        <v>3321</v>
      </c>
      <c r="G229" s="1" t="s">
        <v>3762</v>
      </c>
      <c r="H229" s="1" t="s">
        <v>3322</v>
      </c>
      <c r="I229" t="str">
        <f t="shared" si="35"/>
        <v>1D</v>
      </c>
      <c r="J229" t="str">
        <f t="shared" si="36"/>
        <v xml:space="preserve">1832 </v>
      </c>
      <c r="K229" t="str">
        <f t="shared" si="37"/>
        <v>1832½</v>
      </c>
      <c r="M229" s="8" t="str">
        <f t="shared" si="31"/>
        <v>DN</v>
      </c>
      <c r="N229" t="s">
        <v>3930</v>
      </c>
      <c r="O229" t="s">
        <v>3943</v>
      </c>
      <c r="P229" t="s">
        <v>3944</v>
      </c>
      <c r="Q229" t="s">
        <v>3326</v>
      </c>
      <c r="R229" t="s">
        <v>3940</v>
      </c>
      <c r="S229" t="s">
        <v>3941</v>
      </c>
      <c r="T229" t="s">
        <v>3942</v>
      </c>
      <c r="U229" t="s">
        <v>3376</v>
      </c>
      <c r="V229" t="s">
        <v>3933</v>
      </c>
      <c r="W229" t="s">
        <v>3934</v>
      </c>
      <c r="X229" t="s">
        <v>3935</v>
      </c>
      <c r="Y229" t="s">
        <v>3936</v>
      </c>
      <c r="Z229" t="s">
        <v>3321</v>
      </c>
    </row>
    <row r="230" spans="2:27" ht="15" customHeight="1" x14ac:dyDescent="0.25">
      <c r="B230" s="3" t="s">
        <v>3763</v>
      </c>
      <c r="C230" s="1" t="s">
        <v>2551</v>
      </c>
      <c r="D230" s="2" t="s">
        <v>3376</v>
      </c>
      <c r="E230" s="1" t="s">
        <v>3927</v>
      </c>
      <c r="F230" s="2" t="s">
        <v>3926</v>
      </c>
      <c r="G230" s="1" t="s">
        <v>745</v>
      </c>
      <c r="H230" s="1" t="s">
        <v>3322</v>
      </c>
      <c r="I230" t="str">
        <f t="shared" si="35"/>
        <v>2R</v>
      </c>
      <c r="J230" t="str">
        <f t="shared" si="36"/>
        <v>1832½</v>
      </c>
      <c r="K230" t="str">
        <f t="shared" si="37"/>
        <v xml:space="preserve">1833 </v>
      </c>
      <c r="M230" s="8" t="str">
        <f t="shared" si="31"/>
        <v>UP</v>
      </c>
      <c r="N230" t="s">
        <v>3946</v>
      </c>
      <c r="O230" t="s">
        <v>3926</v>
      </c>
    </row>
    <row r="231" spans="2:27" ht="15" customHeight="1" x14ac:dyDescent="0.25">
      <c r="B231" s="3" t="s">
        <v>3764</v>
      </c>
      <c r="C231" s="1" t="s">
        <v>2560</v>
      </c>
      <c r="D231" s="2" t="s">
        <v>3926</v>
      </c>
      <c r="E231" s="1" t="s">
        <v>3928</v>
      </c>
      <c r="F231" s="2" t="s">
        <v>3324</v>
      </c>
      <c r="G231" s="1" t="s">
        <v>2561</v>
      </c>
      <c r="H231" s="1" t="s">
        <v>3322</v>
      </c>
      <c r="I231" t="str">
        <f t="shared" si="35"/>
        <v>2B</v>
      </c>
      <c r="J231" t="str">
        <f t="shared" si="36"/>
        <v xml:space="preserve">1836 </v>
      </c>
      <c r="K231" t="str">
        <f t="shared" si="37"/>
        <v>1836½</v>
      </c>
      <c r="M231" s="8" t="str">
        <f t="shared" si="31"/>
        <v>DN</v>
      </c>
      <c r="N231" t="s">
        <v>3929</v>
      </c>
      <c r="O231" t="s">
        <v>3930</v>
      </c>
      <c r="P231" t="s">
        <v>3931</v>
      </c>
      <c r="Q231" t="s">
        <v>3382</v>
      </c>
      <c r="R231" t="s">
        <v>3932</v>
      </c>
      <c r="S231" t="s">
        <v>3376</v>
      </c>
      <c r="T231" t="s">
        <v>3933</v>
      </c>
      <c r="U231" t="s">
        <v>3934</v>
      </c>
      <c r="V231" t="s">
        <v>3935</v>
      </c>
      <c r="W231" t="s">
        <v>3936</v>
      </c>
      <c r="X231" t="s">
        <v>3321</v>
      </c>
      <c r="Y231" t="s">
        <v>3937</v>
      </c>
      <c r="Z231" t="s">
        <v>3385</v>
      </c>
      <c r="AA231" t="s">
        <v>3324</v>
      </c>
    </row>
    <row r="232" spans="2:27" ht="15" customHeight="1" x14ac:dyDescent="0.25">
      <c r="B232" s="3" t="s">
        <v>3765</v>
      </c>
      <c r="C232" s="1" t="s">
        <v>2578</v>
      </c>
      <c r="D232" s="2" t="s">
        <v>3926</v>
      </c>
      <c r="E232" s="1" t="s">
        <v>3928</v>
      </c>
      <c r="F232" s="2" t="s">
        <v>3376</v>
      </c>
      <c r="G232" s="1" t="s">
        <v>2574</v>
      </c>
      <c r="H232" s="1" t="s">
        <v>3322</v>
      </c>
      <c r="I232" t="str">
        <f t="shared" si="35"/>
        <v>2R</v>
      </c>
      <c r="J232" t="str">
        <f t="shared" si="36"/>
        <v xml:space="preserve">1840 </v>
      </c>
      <c r="K232" t="str">
        <f t="shared" si="37"/>
        <v>1840½</v>
      </c>
      <c r="M232" s="8" t="str">
        <f t="shared" si="31"/>
        <v>DN</v>
      </c>
      <c r="N232" t="s">
        <v>3929</v>
      </c>
      <c r="O232" t="s">
        <v>3938</v>
      </c>
      <c r="P232" t="s">
        <v>1033</v>
      </c>
      <c r="Q232" t="s">
        <v>3939</v>
      </c>
      <c r="R232" t="s">
        <v>3326</v>
      </c>
      <c r="S232" t="s">
        <v>3940</v>
      </c>
      <c r="T232" t="s">
        <v>3941</v>
      </c>
      <c r="U232" t="s">
        <v>3942</v>
      </c>
      <c r="V232" t="s">
        <v>3376</v>
      </c>
    </row>
    <row r="233" spans="2:27" ht="15" customHeight="1" x14ac:dyDescent="0.25">
      <c r="B233" s="3" t="s">
        <v>3766</v>
      </c>
      <c r="C233" s="1" t="s">
        <v>751</v>
      </c>
      <c r="D233" s="2" t="s">
        <v>3324</v>
      </c>
      <c r="E233" s="1" t="s">
        <v>3927</v>
      </c>
      <c r="F233" s="2" t="s">
        <v>3926</v>
      </c>
      <c r="G233" s="1" t="s">
        <v>754</v>
      </c>
      <c r="H233" s="1" t="s">
        <v>3322</v>
      </c>
      <c r="I233" t="str">
        <f t="shared" si="35"/>
        <v>2B</v>
      </c>
      <c r="J233" t="str">
        <f t="shared" si="36"/>
        <v>1844½</v>
      </c>
      <c r="K233" t="str">
        <f t="shared" si="37"/>
        <v xml:space="preserve">1845 </v>
      </c>
      <c r="M233" s="8" t="str">
        <f t="shared" si="31"/>
        <v>UP</v>
      </c>
      <c r="N233" t="s">
        <v>3946</v>
      </c>
      <c r="O233" t="s">
        <v>3926</v>
      </c>
    </row>
    <row r="234" spans="2:27" ht="15" customHeight="1" x14ac:dyDescent="0.25">
      <c r="B234" s="3" t="s">
        <v>3767</v>
      </c>
      <c r="C234" s="1" t="s">
        <v>2601</v>
      </c>
      <c r="D234" s="2" t="s">
        <v>3926</v>
      </c>
      <c r="E234" s="1" t="s">
        <v>3928</v>
      </c>
      <c r="F234" s="2" t="s">
        <v>3324</v>
      </c>
      <c r="G234" s="1" t="s">
        <v>3768</v>
      </c>
      <c r="H234" s="1" t="s">
        <v>3322</v>
      </c>
      <c r="I234" t="str">
        <f t="shared" si="35"/>
        <v>1B</v>
      </c>
      <c r="J234" t="str">
        <f t="shared" si="36"/>
        <v xml:space="preserve">1850 </v>
      </c>
      <c r="K234" t="str">
        <f t="shared" si="37"/>
        <v>1850½</v>
      </c>
      <c r="M234" s="8" t="str">
        <f t="shared" si="31"/>
        <v>DN</v>
      </c>
      <c r="N234" t="s">
        <v>3932</v>
      </c>
      <c r="O234" t="s">
        <v>3933</v>
      </c>
      <c r="P234" t="s">
        <v>3934</v>
      </c>
      <c r="Q234" t="s">
        <v>3935</v>
      </c>
      <c r="R234" t="s">
        <v>3936</v>
      </c>
      <c r="S234" t="s">
        <v>3321</v>
      </c>
      <c r="T234" t="s">
        <v>3937</v>
      </c>
      <c r="U234" t="s">
        <v>3385</v>
      </c>
      <c r="V234" t="s">
        <v>3324</v>
      </c>
    </row>
    <row r="235" spans="2:27" ht="15" customHeight="1" x14ac:dyDescent="0.25">
      <c r="B235" s="3" t="s">
        <v>3769</v>
      </c>
      <c r="C235" s="1" t="s">
        <v>2611</v>
      </c>
      <c r="D235" s="2" t="s">
        <v>3926</v>
      </c>
      <c r="E235" s="1" t="s">
        <v>3928</v>
      </c>
      <c r="F235" s="2" t="s">
        <v>3324</v>
      </c>
      <c r="G235" s="1" t="s">
        <v>761</v>
      </c>
      <c r="H235" s="1" t="s">
        <v>3322</v>
      </c>
      <c r="I235" t="str">
        <f t="shared" si="35"/>
        <v>2B</v>
      </c>
      <c r="J235" t="str">
        <f t="shared" si="36"/>
        <v>1855½</v>
      </c>
      <c r="K235" t="str">
        <f t="shared" si="37"/>
        <v xml:space="preserve">1856 </v>
      </c>
      <c r="M235" s="8" t="str">
        <f t="shared" si="31"/>
        <v>DN</v>
      </c>
      <c r="N235" t="s">
        <v>3929</v>
      </c>
      <c r="O235" t="s">
        <v>3930</v>
      </c>
      <c r="P235" t="s">
        <v>3931</v>
      </c>
      <c r="Q235" t="s">
        <v>3382</v>
      </c>
      <c r="R235" t="s">
        <v>3932</v>
      </c>
      <c r="S235" t="s">
        <v>3376</v>
      </c>
      <c r="T235" t="s">
        <v>3933</v>
      </c>
      <c r="U235" t="s">
        <v>3934</v>
      </c>
      <c r="V235" t="s">
        <v>3935</v>
      </c>
      <c r="W235" t="s">
        <v>3936</v>
      </c>
      <c r="X235" t="s">
        <v>3321</v>
      </c>
      <c r="Y235" t="s">
        <v>3937</v>
      </c>
      <c r="Z235" t="s">
        <v>3385</v>
      </c>
      <c r="AA235" t="s">
        <v>3324</v>
      </c>
    </row>
    <row r="236" spans="2:27" ht="15" customHeight="1" x14ac:dyDescent="0.25">
      <c r="B236" s="3" t="s">
        <v>3770</v>
      </c>
      <c r="C236" s="1" t="s">
        <v>2620</v>
      </c>
      <c r="D236" s="2" t="s">
        <v>3926</v>
      </c>
      <c r="E236" s="1" t="s">
        <v>3928</v>
      </c>
      <c r="F236" s="2" t="s">
        <v>3321</v>
      </c>
      <c r="G236" s="1" t="s">
        <v>3771</v>
      </c>
      <c r="H236" s="1" t="s">
        <v>3322</v>
      </c>
      <c r="I236" t="str">
        <f t="shared" si="35"/>
        <v>2R</v>
      </c>
      <c r="J236" t="str">
        <f t="shared" si="36"/>
        <v xml:space="preserve">1900 </v>
      </c>
      <c r="K236" t="str">
        <f t="shared" si="37"/>
        <v>1900½</v>
      </c>
      <c r="M236" s="8" t="str">
        <f t="shared" si="31"/>
        <v>DN</v>
      </c>
      <c r="N236" t="s">
        <v>3929</v>
      </c>
      <c r="O236" t="s">
        <v>3938</v>
      </c>
      <c r="P236" t="s">
        <v>1033</v>
      </c>
      <c r="Q236" t="s">
        <v>3939</v>
      </c>
      <c r="R236" t="s">
        <v>3326</v>
      </c>
      <c r="S236" t="s">
        <v>3940</v>
      </c>
      <c r="T236" t="s">
        <v>3941</v>
      </c>
      <c r="U236" t="s">
        <v>3942</v>
      </c>
      <c r="V236" t="s">
        <v>3376</v>
      </c>
      <c r="W236" t="s">
        <v>3933</v>
      </c>
      <c r="X236" t="s">
        <v>3934</v>
      </c>
      <c r="Y236" t="s">
        <v>3935</v>
      </c>
      <c r="Z236" t="s">
        <v>3936</v>
      </c>
      <c r="AA236" t="s">
        <v>3321</v>
      </c>
    </row>
    <row r="237" spans="2:27" ht="15" customHeight="1" x14ac:dyDescent="0.25">
      <c r="B237" s="3" t="s">
        <v>3772</v>
      </c>
      <c r="C237" s="1" t="s">
        <v>2620</v>
      </c>
      <c r="D237" s="2" t="s">
        <v>3376</v>
      </c>
      <c r="E237" s="1" t="s">
        <v>3927</v>
      </c>
      <c r="F237" s="2" t="s">
        <v>3926</v>
      </c>
      <c r="G237" s="1" t="s">
        <v>3771</v>
      </c>
      <c r="H237" s="1" t="s">
        <v>3322</v>
      </c>
      <c r="I237" t="str">
        <f t="shared" si="35"/>
        <v>2R</v>
      </c>
      <c r="J237" t="str">
        <f t="shared" si="36"/>
        <v xml:space="preserve">1900 </v>
      </c>
      <c r="K237" t="str">
        <f t="shared" si="37"/>
        <v>1900½</v>
      </c>
      <c r="M237" s="8" t="str">
        <f t="shared" si="31"/>
        <v>UP</v>
      </c>
      <c r="N237" t="s">
        <v>3946</v>
      </c>
      <c r="O237" t="s">
        <v>3926</v>
      </c>
    </row>
    <row r="238" spans="2:27" ht="15" customHeight="1" x14ac:dyDescent="0.25">
      <c r="B238" s="3" t="s">
        <v>3773</v>
      </c>
      <c r="C238" s="1" t="s">
        <v>2626</v>
      </c>
      <c r="D238" s="2" t="s">
        <v>3324</v>
      </c>
      <c r="E238" s="1" t="s">
        <v>3927</v>
      </c>
      <c r="F238" s="2" t="s">
        <v>3926</v>
      </c>
      <c r="G238" s="1" t="s">
        <v>3774</v>
      </c>
      <c r="H238" s="1" t="s">
        <v>3322</v>
      </c>
      <c r="I238" t="str">
        <f t="shared" si="35"/>
        <v>2B</v>
      </c>
      <c r="J238" t="str">
        <f t="shared" si="36"/>
        <v>1903½</v>
      </c>
      <c r="K238" t="str">
        <f t="shared" si="37"/>
        <v xml:space="preserve">1904 </v>
      </c>
      <c r="M238" s="8" t="str">
        <f t="shared" si="31"/>
        <v>UP</v>
      </c>
      <c r="N238" t="s">
        <v>3946</v>
      </c>
      <c r="O238" t="s">
        <v>3926</v>
      </c>
    </row>
    <row r="239" spans="2:27" ht="15" customHeight="1" x14ac:dyDescent="0.25">
      <c r="B239" s="3" t="s">
        <v>3775</v>
      </c>
      <c r="C239" s="1" t="s">
        <v>772</v>
      </c>
      <c r="D239" s="2" t="s">
        <v>3926</v>
      </c>
      <c r="E239" s="1" t="s">
        <v>3928</v>
      </c>
      <c r="F239" s="2" t="s">
        <v>3376</v>
      </c>
      <c r="G239" s="1" t="s">
        <v>3776</v>
      </c>
      <c r="H239" s="1" t="s">
        <v>3322</v>
      </c>
      <c r="I239" t="str">
        <f t="shared" si="35"/>
        <v>1D</v>
      </c>
      <c r="J239" t="str">
        <f t="shared" si="36"/>
        <v xml:space="preserve">1910 </v>
      </c>
      <c r="K239" t="str">
        <f t="shared" si="37"/>
        <v>1910½</v>
      </c>
      <c r="M239" s="8" t="str">
        <f t="shared" si="31"/>
        <v>DN</v>
      </c>
      <c r="N239" t="s">
        <v>3929</v>
      </c>
      <c r="O239" t="s">
        <v>3930</v>
      </c>
      <c r="P239" t="s">
        <v>3943</v>
      </c>
      <c r="Q239" t="s">
        <v>3944</v>
      </c>
      <c r="R239" t="s">
        <v>3326</v>
      </c>
      <c r="S239" t="s">
        <v>3940</v>
      </c>
      <c r="T239" t="s">
        <v>3941</v>
      </c>
      <c r="U239" t="s">
        <v>3942</v>
      </c>
      <c r="V239" t="s">
        <v>3376</v>
      </c>
    </row>
    <row r="240" spans="2:27" ht="15" customHeight="1" x14ac:dyDescent="0.25">
      <c r="B240" s="3" t="s">
        <v>3777</v>
      </c>
      <c r="C240" s="1" t="s">
        <v>3778</v>
      </c>
      <c r="D240" s="2" t="s">
        <v>3324</v>
      </c>
      <c r="E240" s="1" t="s">
        <v>3927</v>
      </c>
      <c r="F240" s="2" t="s">
        <v>3926</v>
      </c>
      <c r="G240" s="1" t="s">
        <v>776</v>
      </c>
      <c r="H240" s="1" t="s">
        <v>3322</v>
      </c>
      <c r="I240" t="str">
        <f t="shared" si="35"/>
        <v>1B</v>
      </c>
      <c r="J240" t="str">
        <f t="shared" si="36"/>
        <v>1915½</v>
      </c>
      <c r="K240" t="str">
        <f t="shared" si="37"/>
        <v xml:space="preserve">1916 </v>
      </c>
      <c r="M240" s="8" t="str">
        <f t="shared" si="31"/>
        <v>UP</v>
      </c>
      <c r="N240" t="s">
        <v>3926</v>
      </c>
    </row>
    <row r="241" spans="2:27" ht="15" customHeight="1" x14ac:dyDescent="0.25">
      <c r="B241" s="3" t="s">
        <v>3779</v>
      </c>
      <c r="C241" s="1" t="s">
        <v>778</v>
      </c>
      <c r="D241" s="2" t="s">
        <v>3926</v>
      </c>
      <c r="E241" s="1" t="s">
        <v>3928</v>
      </c>
      <c r="F241" s="2" t="s">
        <v>3326</v>
      </c>
      <c r="G241" s="1" t="s">
        <v>3780</v>
      </c>
      <c r="H241" s="1" t="s">
        <v>3322</v>
      </c>
      <c r="I241" t="str">
        <f t="shared" si="35"/>
        <v>2R</v>
      </c>
      <c r="J241" t="str">
        <f t="shared" si="36"/>
        <v xml:space="preserve">1917 </v>
      </c>
      <c r="K241" t="str">
        <f t="shared" si="37"/>
        <v>1917½</v>
      </c>
      <c r="M241" s="8" t="str">
        <f t="shared" si="31"/>
        <v>DN</v>
      </c>
      <c r="N241" t="s">
        <v>3929</v>
      </c>
      <c r="O241" t="s">
        <v>3938</v>
      </c>
      <c r="P241" t="s">
        <v>1033</v>
      </c>
      <c r="Q241" t="s">
        <v>3939</v>
      </c>
      <c r="R241" t="s">
        <v>3326</v>
      </c>
    </row>
    <row r="242" spans="2:27" ht="15" customHeight="1" x14ac:dyDescent="0.25">
      <c r="B242" s="3" t="s">
        <v>3781</v>
      </c>
      <c r="C242" s="1" t="s">
        <v>3782</v>
      </c>
      <c r="D242" s="2" t="s">
        <v>3326</v>
      </c>
      <c r="E242" s="1" t="s">
        <v>3927</v>
      </c>
      <c r="F242" s="2" t="s">
        <v>3926</v>
      </c>
      <c r="G242" s="1" t="s">
        <v>3783</v>
      </c>
      <c r="H242" s="1" t="s">
        <v>3322</v>
      </c>
      <c r="I242" t="str">
        <f t="shared" si="35"/>
        <v>1R</v>
      </c>
      <c r="J242" t="str">
        <f t="shared" si="36"/>
        <v>1919½</v>
      </c>
      <c r="K242" t="str">
        <f t="shared" si="37"/>
        <v xml:space="preserve">1920 </v>
      </c>
      <c r="M242" s="8" t="str">
        <f t="shared" si="31"/>
        <v>UP</v>
      </c>
      <c r="N242" t="s">
        <v>3926</v>
      </c>
    </row>
    <row r="243" spans="2:27" ht="15" customHeight="1" x14ac:dyDescent="0.25">
      <c r="B243" s="3" t="s">
        <v>3784</v>
      </c>
      <c r="C243" s="1" t="s">
        <v>3783</v>
      </c>
      <c r="D243" s="2" t="s">
        <v>3926</v>
      </c>
      <c r="E243" s="1" t="s">
        <v>3928</v>
      </c>
      <c r="F243" s="2" t="s">
        <v>3324</v>
      </c>
      <c r="G243" s="1" t="s">
        <v>3785</v>
      </c>
      <c r="H243" s="1" t="s">
        <v>3322</v>
      </c>
      <c r="I243" t="str">
        <f t="shared" si="35"/>
        <v>2B</v>
      </c>
      <c r="J243" t="str">
        <f t="shared" si="36"/>
        <v xml:space="preserve">1920 </v>
      </c>
      <c r="K243" t="str">
        <f t="shared" si="37"/>
        <v>1920½</v>
      </c>
      <c r="M243" s="8" t="str">
        <f t="shared" si="31"/>
        <v>DN</v>
      </c>
      <c r="N243" t="s">
        <v>3929</v>
      </c>
      <c r="O243" t="s">
        <v>3930</v>
      </c>
      <c r="P243" t="s">
        <v>3931</v>
      </c>
      <c r="Q243" t="s">
        <v>3382</v>
      </c>
      <c r="R243" t="s">
        <v>3932</v>
      </c>
      <c r="S243" t="s">
        <v>3376</v>
      </c>
      <c r="T243" t="s">
        <v>3933</v>
      </c>
      <c r="U243" t="s">
        <v>3934</v>
      </c>
      <c r="V243" t="s">
        <v>3935</v>
      </c>
      <c r="W243" t="s">
        <v>3936</v>
      </c>
      <c r="X243" t="s">
        <v>3321</v>
      </c>
      <c r="Y243" t="s">
        <v>3937</v>
      </c>
      <c r="Z243" t="s">
        <v>3385</v>
      </c>
      <c r="AA243" t="s">
        <v>3324</v>
      </c>
    </row>
    <row r="244" spans="2:27" ht="15" customHeight="1" x14ac:dyDescent="0.25">
      <c r="B244" s="3" t="s">
        <v>3786</v>
      </c>
      <c r="C244" s="1" t="s">
        <v>2661</v>
      </c>
      <c r="D244" s="2" t="s">
        <v>3321</v>
      </c>
      <c r="E244" s="1" t="s">
        <v>3927</v>
      </c>
      <c r="F244" s="2" t="s">
        <v>3926</v>
      </c>
      <c r="G244" s="1" t="s">
        <v>2662</v>
      </c>
      <c r="H244" s="1" t="s">
        <v>3322</v>
      </c>
      <c r="I244" t="str">
        <f t="shared" si="35"/>
        <v>2D</v>
      </c>
      <c r="J244" t="str">
        <f t="shared" si="36"/>
        <v xml:space="preserve">1927 </v>
      </c>
      <c r="K244" t="str">
        <f t="shared" si="37"/>
        <v>1927½</v>
      </c>
      <c r="M244" s="8" t="str">
        <f t="shared" si="31"/>
        <v>UP</v>
      </c>
      <c r="N244" t="s">
        <v>3946</v>
      </c>
      <c r="O244" t="s">
        <v>3926</v>
      </c>
    </row>
    <row r="245" spans="2:27" ht="15" customHeight="1" x14ac:dyDescent="0.25">
      <c r="B245" s="3" t="s">
        <v>3787</v>
      </c>
      <c r="C245" s="1" t="s">
        <v>2666</v>
      </c>
      <c r="D245" s="2" t="s">
        <v>3926</v>
      </c>
      <c r="E245" s="1" t="s">
        <v>3928</v>
      </c>
      <c r="F245" s="2" t="s">
        <v>3321</v>
      </c>
      <c r="G245" s="1" t="s">
        <v>3788</v>
      </c>
      <c r="H245" s="1" t="s">
        <v>3322</v>
      </c>
      <c r="I245" t="str">
        <f t="shared" si="35"/>
        <v>2D</v>
      </c>
      <c r="J245" t="str">
        <f t="shared" si="36"/>
        <v xml:space="preserve">1929 </v>
      </c>
      <c r="K245" t="str">
        <f t="shared" si="37"/>
        <v>1929½</v>
      </c>
      <c r="M245" s="8" t="str">
        <f t="shared" si="31"/>
        <v>DN</v>
      </c>
      <c r="N245" t="s">
        <v>3929</v>
      </c>
      <c r="O245" t="s">
        <v>3930</v>
      </c>
      <c r="P245" t="s">
        <v>3943</v>
      </c>
      <c r="Q245" t="s">
        <v>3944</v>
      </c>
      <c r="R245" t="s">
        <v>3326</v>
      </c>
      <c r="S245" t="s">
        <v>3940</v>
      </c>
      <c r="T245" t="s">
        <v>3941</v>
      </c>
      <c r="U245" t="s">
        <v>3942</v>
      </c>
      <c r="V245" t="s">
        <v>3376</v>
      </c>
      <c r="W245" t="s">
        <v>3933</v>
      </c>
      <c r="X245" t="s">
        <v>3934</v>
      </c>
      <c r="Y245" t="s">
        <v>3935</v>
      </c>
      <c r="Z245" t="s">
        <v>3936</v>
      </c>
      <c r="AA245" t="s">
        <v>3321</v>
      </c>
    </row>
    <row r="246" spans="2:27" ht="15" customHeight="1" x14ac:dyDescent="0.25">
      <c r="B246" s="3" t="s">
        <v>3789</v>
      </c>
      <c r="C246" s="1" t="s">
        <v>3790</v>
      </c>
      <c r="D246" s="2" t="s">
        <v>3324</v>
      </c>
      <c r="E246" s="1" t="s">
        <v>3927</v>
      </c>
      <c r="F246" s="2" t="s">
        <v>3926</v>
      </c>
      <c r="G246" s="1" t="s">
        <v>3791</v>
      </c>
      <c r="H246" s="1" t="s">
        <v>3322</v>
      </c>
      <c r="I246" t="str">
        <f t="shared" ref="I246:I268" si="38">LEFT(B246,2)</f>
        <v>2B</v>
      </c>
      <c r="J246" t="str">
        <f t="shared" ref="J246:J268" si="39">LEFT(C246,5)</f>
        <v>1933½</v>
      </c>
      <c r="K246" t="str">
        <f t="shared" ref="K246:K268" si="40">LEFT(G246,5)</f>
        <v xml:space="preserve">1934 </v>
      </c>
      <c r="M246" s="8" t="str">
        <f t="shared" si="31"/>
        <v>UP</v>
      </c>
      <c r="N246" t="s">
        <v>3946</v>
      </c>
      <c r="O246" t="s">
        <v>3926</v>
      </c>
    </row>
    <row r="247" spans="2:27" ht="15" customHeight="1" x14ac:dyDescent="0.25">
      <c r="B247" s="3" t="s">
        <v>3792</v>
      </c>
      <c r="C247" s="1" t="s">
        <v>3793</v>
      </c>
      <c r="D247" s="2" t="s">
        <v>3926</v>
      </c>
      <c r="E247" s="1" t="s">
        <v>3928</v>
      </c>
      <c r="F247" s="2" t="s">
        <v>3382</v>
      </c>
      <c r="G247" s="1" t="s">
        <v>3794</v>
      </c>
      <c r="H247" s="1" t="s">
        <v>3322</v>
      </c>
      <c r="I247" t="str">
        <f t="shared" si="38"/>
        <v>2N</v>
      </c>
      <c r="J247" t="str">
        <f t="shared" si="39"/>
        <v xml:space="preserve">1941 </v>
      </c>
      <c r="K247" t="str">
        <f t="shared" si="40"/>
        <v>1941½</v>
      </c>
      <c r="M247" s="8" t="str">
        <f t="shared" si="31"/>
        <v>DN</v>
      </c>
      <c r="N247" t="s">
        <v>3929</v>
      </c>
      <c r="O247" t="s">
        <v>3930</v>
      </c>
      <c r="P247" t="s">
        <v>3931</v>
      </c>
      <c r="Q247" t="s">
        <v>3382</v>
      </c>
    </row>
    <row r="248" spans="2:27" ht="15" customHeight="1" x14ac:dyDescent="0.25">
      <c r="B248" s="3" t="s">
        <v>3795</v>
      </c>
      <c r="C248" s="1" t="s">
        <v>3796</v>
      </c>
      <c r="D248" s="2" t="s">
        <v>3926</v>
      </c>
      <c r="E248" s="1" t="s">
        <v>3928</v>
      </c>
      <c r="F248" s="2" t="s">
        <v>3326</v>
      </c>
      <c r="G248" s="1" t="s">
        <v>3797</v>
      </c>
      <c r="H248" s="1" t="s">
        <v>3322</v>
      </c>
      <c r="I248" t="str">
        <f t="shared" si="38"/>
        <v>2R</v>
      </c>
      <c r="J248" t="str">
        <f t="shared" si="39"/>
        <v xml:space="preserve">1944 </v>
      </c>
      <c r="K248" t="str">
        <f t="shared" si="40"/>
        <v>1944½</v>
      </c>
      <c r="M248" s="8" t="str">
        <f t="shared" si="31"/>
        <v>DN</v>
      </c>
      <c r="N248" t="s">
        <v>3929</v>
      </c>
      <c r="O248" t="s">
        <v>3938</v>
      </c>
      <c r="P248" t="s">
        <v>1033</v>
      </c>
      <c r="Q248" t="s">
        <v>3939</v>
      </c>
      <c r="R248" t="s">
        <v>3326</v>
      </c>
    </row>
    <row r="249" spans="2:27" ht="15" customHeight="1" x14ac:dyDescent="0.25">
      <c r="B249" s="3" t="s">
        <v>3798</v>
      </c>
      <c r="C249" s="1" t="s">
        <v>3799</v>
      </c>
      <c r="D249" s="2" t="s">
        <v>3324</v>
      </c>
      <c r="E249" s="1" t="s">
        <v>3927</v>
      </c>
      <c r="F249" s="2" t="s">
        <v>3926</v>
      </c>
      <c r="G249" s="1" t="s">
        <v>2874</v>
      </c>
      <c r="H249" s="1" t="s">
        <v>3322</v>
      </c>
      <c r="I249" t="str">
        <f t="shared" si="38"/>
        <v>1B</v>
      </c>
      <c r="J249" t="str">
        <f t="shared" si="39"/>
        <v>1945½</v>
      </c>
      <c r="K249" t="str">
        <f t="shared" si="40"/>
        <v xml:space="preserve">1946 </v>
      </c>
      <c r="M249" s="8" t="str">
        <f t="shared" si="31"/>
        <v>UP</v>
      </c>
      <c r="N249" t="s">
        <v>3926</v>
      </c>
    </row>
    <row r="250" spans="2:27" ht="15" customHeight="1" x14ac:dyDescent="0.25">
      <c r="B250" s="3" t="s">
        <v>3800</v>
      </c>
      <c r="C250" s="1" t="s">
        <v>3801</v>
      </c>
      <c r="D250" s="2" t="s">
        <v>3326</v>
      </c>
      <c r="E250" s="1" t="s">
        <v>3927</v>
      </c>
      <c r="F250" s="2" t="s">
        <v>3926</v>
      </c>
      <c r="G250" s="1" t="s">
        <v>800</v>
      </c>
      <c r="H250" s="1" t="s">
        <v>3322</v>
      </c>
      <c r="I250" t="str">
        <f t="shared" si="38"/>
        <v>2R</v>
      </c>
      <c r="J250" t="str">
        <f t="shared" si="39"/>
        <v xml:space="preserve">1948 </v>
      </c>
      <c r="K250" t="str">
        <f t="shared" si="40"/>
        <v>1948½</v>
      </c>
      <c r="M250" s="8" t="str">
        <f t="shared" si="31"/>
        <v>UP</v>
      </c>
      <c r="N250" t="s">
        <v>3946</v>
      </c>
      <c r="O250" t="s">
        <v>3926</v>
      </c>
    </row>
    <row r="251" spans="2:27" ht="15" customHeight="1" x14ac:dyDescent="0.25">
      <c r="B251" s="3" t="s">
        <v>3802</v>
      </c>
      <c r="C251" s="1" t="s">
        <v>803</v>
      </c>
      <c r="D251" s="2" t="s">
        <v>3926</v>
      </c>
      <c r="E251" s="1" t="s">
        <v>3928</v>
      </c>
      <c r="F251" s="2" t="s">
        <v>3324</v>
      </c>
      <c r="G251" s="1" t="s">
        <v>3803</v>
      </c>
      <c r="H251" s="1" t="s">
        <v>3322</v>
      </c>
      <c r="I251" t="str">
        <f t="shared" si="38"/>
        <v>2B</v>
      </c>
      <c r="J251" t="str">
        <f t="shared" si="39"/>
        <v xml:space="preserve">1949 </v>
      </c>
      <c r="K251" t="str">
        <f t="shared" si="40"/>
        <v>1949½</v>
      </c>
      <c r="M251" s="8" t="str">
        <f t="shared" si="31"/>
        <v>DN</v>
      </c>
      <c r="N251" t="s">
        <v>3929</v>
      </c>
      <c r="O251" t="s">
        <v>3930</v>
      </c>
      <c r="P251" t="s">
        <v>3931</v>
      </c>
      <c r="Q251" t="s">
        <v>3382</v>
      </c>
      <c r="R251" t="s">
        <v>3932</v>
      </c>
      <c r="S251" t="s">
        <v>3376</v>
      </c>
      <c r="T251" t="s">
        <v>3933</v>
      </c>
      <c r="U251" t="s">
        <v>3934</v>
      </c>
      <c r="V251" t="s">
        <v>3935</v>
      </c>
      <c r="W251" t="s">
        <v>3936</v>
      </c>
      <c r="X251" t="s">
        <v>3321</v>
      </c>
      <c r="Y251" t="s">
        <v>3937</v>
      </c>
      <c r="Z251" t="s">
        <v>3385</v>
      </c>
      <c r="AA251" t="s">
        <v>3324</v>
      </c>
    </row>
    <row r="252" spans="2:27" ht="15" customHeight="1" x14ac:dyDescent="0.25">
      <c r="B252" s="3" t="s">
        <v>3804</v>
      </c>
      <c r="C252" s="1" t="s">
        <v>3805</v>
      </c>
      <c r="D252" s="2" t="s">
        <v>3321</v>
      </c>
      <c r="E252" s="1" t="s">
        <v>3927</v>
      </c>
      <c r="F252" s="2" t="s">
        <v>3926</v>
      </c>
      <c r="G252" s="1" t="s">
        <v>809</v>
      </c>
      <c r="H252" s="1" t="s">
        <v>3322</v>
      </c>
      <c r="I252" t="str">
        <f t="shared" si="38"/>
        <v>2D</v>
      </c>
      <c r="J252" t="str">
        <f t="shared" si="39"/>
        <v>1955½</v>
      </c>
      <c r="K252" t="str">
        <f t="shared" si="40"/>
        <v xml:space="preserve">1956 </v>
      </c>
      <c r="M252" s="8" t="str">
        <f t="shared" ref="M252:M313" si="41">E252</f>
        <v>UP</v>
      </c>
      <c r="N252" t="s">
        <v>3946</v>
      </c>
      <c r="O252" t="s">
        <v>3926</v>
      </c>
    </row>
    <row r="253" spans="2:27" ht="15" customHeight="1" x14ac:dyDescent="0.25">
      <c r="B253" s="3" t="s">
        <v>3806</v>
      </c>
      <c r="C253" s="1" t="s">
        <v>814</v>
      </c>
      <c r="D253" s="2" t="s">
        <v>3926</v>
      </c>
      <c r="E253" s="1" t="s">
        <v>3928</v>
      </c>
      <c r="F253" s="2" t="s">
        <v>3321</v>
      </c>
      <c r="G253" s="1" t="s">
        <v>3807</v>
      </c>
      <c r="H253" s="1" t="s">
        <v>3322</v>
      </c>
      <c r="I253" t="str">
        <f t="shared" si="38"/>
        <v>2D</v>
      </c>
      <c r="J253" t="str">
        <f t="shared" si="39"/>
        <v xml:space="preserve">1959 </v>
      </c>
      <c r="K253" t="str">
        <f t="shared" si="40"/>
        <v>1959½</v>
      </c>
      <c r="M253" s="8" t="str">
        <f t="shared" si="41"/>
        <v>DN</v>
      </c>
      <c r="N253" t="s">
        <v>3929</v>
      </c>
      <c r="O253" t="s">
        <v>3930</v>
      </c>
      <c r="P253" t="s">
        <v>3943</v>
      </c>
      <c r="Q253" t="s">
        <v>3944</v>
      </c>
      <c r="R253" t="s">
        <v>3326</v>
      </c>
      <c r="S253" t="s">
        <v>3940</v>
      </c>
      <c r="T253" t="s">
        <v>3941</v>
      </c>
      <c r="U253" t="s">
        <v>3942</v>
      </c>
      <c r="V253" t="s">
        <v>3376</v>
      </c>
      <c r="W253" t="s">
        <v>3933</v>
      </c>
      <c r="X253" t="s">
        <v>3934</v>
      </c>
      <c r="Y253" t="s">
        <v>3935</v>
      </c>
      <c r="Z253" t="s">
        <v>3936</v>
      </c>
      <c r="AA253" t="s">
        <v>3321</v>
      </c>
    </row>
    <row r="254" spans="2:27" ht="15" customHeight="1" x14ac:dyDescent="0.25">
      <c r="B254" s="3" t="s">
        <v>3808</v>
      </c>
      <c r="C254" s="1" t="s">
        <v>3809</v>
      </c>
      <c r="D254" s="2" t="s">
        <v>3324</v>
      </c>
      <c r="E254" s="1" t="s">
        <v>3927</v>
      </c>
      <c r="F254" s="2" t="s">
        <v>3926</v>
      </c>
      <c r="G254" s="1" t="s">
        <v>3810</v>
      </c>
      <c r="H254" s="1" t="s">
        <v>3322</v>
      </c>
      <c r="I254" t="str">
        <f t="shared" si="38"/>
        <v>2B</v>
      </c>
      <c r="J254" t="str">
        <f t="shared" si="39"/>
        <v>2003½</v>
      </c>
      <c r="K254" t="str">
        <f t="shared" si="40"/>
        <v xml:space="preserve">2004 </v>
      </c>
      <c r="M254" s="8" t="str">
        <f t="shared" si="41"/>
        <v>UP</v>
      </c>
      <c r="N254" t="s">
        <v>3946</v>
      </c>
      <c r="O254" t="s">
        <v>3926</v>
      </c>
    </row>
    <row r="255" spans="2:27" ht="15" customHeight="1" x14ac:dyDescent="0.25">
      <c r="B255" s="3" t="s">
        <v>3811</v>
      </c>
      <c r="C255" s="1" t="s">
        <v>2711</v>
      </c>
      <c r="D255" s="2" t="s">
        <v>3926</v>
      </c>
      <c r="E255" s="1" t="s">
        <v>3928</v>
      </c>
      <c r="F255" s="2" t="s">
        <v>3324</v>
      </c>
      <c r="G255" s="1" t="s">
        <v>2713</v>
      </c>
      <c r="H255" s="1" t="s">
        <v>3322</v>
      </c>
      <c r="I255" t="str">
        <f t="shared" si="38"/>
        <v>1B</v>
      </c>
      <c r="J255" t="str">
        <f t="shared" si="39"/>
        <v xml:space="preserve">2008 </v>
      </c>
      <c r="K255" t="str">
        <f t="shared" si="40"/>
        <v>2008½</v>
      </c>
      <c r="M255" s="8" t="str">
        <f t="shared" si="41"/>
        <v>DN</v>
      </c>
      <c r="N255" t="s">
        <v>3929</v>
      </c>
      <c r="O255" t="s">
        <v>3930</v>
      </c>
      <c r="P255" t="s">
        <v>3382</v>
      </c>
      <c r="Q255" t="s">
        <v>3932</v>
      </c>
      <c r="R255" t="s">
        <v>3933</v>
      </c>
      <c r="S255" t="s">
        <v>3934</v>
      </c>
      <c r="T255" t="s">
        <v>3935</v>
      </c>
      <c r="U255" t="s">
        <v>3936</v>
      </c>
      <c r="V255" t="s">
        <v>3321</v>
      </c>
      <c r="W255" t="s">
        <v>3937</v>
      </c>
      <c r="X255" t="s">
        <v>3385</v>
      </c>
      <c r="Y255" t="s">
        <v>3324</v>
      </c>
    </row>
    <row r="256" spans="2:27" ht="15" customHeight="1" x14ac:dyDescent="0.25">
      <c r="B256" s="3" t="s">
        <v>3812</v>
      </c>
      <c r="C256" s="1" t="s">
        <v>821</v>
      </c>
      <c r="D256" s="2" t="s">
        <v>3926</v>
      </c>
      <c r="E256" s="1" t="s">
        <v>3928</v>
      </c>
      <c r="F256" s="2" t="s">
        <v>3326</v>
      </c>
      <c r="G256" s="1" t="s">
        <v>3813</v>
      </c>
      <c r="H256" s="1" t="s">
        <v>3322</v>
      </c>
      <c r="I256" t="str">
        <f t="shared" si="38"/>
        <v>2R</v>
      </c>
      <c r="J256" t="str">
        <f t="shared" si="39"/>
        <v xml:space="preserve">2014 </v>
      </c>
      <c r="K256" t="str">
        <f t="shared" si="40"/>
        <v>2014½</v>
      </c>
      <c r="M256" s="8" t="str">
        <f t="shared" si="41"/>
        <v>DN</v>
      </c>
      <c r="N256" t="s">
        <v>3929</v>
      </c>
      <c r="O256" t="s">
        <v>3938</v>
      </c>
      <c r="P256" t="s">
        <v>1033</v>
      </c>
      <c r="Q256" t="s">
        <v>3939</v>
      </c>
      <c r="R256" t="s">
        <v>3326</v>
      </c>
    </row>
    <row r="257" spans="2:27" ht="15" customHeight="1" x14ac:dyDescent="0.25">
      <c r="B257" s="3" t="s">
        <v>3814</v>
      </c>
      <c r="C257" s="1" t="s">
        <v>3815</v>
      </c>
      <c r="D257" s="2" t="s">
        <v>3324</v>
      </c>
      <c r="E257" s="1" t="s">
        <v>3927</v>
      </c>
      <c r="F257" s="2" t="s">
        <v>3926</v>
      </c>
      <c r="G257" s="1" t="s">
        <v>824</v>
      </c>
      <c r="H257" s="1" t="s">
        <v>3322</v>
      </c>
      <c r="I257" t="str">
        <f t="shared" si="38"/>
        <v>1B</v>
      </c>
      <c r="J257" t="str">
        <f t="shared" si="39"/>
        <v>2015½</v>
      </c>
      <c r="K257" t="str">
        <f t="shared" si="40"/>
        <v xml:space="preserve">2016 </v>
      </c>
      <c r="M257" s="8" t="str">
        <f t="shared" si="41"/>
        <v>UP</v>
      </c>
      <c r="N257" t="s">
        <v>3926</v>
      </c>
    </row>
    <row r="258" spans="2:27" ht="15" customHeight="1" x14ac:dyDescent="0.25">
      <c r="B258" s="3" t="s">
        <v>3816</v>
      </c>
      <c r="C258" s="1" t="s">
        <v>3817</v>
      </c>
      <c r="D258" s="2" t="s">
        <v>3326</v>
      </c>
      <c r="E258" s="1" t="s">
        <v>3927</v>
      </c>
      <c r="F258" s="2" t="s">
        <v>3926</v>
      </c>
      <c r="G258" s="1" t="s">
        <v>2720</v>
      </c>
      <c r="H258" s="1" t="s">
        <v>3322</v>
      </c>
      <c r="I258" t="str">
        <f t="shared" si="38"/>
        <v>2R</v>
      </c>
      <c r="J258" t="str">
        <f t="shared" si="39"/>
        <v xml:space="preserve">2018 </v>
      </c>
      <c r="K258" t="str">
        <f t="shared" si="40"/>
        <v>2018½</v>
      </c>
      <c r="M258" s="8" t="str">
        <f t="shared" si="41"/>
        <v>UP</v>
      </c>
      <c r="N258" t="s">
        <v>3946</v>
      </c>
      <c r="O258" t="s">
        <v>3926</v>
      </c>
    </row>
    <row r="259" spans="2:27" ht="15" customHeight="1" x14ac:dyDescent="0.25">
      <c r="B259" s="3" t="s">
        <v>3818</v>
      </c>
      <c r="C259" s="1" t="s">
        <v>829</v>
      </c>
      <c r="D259" s="2" t="s">
        <v>3926</v>
      </c>
      <c r="E259" s="1" t="s">
        <v>3928</v>
      </c>
      <c r="F259" s="2" t="s">
        <v>3324</v>
      </c>
      <c r="G259" s="1" t="s">
        <v>2723</v>
      </c>
      <c r="H259" s="1" t="s">
        <v>3322</v>
      </c>
      <c r="I259" t="str">
        <f t="shared" si="38"/>
        <v>2B</v>
      </c>
      <c r="J259" t="str">
        <f t="shared" si="39"/>
        <v xml:space="preserve">2019 </v>
      </c>
      <c r="K259" t="str">
        <f t="shared" si="40"/>
        <v>2019½</v>
      </c>
      <c r="M259" s="8" t="str">
        <f t="shared" si="41"/>
        <v>DN</v>
      </c>
      <c r="N259" t="s">
        <v>3929</v>
      </c>
      <c r="O259" t="s">
        <v>3930</v>
      </c>
      <c r="P259" t="s">
        <v>3931</v>
      </c>
      <c r="Q259" t="s">
        <v>3382</v>
      </c>
      <c r="R259" t="s">
        <v>3932</v>
      </c>
      <c r="S259" t="s">
        <v>3376</v>
      </c>
      <c r="T259" t="s">
        <v>3933</v>
      </c>
      <c r="U259" t="s">
        <v>3934</v>
      </c>
      <c r="V259" t="s">
        <v>3935</v>
      </c>
      <c r="W259" t="s">
        <v>3936</v>
      </c>
      <c r="X259" t="s">
        <v>3321</v>
      </c>
      <c r="Y259" t="s">
        <v>3937</v>
      </c>
      <c r="Z259" t="s">
        <v>3385</v>
      </c>
      <c r="AA259" t="s">
        <v>3324</v>
      </c>
    </row>
    <row r="260" spans="2:27" ht="15" customHeight="1" x14ac:dyDescent="0.25">
      <c r="B260" s="3" t="s">
        <v>3819</v>
      </c>
      <c r="C260" s="1" t="s">
        <v>3820</v>
      </c>
      <c r="D260" s="2" t="s">
        <v>3321</v>
      </c>
      <c r="E260" s="1" t="s">
        <v>3927</v>
      </c>
      <c r="F260" s="2" t="s">
        <v>3926</v>
      </c>
      <c r="G260" s="1" t="s">
        <v>835</v>
      </c>
      <c r="H260" s="1" t="s">
        <v>3322</v>
      </c>
      <c r="I260" t="str">
        <f t="shared" si="38"/>
        <v>2D</v>
      </c>
      <c r="J260" t="str">
        <f t="shared" si="39"/>
        <v>2025½</v>
      </c>
      <c r="K260" t="str">
        <f t="shared" si="40"/>
        <v xml:space="preserve">2026 </v>
      </c>
      <c r="M260" s="8" t="str">
        <f t="shared" si="41"/>
        <v>UP</v>
      </c>
      <c r="N260" t="s">
        <v>3946</v>
      </c>
      <c r="O260" t="s">
        <v>3926</v>
      </c>
    </row>
    <row r="261" spans="2:27" ht="15" customHeight="1" x14ac:dyDescent="0.25">
      <c r="B261" s="3" t="s">
        <v>3821</v>
      </c>
      <c r="C261" s="1" t="s">
        <v>2736</v>
      </c>
      <c r="D261" s="2" t="s">
        <v>3926</v>
      </c>
      <c r="E261" s="1" t="s">
        <v>3928</v>
      </c>
      <c r="F261" s="2" t="s">
        <v>3321</v>
      </c>
      <c r="G261" s="1" t="s">
        <v>3822</v>
      </c>
      <c r="H261" s="1" t="s">
        <v>3322</v>
      </c>
      <c r="I261" t="str">
        <f t="shared" si="38"/>
        <v>2D</v>
      </c>
      <c r="J261" t="str">
        <f t="shared" si="39"/>
        <v xml:space="preserve">2029 </v>
      </c>
      <c r="K261" t="str">
        <f t="shared" si="40"/>
        <v>2029½</v>
      </c>
      <c r="M261" s="8" t="str">
        <f t="shared" si="41"/>
        <v>DN</v>
      </c>
      <c r="N261" t="s">
        <v>3929</v>
      </c>
      <c r="O261" t="s">
        <v>3930</v>
      </c>
      <c r="P261" t="s">
        <v>3943</v>
      </c>
      <c r="Q261" t="s">
        <v>3944</v>
      </c>
      <c r="R261" t="s">
        <v>3326</v>
      </c>
      <c r="S261" t="s">
        <v>3940</v>
      </c>
      <c r="T261" t="s">
        <v>3941</v>
      </c>
      <c r="U261" t="s">
        <v>3942</v>
      </c>
      <c r="V261" t="s">
        <v>3376</v>
      </c>
      <c r="W261" t="s">
        <v>3933</v>
      </c>
      <c r="X261" t="s">
        <v>3934</v>
      </c>
      <c r="Y261" t="s">
        <v>3935</v>
      </c>
      <c r="Z261" t="s">
        <v>3936</v>
      </c>
      <c r="AA261" t="s">
        <v>3321</v>
      </c>
    </row>
    <row r="262" spans="2:27" ht="15" customHeight="1" x14ac:dyDescent="0.25">
      <c r="B262" s="3" t="s">
        <v>3823</v>
      </c>
      <c r="C262" s="1" t="s">
        <v>3824</v>
      </c>
      <c r="D262" s="2" t="s">
        <v>3324</v>
      </c>
      <c r="E262" s="1" t="s">
        <v>3927</v>
      </c>
      <c r="F262" s="2" t="s">
        <v>3926</v>
      </c>
      <c r="G262" s="1" t="s">
        <v>3825</v>
      </c>
      <c r="H262" s="1" t="s">
        <v>3322</v>
      </c>
      <c r="I262" t="str">
        <f t="shared" si="38"/>
        <v>2B</v>
      </c>
      <c r="J262" t="str">
        <f t="shared" si="39"/>
        <v>2033½</v>
      </c>
      <c r="K262" t="str">
        <f t="shared" si="40"/>
        <v xml:space="preserve">2034 </v>
      </c>
      <c r="M262" s="8" t="str">
        <f t="shared" si="41"/>
        <v>UP</v>
      </c>
      <c r="N262" t="s">
        <v>3946</v>
      </c>
      <c r="O262" t="s">
        <v>3926</v>
      </c>
    </row>
    <row r="263" spans="2:27" ht="15" customHeight="1" x14ac:dyDescent="0.25">
      <c r="B263" s="3" t="s">
        <v>3826</v>
      </c>
      <c r="C263" s="1" t="s">
        <v>2751</v>
      </c>
      <c r="D263" s="2" t="s">
        <v>3926</v>
      </c>
      <c r="E263" s="1" t="s">
        <v>3928</v>
      </c>
      <c r="F263" s="2" t="s">
        <v>3324</v>
      </c>
      <c r="G263" s="1" t="s">
        <v>2752</v>
      </c>
      <c r="H263" s="1" t="s">
        <v>3322</v>
      </c>
      <c r="I263" t="str">
        <f t="shared" si="38"/>
        <v>1B</v>
      </c>
      <c r="J263" t="str">
        <f t="shared" si="39"/>
        <v xml:space="preserve">2039 </v>
      </c>
      <c r="K263" t="str">
        <f t="shared" si="40"/>
        <v>2039½</v>
      </c>
      <c r="M263" s="8" t="str">
        <f t="shared" si="41"/>
        <v>DN</v>
      </c>
      <c r="N263" t="s">
        <v>3929</v>
      </c>
      <c r="O263" t="s">
        <v>3930</v>
      </c>
      <c r="P263" t="s">
        <v>3382</v>
      </c>
      <c r="Q263" t="s">
        <v>3932</v>
      </c>
      <c r="R263" t="s">
        <v>3933</v>
      </c>
      <c r="S263" t="s">
        <v>3934</v>
      </c>
      <c r="T263" t="s">
        <v>3935</v>
      </c>
      <c r="U263" t="s">
        <v>3936</v>
      </c>
      <c r="V263" t="s">
        <v>3321</v>
      </c>
      <c r="W263" t="s">
        <v>3937</v>
      </c>
      <c r="X263" t="s">
        <v>3385</v>
      </c>
      <c r="Y263" t="s">
        <v>3324</v>
      </c>
    </row>
    <row r="264" spans="2:27" ht="15" customHeight="1" x14ac:dyDescent="0.25">
      <c r="B264" s="3" t="s">
        <v>3827</v>
      </c>
      <c r="C264" s="1" t="s">
        <v>3828</v>
      </c>
      <c r="D264" s="2" t="s">
        <v>3326</v>
      </c>
      <c r="E264" s="1" t="s">
        <v>3927</v>
      </c>
      <c r="F264" s="2" t="s">
        <v>3926</v>
      </c>
      <c r="G264" s="1" t="s">
        <v>3829</v>
      </c>
      <c r="H264" s="1" t="s">
        <v>3322</v>
      </c>
      <c r="I264" t="str">
        <f t="shared" si="38"/>
        <v>2R</v>
      </c>
      <c r="J264" t="str">
        <f t="shared" si="39"/>
        <v xml:space="preserve">2041 </v>
      </c>
      <c r="K264" t="str">
        <f t="shared" si="40"/>
        <v>2041½</v>
      </c>
      <c r="M264" s="8" t="str">
        <f t="shared" si="41"/>
        <v>UP</v>
      </c>
      <c r="N264" t="s">
        <v>3946</v>
      </c>
      <c r="O264" t="s">
        <v>3926</v>
      </c>
    </row>
    <row r="265" spans="2:27" ht="15" customHeight="1" x14ac:dyDescent="0.25">
      <c r="B265" s="3" t="s">
        <v>3830</v>
      </c>
      <c r="C265" s="1" t="s">
        <v>3831</v>
      </c>
      <c r="D265" s="2" t="s">
        <v>3926</v>
      </c>
      <c r="E265" s="1" t="s">
        <v>3928</v>
      </c>
      <c r="F265" s="2" t="s">
        <v>3326</v>
      </c>
      <c r="G265" s="1" t="s">
        <v>3832</v>
      </c>
      <c r="H265" s="1" t="s">
        <v>3322</v>
      </c>
      <c r="I265" t="str">
        <f t="shared" si="38"/>
        <v>2R</v>
      </c>
      <c r="J265" t="str">
        <f t="shared" si="39"/>
        <v xml:space="preserve">2044 </v>
      </c>
      <c r="K265" t="str">
        <f t="shared" si="40"/>
        <v>2044½</v>
      </c>
      <c r="M265" s="8" t="str">
        <f t="shared" si="41"/>
        <v>DN</v>
      </c>
      <c r="N265" t="s">
        <v>3929</v>
      </c>
      <c r="O265" t="s">
        <v>3938</v>
      </c>
      <c r="P265" t="s">
        <v>1033</v>
      </c>
      <c r="Q265" t="s">
        <v>3939</v>
      </c>
      <c r="R265" t="s">
        <v>3326</v>
      </c>
    </row>
    <row r="266" spans="2:27" ht="15" customHeight="1" x14ac:dyDescent="0.25">
      <c r="B266" s="3" t="s">
        <v>3833</v>
      </c>
      <c r="C266" s="1" t="s">
        <v>3834</v>
      </c>
      <c r="D266" s="2" t="s">
        <v>3324</v>
      </c>
      <c r="E266" s="1" t="s">
        <v>3927</v>
      </c>
      <c r="F266" s="2" t="s">
        <v>3926</v>
      </c>
      <c r="G266" s="1" t="s">
        <v>2873</v>
      </c>
      <c r="H266" s="1" t="s">
        <v>3322</v>
      </c>
      <c r="I266" t="str">
        <f t="shared" si="38"/>
        <v>1B</v>
      </c>
      <c r="J266" t="str">
        <f t="shared" si="39"/>
        <v>2045½</v>
      </c>
      <c r="K266" t="str">
        <f t="shared" si="40"/>
        <v xml:space="preserve">2046 </v>
      </c>
      <c r="M266" s="8" t="str">
        <f t="shared" si="41"/>
        <v>UP</v>
      </c>
      <c r="N266" t="s">
        <v>3926</v>
      </c>
    </row>
    <row r="267" spans="2:27" ht="15" customHeight="1" x14ac:dyDescent="0.25">
      <c r="B267" s="3" t="s">
        <v>3835</v>
      </c>
      <c r="C267" s="1" t="s">
        <v>851</v>
      </c>
      <c r="D267" s="2" t="s">
        <v>3926</v>
      </c>
      <c r="E267" s="1" t="s">
        <v>3928</v>
      </c>
      <c r="F267" s="2" t="s">
        <v>3324</v>
      </c>
      <c r="G267" s="1" t="s">
        <v>3836</v>
      </c>
      <c r="H267" s="1" t="s">
        <v>3322</v>
      </c>
      <c r="I267" t="str">
        <f t="shared" si="38"/>
        <v>2B</v>
      </c>
      <c r="J267" t="str">
        <f t="shared" si="39"/>
        <v xml:space="preserve">2049 </v>
      </c>
      <c r="K267" t="str">
        <f t="shared" si="40"/>
        <v>2049½</v>
      </c>
      <c r="M267" s="8" t="str">
        <f t="shared" si="41"/>
        <v>DN</v>
      </c>
      <c r="N267" t="s">
        <v>3929</v>
      </c>
      <c r="O267" t="s">
        <v>3930</v>
      </c>
      <c r="P267" t="s">
        <v>3931</v>
      </c>
      <c r="Q267" t="s">
        <v>3382</v>
      </c>
      <c r="R267" t="s">
        <v>3932</v>
      </c>
      <c r="S267" t="s">
        <v>3376</v>
      </c>
      <c r="T267" t="s">
        <v>3933</v>
      </c>
      <c r="U267" t="s">
        <v>3934</v>
      </c>
      <c r="V267" t="s">
        <v>3935</v>
      </c>
      <c r="W267" t="s">
        <v>3936</v>
      </c>
      <c r="X267" t="s">
        <v>3321</v>
      </c>
      <c r="Y267" t="s">
        <v>3937</v>
      </c>
      <c r="Z267" t="s">
        <v>3385</v>
      </c>
      <c r="AA267" t="s">
        <v>3324</v>
      </c>
    </row>
    <row r="268" spans="2:27" ht="15" customHeight="1" x14ac:dyDescent="0.25">
      <c r="B268" s="3" t="s">
        <v>3837</v>
      </c>
      <c r="C268" s="1" t="s">
        <v>3838</v>
      </c>
      <c r="D268" s="2" t="s">
        <v>3321</v>
      </c>
      <c r="E268" s="1" t="s">
        <v>3927</v>
      </c>
      <c r="F268" s="2" t="s">
        <v>3926</v>
      </c>
      <c r="G268" s="1" t="s">
        <v>857</v>
      </c>
      <c r="H268" s="1" t="s">
        <v>3322</v>
      </c>
      <c r="I268" t="str">
        <f t="shared" si="38"/>
        <v>2D</v>
      </c>
      <c r="J268" t="str">
        <f t="shared" si="39"/>
        <v>2055½</v>
      </c>
      <c r="K268" t="str">
        <f t="shared" si="40"/>
        <v xml:space="preserve">2056 </v>
      </c>
      <c r="M268" s="8" t="str">
        <f t="shared" si="41"/>
        <v>UP</v>
      </c>
      <c r="N268" t="s">
        <v>3946</v>
      </c>
      <c r="O268" t="s">
        <v>3926</v>
      </c>
    </row>
    <row r="269" spans="2:27" ht="15" customHeight="1" x14ac:dyDescent="0.25">
      <c r="B269" s="3" t="s">
        <v>3839</v>
      </c>
      <c r="C269" s="1" t="s">
        <v>862</v>
      </c>
      <c r="D269" s="2" t="s">
        <v>3926</v>
      </c>
      <c r="E269" s="1" t="s">
        <v>3928</v>
      </c>
      <c r="F269" s="2" t="s">
        <v>3321</v>
      </c>
      <c r="G269" s="1" t="s">
        <v>3840</v>
      </c>
      <c r="H269" s="1" t="s">
        <v>3322</v>
      </c>
      <c r="I269" t="str">
        <f t="shared" ref="I269" si="42">LEFT(B269,2)</f>
        <v>2D</v>
      </c>
      <c r="J269" t="str">
        <f t="shared" ref="J269" si="43">LEFT(C269,5)</f>
        <v xml:space="preserve">2059 </v>
      </c>
      <c r="K269" t="str">
        <f t="shared" ref="K269" si="44">LEFT(G269,5)</f>
        <v>2059½</v>
      </c>
      <c r="M269" s="8" t="str">
        <f t="shared" si="41"/>
        <v>DN</v>
      </c>
      <c r="N269" t="s">
        <v>3929</v>
      </c>
      <c r="O269" t="s">
        <v>3930</v>
      </c>
      <c r="P269" t="s">
        <v>3943</v>
      </c>
      <c r="Q269" t="s">
        <v>3944</v>
      </c>
      <c r="R269" t="s">
        <v>3326</v>
      </c>
      <c r="S269" t="s">
        <v>3940</v>
      </c>
      <c r="T269" t="s">
        <v>3941</v>
      </c>
      <c r="U269" t="s">
        <v>3942</v>
      </c>
      <c r="V269" t="s">
        <v>3376</v>
      </c>
      <c r="W269" t="s">
        <v>3933</v>
      </c>
      <c r="X269" t="s">
        <v>3934</v>
      </c>
      <c r="Y269" t="s">
        <v>3935</v>
      </c>
      <c r="Z269" t="s">
        <v>3936</v>
      </c>
      <c r="AA269" t="s">
        <v>3321</v>
      </c>
    </row>
    <row r="270" spans="2:27" ht="15" customHeight="1" x14ac:dyDescent="0.25">
      <c r="B270" s="3" t="s">
        <v>3841</v>
      </c>
      <c r="C270" s="1" t="s">
        <v>3842</v>
      </c>
      <c r="D270" s="2" t="s">
        <v>3324</v>
      </c>
      <c r="E270" s="1" t="s">
        <v>3927</v>
      </c>
      <c r="F270" s="2" t="s">
        <v>3926</v>
      </c>
      <c r="G270" s="1" t="s">
        <v>3843</v>
      </c>
      <c r="H270" s="1" t="s">
        <v>3322</v>
      </c>
      <c r="I270" t="str">
        <f t="shared" ref="I270:I292" si="45">LEFT(B270,2)</f>
        <v>2B</v>
      </c>
      <c r="J270" t="str">
        <f t="shared" ref="J270:J292" si="46">LEFT(C270,5)</f>
        <v>2103½</v>
      </c>
      <c r="K270" t="str">
        <f t="shared" ref="K270:K292" si="47">LEFT(G270,5)</f>
        <v xml:space="preserve">2104 </v>
      </c>
      <c r="M270" s="8" t="str">
        <f t="shared" si="41"/>
        <v>UP</v>
      </c>
      <c r="N270" t="s">
        <v>3946</v>
      </c>
      <c r="O270" t="s">
        <v>3926</v>
      </c>
    </row>
    <row r="271" spans="2:27" ht="15" customHeight="1" x14ac:dyDescent="0.25">
      <c r="B271" s="3" t="s">
        <v>3844</v>
      </c>
      <c r="C271" s="1" t="s">
        <v>3845</v>
      </c>
      <c r="D271" s="2" t="s">
        <v>3926</v>
      </c>
      <c r="E271" s="1" t="s">
        <v>3928</v>
      </c>
      <c r="F271" s="2" t="s">
        <v>3324</v>
      </c>
      <c r="G271" s="1" t="s">
        <v>2781</v>
      </c>
      <c r="H271" s="1" t="s">
        <v>3322</v>
      </c>
      <c r="I271" t="str">
        <f t="shared" si="45"/>
        <v>1B</v>
      </c>
      <c r="J271" t="str">
        <f t="shared" si="46"/>
        <v xml:space="preserve">2108 </v>
      </c>
      <c r="K271" t="str">
        <f t="shared" si="47"/>
        <v>2108½</v>
      </c>
      <c r="M271" s="8" t="str">
        <f t="shared" si="41"/>
        <v>DN</v>
      </c>
      <c r="N271" t="s">
        <v>3929</v>
      </c>
      <c r="O271" t="s">
        <v>3930</v>
      </c>
      <c r="P271" t="s">
        <v>3382</v>
      </c>
      <c r="Q271" t="s">
        <v>3932</v>
      </c>
      <c r="R271" t="s">
        <v>3933</v>
      </c>
      <c r="S271" t="s">
        <v>3934</v>
      </c>
      <c r="T271" t="s">
        <v>3935</v>
      </c>
      <c r="U271" t="s">
        <v>3936</v>
      </c>
      <c r="V271" t="s">
        <v>3321</v>
      </c>
      <c r="W271" t="s">
        <v>3937</v>
      </c>
      <c r="X271" t="s">
        <v>3385</v>
      </c>
      <c r="Y271" t="s">
        <v>3324</v>
      </c>
    </row>
    <row r="272" spans="2:27" ht="15" customHeight="1" x14ac:dyDescent="0.25">
      <c r="B272" s="3" t="s">
        <v>3846</v>
      </c>
      <c r="C272" s="1" t="s">
        <v>3847</v>
      </c>
      <c r="D272" s="2" t="s">
        <v>3326</v>
      </c>
      <c r="E272" s="1" t="s">
        <v>3927</v>
      </c>
      <c r="F272" s="2" t="s">
        <v>3926</v>
      </c>
      <c r="G272" s="1" t="s">
        <v>3848</v>
      </c>
      <c r="H272" s="1" t="s">
        <v>3322</v>
      </c>
      <c r="I272" t="str">
        <f t="shared" si="45"/>
        <v>2R</v>
      </c>
      <c r="J272" t="str">
        <f t="shared" si="46"/>
        <v xml:space="preserve">2111 </v>
      </c>
      <c r="K272" t="str">
        <f t="shared" si="47"/>
        <v>2111½</v>
      </c>
      <c r="M272" s="8" t="str">
        <f t="shared" si="41"/>
        <v>UP</v>
      </c>
      <c r="N272" t="s">
        <v>3946</v>
      </c>
      <c r="O272" t="s">
        <v>3926</v>
      </c>
    </row>
    <row r="273" spans="2:30" ht="15" customHeight="1" x14ac:dyDescent="0.25">
      <c r="B273" s="3" t="s">
        <v>3849</v>
      </c>
      <c r="C273" s="1" t="s">
        <v>869</v>
      </c>
      <c r="D273" s="2" t="s">
        <v>3926</v>
      </c>
      <c r="E273" s="1" t="s">
        <v>3928</v>
      </c>
      <c r="F273" s="2" t="s">
        <v>3326</v>
      </c>
      <c r="G273" s="1" t="s">
        <v>3850</v>
      </c>
      <c r="H273" s="1" t="s">
        <v>3322</v>
      </c>
      <c r="I273" t="str">
        <f t="shared" si="45"/>
        <v>2R</v>
      </c>
      <c r="J273" t="str">
        <f t="shared" si="46"/>
        <v xml:space="preserve">2114 </v>
      </c>
      <c r="K273" t="str">
        <f t="shared" si="47"/>
        <v>2114½</v>
      </c>
      <c r="M273" s="8" t="str">
        <f t="shared" si="41"/>
        <v>DN</v>
      </c>
      <c r="N273" t="s">
        <v>3929</v>
      </c>
      <c r="O273" t="s">
        <v>3938</v>
      </c>
      <c r="P273" t="s">
        <v>1033</v>
      </c>
      <c r="Q273" t="s">
        <v>3939</v>
      </c>
      <c r="R273" t="s">
        <v>3326</v>
      </c>
    </row>
    <row r="274" spans="2:30" ht="15" customHeight="1" x14ac:dyDescent="0.25">
      <c r="B274" s="3" t="s">
        <v>3851</v>
      </c>
      <c r="C274" s="1" t="s">
        <v>3852</v>
      </c>
      <c r="D274" s="2" t="s">
        <v>3324</v>
      </c>
      <c r="E274" s="1" t="s">
        <v>3927</v>
      </c>
      <c r="F274" s="2" t="s">
        <v>3926</v>
      </c>
      <c r="G274" s="1" t="s">
        <v>872</v>
      </c>
      <c r="H274" s="1" t="s">
        <v>3322</v>
      </c>
      <c r="I274" t="str">
        <f t="shared" si="45"/>
        <v>1B</v>
      </c>
      <c r="J274" t="str">
        <f t="shared" si="46"/>
        <v>2115½</v>
      </c>
      <c r="K274" t="str">
        <f t="shared" si="47"/>
        <v xml:space="preserve">2116 </v>
      </c>
      <c r="M274" s="8" t="str">
        <f t="shared" si="41"/>
        <v>UP</v>
      </c>
      <c r="N274" t="s">
        <v>3926</v>
      </c>
    </row>
    <row r="275" spans="2:30" ht="15" customHeight="1" x14ac:dyDescent="0.25">
      <c r="B275" s="3" t="s">
        <v>3853</v>
      </c>
      <c r="C275" s="1" t="s">
        <v>877</v>
      </c>
      <c r="D275" s="2" t="s">
        <v>3926</v>
      </c>
      <c r="E275" s="1" t="s">
        <v>3928</v>
      </c>
      <c r="F275" s="2" t="s">
        <v>3324</v>
      </c>
      <c r="G275" s="1" t="s">
        <v>2789</v>
      </c>
      <c r="H275" s="1" t="s">
        <v>3322</v>
      </c>
      <c r="I275" t="str">
        <f t="shared" si="45"/>
        <v>2B</v>
      </c>
      <c r="J275" t="str">
        <f t="shared" si="46"/>
        <v xml:space="preserve">2119 </v>
      </c>
      <c r="K275" t="str">
        <f t="shared" si="47"/>
        <v>2119½</v>
      </c>
      <c r="M275" s="8" t="str">
        <f t="shared" si="41"/>
        <v>DN</v>
      </c>
      <c r="N275" t="s">
        <v>3929</v>
      </c>
      <c r="O275" t="s">
        <v>3930</v>
      </c>
      <c r="P275" t="s">
        <v>3931</v>
      </c>
      <c r="Q275" t="s">
        <v>3382</v>
      </c>
      <c r="R275" t="s">
        <v>3932</v>
      </c>
      <c r="S275" t="s">
        <v>3376</v>
      </c>
      <c r="T275" t="s">
        <v>3933</v>
      </c>
      <c r="U275" t="s">
        <v>3934</v>
      </c>
      <c r="V275" t="s">
        <v>3935</v>
      </c>
      <c r="W275" t="s">
        <v>3936</v>
      </c>
      <c r="X275" t="s">
        <v>3321</v>
      </c>
      <c r="Y275" t="s">
        <v>3937</v>
      </c>
      <c r="Z275" t="s">
        <v>3385</v>
      </c>
      <c r="AA275" t="s">
        <v>3324</v>
      </c>
    </row>
    <row r="276" spans="2:30" ht="15" customHeight="1" x14ac:dyDescent="0.25">
      <c r="B276" s="3" t="s">
        <v>3854</v>
      </c>
      <c r="C276" s="1" t="s">
        <v>3855</v>
      </c>
      <c r="D276" s="2" t="s">
        <v>3321</v>
      </c>
      <c r="E276" s="1" t="s">
        <v>3927</v>
      </c>
      <c r="F276" s="2" t="s">
        <v>3926</v>
      </c>
      <c r="G276" s="1" t="s">
        <v>883</v>
      </c>
      <c r="H276" s="1" t="s">
        <v>3322</v>
      </c>
      <c r="I276" t="str">
        <f t="shared" si="45"/>
        <v>2D</v>
      </c>
      <c r="J276" t="str">
        <f t="shared" si="46"/>
        <v>2125½</v>
      </c>
      <c r="K276" t="str">
        <f t="shared" si="47"/>
        <v xml:space="preserve">2126 </v>
      </c>
      <c r="M276" s="8" t="str">
        <f t="shared" si="41"/>
        <v>UP</v>
      </c>
      <c r="N276" t="s">
        <v>3946</v>
      </c>
      <c r="O276" t="s">
        <v>3926</v>
      </c>
    </row>
    <row r="277" spans="2:30" ht="15" customHeight="1" x14ac:dyDescent="0.25">
      <c r="B277" s="3" t="s">
        <v>3856</v>
      </c>
      <c r="C277" s="1" t="s">
        <v>2804</v>
      </c>
      <c r="D277" s="2" t="s">
        <v>3926</v>
      </c>
      <c r="E277" s="1" t="s">
        <v>3928</v>
      </c>
      <c r="F277" s="2" t="s">
        <v>3321</v>
      </c>
      <c r="G277" s="1" t="s">
        <v>3857</v>
      </c>
      <c r="H277" s="1" t="s">
        <v>3322</v>
      </c>
      <c r="I277" t="str">
        <f t="shared" si="45"/>
        <v>2D</v>
      </c>
      <c r="J277" t="str">
        <f t="shared" si="46"/>
        <v xml:space="preserve">2129 </v>
      </c>
      <c r="K277" t="str">
        <f t="shared" si="47"/>
        <v>2129½</v>
      </c>
      <c r="M277" s="8" t="str">
        <f t="shared" si="41"/>
        <v>DN</v>
      </c>
      <c r="N277" t="s">
        <v>3929</v>
      </c>
      <c r="O277" t="s">
        <v>3930</v>
      </c>
      <c r="P277" t="s">
        <v>3943</v>
      </c>
      <c r="Q277" t="s">
        <v>3944</v>
      </c>
      <c r="R277" t="s">
        <v>3326</v>
      </c>
      <c r="S277" t="s">
        <v>3940</v>
      </c>
      <c r="T277" t="s">
        <v>3941</v>
      </c>
      <c r="U277" t="s">
        <v>3942</v>
      </c>
      <c r="V277" t="s">
        <v>3376</v>
      </c>
      <c r="W277" t="s">
        <v>3933</v>
      </c>
      <c r="X277" t="s">
        <v>3934</v>
      </c>
      <c r="Y277" t="s">
        <v>3935</v>
      </c>
      <c r="Z277" t="s">
        <v>3936</v>
      </c>
      <c r="AA277" t="s">
        <v>3321</v>
      </c>
    </row>
    <row r="278" spans="2:30" ht="15" customHeight="1" x14ac:dyDescent="0.25">
      <c r="B278" s="3" t="s">
        <v>3858</v>
      </c>
      <c r="C278" s="1" t="s">
        <v>3859</v>
      </c>
      <c r="D278" s="2" t="s">
        <v>3324</v>
      </c>
      <c r="E278" s="1" t="s">
        <v>3927</v>
      </c>
      <c r="F278" s="2" t="s">
        <v>3926</v>
      </c>
      <c r="G278" s="1" t="s">
        <v>3860</v>
      </c>
      <c r="H278" s="1" t="s">
        <v>3322</v>
      </c>
      <c r="I278" t="str">
        <f t="shared" si="45"/>
        <v>2B</v>
      </c>
      <c r="J278" t="str">
        <f t="shared" si="46"/>
        <v>2133½</v>
      </c>
      <c r="K278" t="str">
        <f t="shared" si="47"/>
        <v xml:space="preserve">2134 </v>
      </c>
      <c r="M278" s="8" t="str">
        <f t="shared" si="41"/>
        <v>UP</v>
      </c>
      <c r="N278" t="s">
        <v>3946</v>
      </c>
      <c r="O278" t="s">
        <v>3926</v>
      </c>
    </row>
    <row r="279" spans="2:30" ht="15" customHeight="1" x14ac:dyDescent="0.25">
      <c r="B279" s="3" t="s">
        <v>3861</v>
      </c>
      <c r="C279" s="1" t="s">
        <v>2814</v>
      </c>
      <c r="D279" s="2" t="s">
        <v>3926</v>
      </c>
      <c r="E279" s="1" t="s">
        <v>3928</v>
      </c>
      <c r="F279" s="2" t="s">
        <v>3324</v>
      </c>
      <c r="G279" s="1" t="s">
        <v>2815</v>
      </c>
      <c r="H279" s="1" t="s">
        <v>3322</v>
      </c>
      <c r="I279" t="str">
        <f t="shared" si="45"/>
        <v>1B</v>
      </c>
      <c r="J279" t="str">
        <f t="shared" si="46"/>
        <v xml:space="preserve">2139 </v>
      </c>
      <c r="K279" t="str">
        <f t="shared" si="47"/>
        <v>2139½</v>
      </c>
      <c r="M279" s="8" t="str">
        <f t="shared" si="41"/>
        <v>DN</v>
      </c>
      <c r="N279" t="s">
        <v>3929</v>
      </c>
      <c r="O279" t="s">
        <v>3930</v>
      </c>
      <c r="P279" t="s">
        <v>3382</v>
      </c>
      <c r="Q279" t="s">
        <v>3932</v>
      </c>
      <c r="R279" t="s">
        <v>3933</v>
      </c>
      <c r="S279" t="s">
        <v>3934</v>
      </c>
      <c r="T279" t="s">
        <v>3935</v>
      </c>
      <c r="U279" t="s">
        <v>3936</v>
      </c>
      <c r="V279" t="s">
        <v>3321</v>
      </c>
      <c r="W279" t="s">
        <v>3937</v>
      </c>
      <c r="X279" t="s">
        <v>3385</v>
      </c>
      <c r="Y279" t="s">
        <v>3324</v>
      </c>
    </row>
    <row r="280" spans="2:30" ht="15" customHeight="1" x14ac:dyDescent="0.25">
      <c r="B280" s="3" t="s">
        <v>3862</v>
      </c>
      <c r="C280" s="1" t="s">
        <v>3863</v>
      </c>
      <c r="D280" s="2" t="s">
        <v>3326</v>
      </c>
      <c r="E280" s="1" t="s">
        <v>3927</v>
      </c>
      <c r="F280" s="2" t="s">
        <v>3926</v>
      </c>
      <c r="G280" s="1" t="s">
        <v>3864</v>
      </c>
      <c r="H280" s="1" t="s">
        <v>3322</v>
      </c>
      <c r="I280" t="str">
        <f t="shared" si="45"/>
        <v>2R</v>
      </c>
      <c r="J280" t="str">
        <f t="shared" si="46"/>
        <v xml:space="preserve">2141 </v>
      </c>
      <c r="K280" t="str">
        <f t="shared" si="47"/>
        <v>2141½</v>
      </c>
      <c r="M280" s="8" t="str">
        <f t="shared" si="41"/>
        <v>UP</v>
      </c>
      <c r="N280" t="s">
        <v>3946</v>
      </c>
      <c r="O280" t="s">
        <v>3926</v>
      </c>
    </row>
    <row r="281" spans="2:30" ht="15" customHeight="1" x14ac:dyDescent="0.25">
      <c r="B281" s="3" t="s">
        <v>3865</v>
      </c>
      <c r="C281" s="1" t="s">
        <v>3866</v>
      </c>
      <c r="D281" s="2" t="s">
        <v>3926</v>
      </c>
      <c r="E281" s="1" t="s">
        <v>3928</v>
      </c>
      <c r="F281" s="2" t="s">
        <v>3326</v>
      </c>
      <c r="G281" s="1" t="s">
        <v>3867</v>
      </c>
      <c r="H281" s="1" t="s">
        <v>3322</v>
      </c>
      <c r="I281" t="str">
        <f t="shared" si="45"/>
        <v>2R</v>
      </c>
      <c r="J281" t="str">
        <f t="shared" si="46"/>
        <v xml:space="preserve">2144 </v>
      </c>
      <c r="K281" t="str">
        <f t="shared" si="47"/>
        <v>2144½</v>
      </c>
      <c r="M281" s="8" t="str">
        <f t="shared" si="41"/>
        <v>DN</v>
      </c>
      <c r="N281" t="s">
        <v>3929</v>
      </c>
      <c r="O281" t="s">
        <v>3938</v>
      </c>
      <c r="P281" t="s">
        <v>1033</v>
      </c>
      <c r="Q281" t="s">
        <v>3939</v>
      </c>
      <c r="R281" t="s">
        <v>3326</v>
      </c>
    </row>
    <row r="282" spans="2:30" ht="15" customHeight="1" x14ac:dyDescent="0.25">
      <c r="B282" s="3" t="s">
        <v>3868</v>
      </c>
      <c r="C282" s="1" t="s">
        <v>899</v>
      </c>
      <c r="D282" s="2" t="s">
        <v>3926</v>
      </c>
      <c r="E282" s="1" t="s">
        <v>3928</v>
      </c>
      <c r="F282" s="2" t="s">
        <v>3324</v>
      </c>
      <c r="G282" s="1" t="s">
        <v>3869</v>
      </c>
      <c r="H282" s="1" t="s">
        <v>3322</v>
      </c>
      <c r="I282" t="str">
        <f t="shared" si="45"/>
        <v>2B</v>
      </c>
      <c r="J282" t="str">
        <f t="shared" si="46"/>
        <v xml:space="preserve">2149 </v>
      </c>
      <c r="K282" t="str">
        <f t="shared" si="47"/>
        <v>2149½</v>
      </c>
      <c r="M282" s="8" t="str">
        <f t="shared" si="41"/>
        <v>DN</v>
      </c>
      <c r="N282" t="s">
        <v>3929</v>
      </c>
      <c r="O282" t="s">
        <v>3930</v>
      </c>
      <c r="P282" t="s">
        <v>3931</v>
      </c>
      <c r="Q282" t="s">
        <v>3382</v>
      </c>
      <c r="R282" t="s">
        <v>3932</v>
      </c>
      <c r="S282" t="s">
        <v>3376</v>
      </c>
      <c r="T282" t="s">
        <v>3933</v>
      </c>
      <c r="U282" t="s">
        <v>3934</v>
      </c>
      <c r="V282" t="s">
        <v>3935</v>
      </c>
      <c r="W282" t="s">
        <v>3936</v>
      </c>
      <c r="X282" t="s">
        <v>3321</v>
      </c>
      <c r="Y282" t="s">
        <v>3937</v>
      </c>
      <c r="Z282" t="s">
        <v>3385</v>
      </c>
      <c r="AA282" t="s">
        <v>3324</v>
      </c>
    </row>
    <row r="283" spans="2:30" ht="15" customHeight="1" x14ac:dyDescent="0.25">
      <c r="B283" s="3" t="s">
        <v>3870</v>
      </c>
      <c r="C283" s="1" t="s">
        <v>3871</v>
      </c>
      <c r="D283" s="2" t="s">
        <v>3321</v>
      </c>
      <c r="E283" s="1" t="s">
        <v>3927</v>
      </c>
      <c r="F283" s="2" t="s">
        <v>3926</v>
      </c>
      <c r="G283" s="1" t="s">
        <v>905</v>
      </c>
      <c r="H283" s="1" t="s">
        <v>3322</v>
      </c>
      <c r="I283" t="str">
        <f t="shared" si="45"/>
        <v>2D</v>
      </c>
      <c r="J283" t="str">
        <f t="shared" si="46"/>
        <v>2155½</v>
      </c>
      <c r="K283" t="str">
        <f t="shared" si="47"/>
        <v xml:space="preserve">2156 </v>
      </c>
      <c r="M283" s="8" t="str">
        <f t="shared" si="41"/>
        <v>UP</v>
      </c>
      <c r="N283" t="s">
        <v>3946</v>
      </c>
      <c r="O283" t="s">
        <v>3926</v>
      </c>
    </row>
    <row r="284" spans="2:30" ht="15" customHeight="1" x14ac:dyDescent="0.25">
      <c r="B284" s="3" t="s">
        <v>3872</v>
      </c>
      <c r="C284" s="1" t="s">
        <v>910</v>
      </c>
      <c r="D284" s="2" t="s">
        <v>3926</v>
      </c>
      <c r="E284" s="1" t="s">
        <v>3928</v>
      </c>
      <c r="F284" s="2" t="s">
        <v>3324</v>
      </c>
      <c r="G284" s="1" t="s">
        <v>3873</v>
      </c>
      <c r="H284" s="1" t="s">
        <v>3322</v>
      </c>
      <c r="I284" t="str">
        <f t="shared" si="45"/>
        <v>2D</v>
      </c>
      <c r="J284" t="str">
        <f t="shared" si="46"/>
        <v xml:space="preserve">2159 </v>
      </c>
      <c r="K284" t="str">
        <f t="shared" si="47"/>
        <v>2159½</v>
      </c>
      <c r="M284" s="8" t="str">
        <f t="shared" si="41"/>
        <v>DN</v>
      </c>
      <c r="N284" t="s">
        <v>3929</v>
      </c>
      <c r="O284" t="s">
        <v>3930</v>
      </c>
      <c r="P284" t="s">
        <v>3943</v>
      </c>
      <c r="Q284" t="s">
        <v>3944</v>
      </c>
      <c r="R284" t="s">
        <v>3326</v>
      </c>
      <c r="S284" t="s">
        <v>3940</v>
      </c>
      <c r="T284" t="s">
        <v>3941</v>
      </c>
      <c r="U284" t="s">
        <v>3942</v>
      </c>
      <c r="V284" t="s">
        <v>3376</v>
      </c>
      <c r="W284" t="s">
        <v>3933</v>
      </c>
      <c r="X284" t="s">
        <v>3934</v>
      </c>
      <c r="Y284" t="s">
        <v>3935</v>
      </c>
      <c r="Z284" t="s">
        <v>3936</v>
      </c>
      <c r="AA284" t="s">
        <v>3321</v>
      </c>
      <c r="AB284" t="s">
        <v>3937</v>
      </c>
      <c r="AC284" t="s">
        <v>3385</v>
      </c>
      <c r="AD284" t="s">
        <v>3324</v>
      </c>
    </row>
    <row r="285" spans="2:30" ht="15" customHeight="1" x14ac:dyDescent="0.25">
      <c r="B285" s="3" t="s">
        <v>3874</v>
      </c>
      <c r="C285" s="1" t="s">
        <v>2841</v>
      </c>
      <c r="D285" s="2" t="s">
        <v>3324</v>
      </c>
      <c r="E285" s="1" t="s">
        <v>3927</v>
      </c>
      <c r="F285" s="2" t="s">
        <v>3926</v>
      </c>
      <c r="G285" s="1" t="s">
        <v>3875</v>
      </c>
      <c r="H285" s="1" t="s">
        <v>3322</v>
      </c>
      <c r="I285" t="str">
        <f t="shared" si="45"/>
        <v>2B</v>
      </c>
      <c r="J285" t="str">
        <f t="shared" si="46"/>
        <v>2203½</v>
      </c>
      <c r="K285" t="str">
        <f t="shared" si="47"/>
        <v xml:space="preserve">2204 </v>
      </c>
      <c r="M285" s="8" t="str">
        <f t="shared" si="41"/>
        <v>UP</v>
      </c>
      <c r="N285" t="s">
        <v>3946</v>
      </c>
      <c r="O285" t="s">
        <v>3926</v>
      </c>
    </row>
    <row r="286" spans="2:30" ht="15" customHeight="1" x14ac:dyDescent="0.25">
      <c r="B286" s="3" t="s">
        <v>3876</v>
      </c>
      <c r="C286" s="1" t="s">
        <v>3877</v>
      </c>
      <c r="D286" s="2" t="s">
        <v>3926</v>
      </c>
      <c r="E286" s="1" t="s">
        <v>3928</v>
      </c>
      <c r="F286" s="2" t="s">
        <v>3324</v>
      </c>
      <c r="G286" s="1" t="s">
        <v>916</v>
      </c>
      <c r="H286" s="1" t="s">
        <v>3322</v>
      </c>
      <c r="I286" t="str">
        <f t="shared" si="45"/>
        <v>1B</v>
      </c>
      <c r="J286" t="str">
        <f t="shared" si="46"/>
        <v xml:space="preserve">2208 </v>
      </c>
      <c r="K286" t="str">
        <f t="shared" si="47"/>
        <v xml:space="preserve">2210 </v>
      </c>
      <c r="M286" s="8" t="str">
        <f t="shared" si="41"/>
        <v>DN</v>
      </c>
      <c r="N286" t="s">
        <v>3929</v>
      </c>
      <c r="O286" t="s">
        <v>3930</v>
      </c>
      <c r="P286" t="s">
        <v>3382</v>
      </c>
      <c r="Q286" t="s">
        <v>3932</v>
      </c>
      <c r="R286" t="s">
        <v>3933</v>
      </c>
      <c r="S286" t="s">
        <v>3934</v>
      </c>
      <c r="T286" t="s">
        <v>3935</v>
      </c>
      <c r="U286" t="s">
        <v>3936</v>
      </c>
      <c r="V286" t="s">
        <v>3321</v>
      </c>
      <c r="W286" t="s">
        <v>3937</v>
      </c>
      <c r="X286" t="s">
        <v>3385</v>
      </c>
      <c r="Y286" t="s">
        <v>3324</v>
      </c>
    </row>
    <row r="287" spans="2:30" ht="15" customHeight="1" x14ac:dyDescent="0.25">
      <c r="B287" s="3" t="s">
        <v>3878</v>
      </c>
      <c r="C287" s="1" t="s">
        <v>2848</v>
      </c>
      <c r="D287" s="2" t="s">
        <v>3326</v>
      </c>
      <c r="E287" s="1" t="s">
        <v>3927</v>
      </c>
      <c r="F287" s="2" t="s">
        <v>3926</v>
      </c>
      <c r="G287" s="1" t="s">
        <v>917</v>
      </c>
      <c r="H287" s="1" t="s">
        <v>3322</v>
      </c>
      <c r="I287" t="str">
        <f t="shared" si="45"/>
        <v>2R</v>
      </c>
      <c r="J287" t="str">
        <f t="shared" si="46"/>
        <v xml:space="preserve">2211 </v>
      </c>
      <c r="K287" t="str">
        <f t="shared" si="47"/>
        <v xml:space="preserve">2214 </v>
      </c>
      <c r="M287" s="8" t="str">
        <f t="shared" si="41"/>
        <v>UP</v>
      </c>
      <c r="N287" t="s">
        <v>3946</v>
      </c>
      <c r="O287" t="s">
        <v>3926</v>
      </c>
    </row>
    <row r="288" spans="2:30" ht="15" customHeight="1" x14ac:dyDescent="0.25">
      <c r="B288" s="3" t="s">
        <v>3879</v>
      </c>
      <c r="C288" s="1" t="s">
        <v>917</v>
      </c>
      <c r="D288" s="2" t="s">
        <v>3926</v>
      </c>
      <c r="E288" s="1" t="s">
        <v>3928</v>
      </c>
      <c r="F288" s="2" t="s">
        <v>3326</v>
      </c>
      <c r="G288" s="1" t="s">
        <v>3880</v>
      </c>
      <c r="H288" s="1" t="s">
        <v>3322</v>
      </c>
      <c r="I288" t="str">
        <f t="shared" si="45"/>
        <v>2R</v>
      </c>
      <c r="J288" t="str">
        <f t="shared" si="46"/>
        <v xml:space="preserve">2214 </v>
      </c>
      <c r="K288" t="str">
        <f t="shared" si="47"/>
        <v>2215½</v>
      </c>
      <c r="M288" s="8" t="str">
        <f t="shared" si="41"/>
        <v>DN</v>
      </c>
      <c r="N288" t="s">
        <v>3929</v>
      </c>
      <c r="O288" t="s">
        <v>3938</v>
      </c>
      <c r="P288" t="s">
        <v>1033</v>
      </c>
      <c r="Q288" t="s">
        <v>3939</v>
      </c>
      <c r="R288" t="s">
        <v>3326</v>
      </c>
    </row>
    <row r="289" spans="2:30" ht="15" customHeight="1" x14ac:dyDescent="0.25">
      <c r="B289" s="3" t="s">
        <v>3881</v>
      </c>
      <c r="C289" s="1" t="s">
        <v>920</v>
      </c>
      <c r="D289" s="2" t="s">
        <v>3324</v>
      </c>
      <c r="E289" s="1" t="s">
        <v>3927</v>
      </c>
      <c r="F289" s="2" t="s">
        <v>3926</v>
      </c>
      <c r="G289" s="1" t="s">
        <v>925</v>
      </c>
      <c r="H289" s="1" t="s">
        <v>3322</v>
      </c>
      <c r="I289" t="str">
        <f t="shared" si="45"/>
        <v>1B</v>
      </c>
      <c r="J289" t="str">
        <f t="shared" si="46"/>
        <v xml:space="preserve">2216 </v>
      </c>
      <c r="K289" t="str">
        <f t="shared" si="47"/>
        <v xml:space="preserve">2219 </v>
      </c>
      <c r="M289" s="8" t="str">
        <f t="shared" si="41"/>
        <v>UP</v>
      </c>
      <c r="N289" t="s">
        <v>3946</v>
      </c>
      <c r="O289" t="s">
        <v>3926</v>
      </c>
    </row>
    <row r="290" spans="2:30" ht="15" customHeight="1" x14ac:dyDescent="0.25">
      <c r="B290" s="3" t="s">
        <v>3882</v>
      </c>
      <c r="C290" s="1" t="s">
        <v>3883</v>
      </c>
      <c r="D290" s="2" t="s">
        <v>3926</v>
      </c>
      <c r="E290" s="1" t="s">
        <v>3928</v>
      </c>
      <c r="F290" s="2" t="s">
        <v>3324</v>
      </c>
      <c r="G290" s="1" t="s">
        <v>2856</v>
      </c>
      <c r="H290" s="1" t="s">
        <v>3322</v>
      </c>
      <c r="I290" t="str">
        <f t="shared" si="45"/>
        <v>2B</v>
      </c>
      <c r="J290" t="str">
        <f t="shared" si="46"/>
        <v xml:space="preserve">2220 </v>
      </c>
      <c r="K290" t="str">
        <f t="shared" si="47"/>
        <v xml:space="preserve">2222 </v>
      </c>
      <c r="M290" s="8" t="str">
        <f t="shared" si="41"/>
        <v>DN</v>
      </c>
      <c r="N290" t="s">
        <v>3929</v>
      </c>
      <c r="O290" t="s">
        <v>3930</v>
      </c>
      <c r="P290" t="s">
        <v>3931</v>
      </c>
      <c r="Q290" t="s">
        <v>3382</v>
      </c>
      <c r="R290" t="s">
        <v>3932</v>
      </c>
      <c r="S290" t="s">
        <v>3376</v>
      </c>
      <c r="T290" t="s">
        <v>3933</v>
      </c>
      <c r="U290" t="s">
        <v>3934</v>
      </c>
      <c r="V290" t="s">
        <v>3935</v>
      </c>
      <c r="W290" t="s">
        <v>3936</v>
      </c>
      <c r="X290" t="s">
        <v>3321</v>
      </c>
      <c r="Y290" t="s">
        <v>3937</v>
      </c>
      <c r="Z290" t="s">
        <v>3385</v>
      </c>
      <c r="AA290" t="s">
        <v>3324</v>
      </c>
    </row>
    <row r="291" spans="2:30" ht="15" customHeight="1" x14ac:dyDescent="0.25">
      <c r="B291" s="3" t="s">
        <v>3884</v>
      </c>
      <c r="C291" s="1" t="s">
        <v>3885</v>
      </c>
      <c r="D291" s="2" t="s">
        <v>3321</v>
      </c>
      <c r="E291" s="1" t="s">
        <v>3927</v>
      </c>
      <c r="F291" s="2" t="s">
        <v>3926</v>
      </c>
      <c r="G291" s="1" t="s">
        <v>2868</v>
      </c>
      <c r="H291" s="1" t="s">
        <v>3322</v>
      </c>
      <c r="I291" t="str">
        <f t="shared" si="45"/>
        <v>2D</v>
      </c>
      <c r="J291" t="str">
        <f t="shared" si="46"/>
        <v>2225½</v>
      </c>
      <c r="K291" t="str">
        <f t="shared" si="47"/>
        <v>2228½</v>
      </c>
      <c r="M291" s="8" t="str">
        <f t="shared" si="41"/>
        <v>UP</v>
      </c>
      <c r="N291" t="s">
        <v>3946</v>
      </c>
      <c r="O291" t="s">
        <v>3926</v>
      </c>
    </row>
    <row r="292" spans="2:30" ht="15" customHeight="1" x14ac:dyDescent="0.25">
      <c r="B292" s="3" t="s">
        <v>3886</v>
      </c>
      <c r="C292" s="1" t="s">
        <v>3887</v>
      </c>
      <c r="D292" s="2" t="s">
        <v>3926</v>
      </c>
      <c r="E292" s="1" t="s">
        <v>3928</v>
      </c>
      <c r="F292" s="2" t="s">
        <v>3324</v>
      </c>
      <c r="G292" s="1" t="s">
        <v>934</v>
      </c>
      <c r="H292" s="1" t="s">
        <v>3322</v>
      </c>
      <c r="I292" t="str">
        <f t="shared" si="45"/>
        <v>2D</v>
      </c>
      <c r="J292" t="str">
        <f t="shared" si="46"/>
        <v xml:space="preserve">2229 </v>
      </c>
      <c r="K292" t="str">
        <f t="shared" si="47"/>
        <v xml:space="preserve">2231 </v>
      </c>
      <c r="M292" s="8" t="str">
        <f t="shared" si="41"/>
        <v>DN</v>
      </c>
      <c r="N292" t="s">
        <v>3929</v>
      </c>
      <c r="O292" t="s">
        <v>3930</v>
      </c>
      <c r="P292" t="s">
        <v>3943</v>
      </c>
      <c r="Q292" t="s">
        <v>3944</v>
      </c>
      <c r="R292" t="s">
        <v>3326</v>
      </c>
      <c r="S292" t="s">
        <v>3940</v>
      </c>
      <c r="T292" t="s">
        <v>3941</v>
      </c>
      <c r="U292" t="s">
        <v>3942</v>
      </c>
      <c r="V292" t="s">
        <v>3376</v>
      </c>
      <c r="W292" t="s">
        <v>3933</v>
      </c>
      <c r="X292" t="s">
        <v>3934</v>
      </c>
      <c r="Y292" t="s">
        <v>3935</v>
      </c>
      <c r="Z292" t="s">
        <v>3936</v>
      </c>
      <c r="AA292" t="s">
        <v>3321</v>
      </c>
      <c r="AB292" t="s">
        <v>3937</v>
      </c>
      <c r="AC292" t="s">
        <v>3385</v>
      </c>
      <c r="AD292" t="s">
        <v>3324</v>
      </c>
    </row>
    <row r="293" spans="2:30" ht="15" customHeight="1" x14ac:dyDescent="0.25">
      <c r="B293" s="3" t="s">
        <v>3320</v>
      </c>
      <c r="C293" s="1" t="s">
        <v>3318</v>
      </c>
      <c r="D293" s="2" t="s">
        <v>3321</v>
      </c>
      <c r="E293" s="1" t="s">
        <v>3927</v>
      </c>
      <c r="F293" s="2" t="s">
        <v>3926</v>
      </c>
      <c r="G293" s="1" t="s">
        <v>248</v>
      </c>
      <c r="H293" s="1" t="s">
        <v>3322</v>
      </c>
      <c r="I293" t="str">
        <f t="shared" ref="I293:I316" si="48">LEFT(B293,2)</f>
        <v>2D</v>
      </c>
      <c r="J293" t="str">
        <f t="shared" ref="J293:J316" si="49">LEFT(C293,5)</f>
        <v xml:space="preserve">2358 </v>
      </c>
      <c r="K293" t="str">
        <f t="shared" ref="K293:K316" si="50">LEFT(G293,5)</f>
        <v xml:space="preserve">0001 </v>
      </c>
      <c r="M293" s="8" t="str">
        <f t="shared" si="41"/>
        <v>UP</v>
      </c>
      <c r="N293" t="s">
        <v>3946</v>
      </c>
      <c r="O293" t="s">
        <v>3926</v>
      </c>
    </row>
    <row r="294" spans="2:30" ht="15" customHeight="1" x14ac:dyDescent="0.25">
      <c r="B294" s="3" t="s">
        <v>3888</v>
      </c>
      <c r="C294" s="1" t="s">
        <v>3889</v>
      </c>
      <c r="D294" s="2" t="s">
        <v>3324</v>
      </c>
      <c r="E294" s="1" t="s">
        <v>3927</v>
      </c>
      <c r="F294" s="2" t="s">
        <v>3926</v>
      </c>
      <c r="G294" s="1" t="s">
        <v>3890</v>
      </c>
      <c r="H294" s="1" t="s">
        <v>3322</v>
      </c>
      <c r="I294" t="str">
        <f t="shared" si="48"/>
        <v>2B</v>
      </c>
      <c r="J294" t="str">
        <f t="shared" si="49"/>
        <v>2233½</v>
      </c>
      <c r="K294" t="str">
        <f t="shared" si="50"/>
        <v>2236½</v>
      </c>
      <c r="M294" s="8" t="str">
        <f t="shared" si="41"/>
        <v>UP</v>
      </c>
      <c r="N294" t="s">
        <v>3946</v>
      </c>
      <c r="O294" t="s">
        <v>3926</v>
      </c>
    </row>
    <row r="295" spans="2:30" ht="15" customHeight="1" x14ac:dyDescent="0.25">
      <c r="B295" s="3" t="s">
        <v>3891</v>
      </c>
      <c r="C295" s="1" t="s">
        <v>2885</v>
      </c>
      <c r="D295" s="2" t="s">
        <v>3926</v>
      </c>
      <c r="E295" s="1" t="s">
        <v>3928</v>
      </c>
      <c r="F295" s="2" t="s">
        <v>3326</v>
      </c>
      <c r="G295" s="1" t="s">
        <v>3892</v>
      </c>
      <c r="H295" s="1" t="s">
        <v>3322</v>
      </c>
      <c r="I295" t="str">
        <f t="shared" si="48"/>
        <v>2R</v>
      </c>
      <c r="J295" t="str">
        <f t="shared" si="49"/>
        <v xml:space="preserve">2244 </v>
      </c>
      <c r="K295" t="str">
        <f t="shared" si="50"/>
        <v>2245½</v>
      </c>
      <c r="M295" s="8" t="str">
        <f t="shared" si="41"/>
        <v>DN</v>
      </c>
      <c r="N295" t="s">
        <v>3929</v>
      </c>
      <c r="O295" t="s">
        <v>3938</v>
      </c>
      <c r="P295" t="s">
        <v>1033</v>
      </c>
      <c r="Q295" t="s">
        <v>3939</v>
      </c>
      <c r="R295" t="s">
        <v>3326</v>
      </c>
    </row>
    <row r="296" spans="2:30" ht="15" customHeight="1" x14ac:dyDescent="0.25">
      <c r="B296" s="3" t="s">
        <v>3893</v>
      </c>
      <c r="C296" s="1" t="s">
        <v>3302</v>
      </c>
      <c r="D296" s="2" t="s">
        <v>3326</v>
      </c>
      <c r="E296" s="1" t="s">
        <v>3927</v>
      </c>
      <c r="F296" s="2" t="s">
        <v>3926</v>
      </c>
      <c r="G296" s="1" t="s">
        <v>3894</v>
      </c>
      <c r="H296" s="1" t="s">
        <v>3322</v>
      </c>
      <c r="I296" t="str">
        <f t="shared" si="48"/>
        <v>2R</v>
      </c>
      <c r="J296" t="str">
        <f t="shared" si="49"/>
        <v xml:space="preserve">2243 </v>
      </c>
      <c r="K296" t="str">
        <f t="shared" si="50"/>
        <v xml:space="preserve">2246 </v>
      </c>
      <c r="M296" s="8" t="str">
        <f t="shared" si="41"/>
        <v>UP</v>
      </c>
      <c r="N296" t="s">
        <v>3946</v>
      </c>
      <c r="O296" t="s">
        <v>3926</v>
      </c>
    </row>
    <row r="297" spans="2:30" ht="15" customHeight="1" x14ac:dyDescent="0.25">
      <c r="B297" s="3" t="s">
        <v>3895</v>
      </c>
      <c r="C297" s="1" t="s">
        <v>3896</v>
      </c>
      <c r="D297" s="2" t="s">
        <v>3926</v>
      </c>
      <c r="E297" s="1" t="s">
        <v>3928</v>
      </c>
      <c r="F297" s="2" t="s">
        <v>3324</v>
      </c>
      <c r="G297" s="1" t="s">
        <v>949</v>
      </c>
      <c r="H297" s="1" t="s">
        <v>3322</v>
      </c>
      <c r="I297" t="str">
        <f t="shared" si="48"/>
        <v>2B</v>
      </c>
      <c r="J297" t="str">
        <f t="shared" si="49"/>
        <v xml:space="preserve">2249 </v>
      </c>
      <c r="K297" t="str">
        <f t="shared" si="50"/>
        <v xml:space="preserve">2251 </v>
      </c>
      <c r="M297" s="8" t="str">
        <f t="shared" si="41"/>
        <v>DN</v>
      </c>
      <c r="N297" t="s">
        <v>3929</v>
      </c>
      <c r="O297" t="s">
        <v>3930</v>
      </c>
      <c r="P297" t="s">
        <v>3931</v>
      </c>
      <c r="Q297" t="s">
        <v>3382</v>
      </c>
      <c r="R297" t="s">
        <v>3932</v>
      </c>
      <c r="S297" t="s">
        <v>3376</v>
      </c>
      <c r="T297" t="s">
        <v>3933</v>
      </c>
      <c r="U297" t="s">
        <v>3934</v>
      </c>
      <c r="V297" t="s">
        <v>3935</v>
      </c>
      <c r="W297" t="s">
        <v>3936</v>
      </c>
      <c r="X297" t="s">
        <v>3321</v>
      </c>
      <c r="Y297" t="s">
        <v>3937</v>
      </c>
      <c r="Z297" t="s">
        <v>3385</v>
      </c>
      <c r="AA297" t="s">
        <v>3324</v>
      </c>
    </row>
    <row r="298" spans="2:30" ht="15" customHeight="1" x14ac:dyDescent="0.25">
      <c r="B298" s="3" t="s">
        <v>3897</v>
      </c>
      <c r="C298" s="1" t="s">
        <v>3898</v>
      </c>
      <c r="D298" s="2" t="s">
        <v>3321</v>
      </c>
      <c r="E298" s="1" t="s">
        <v>3927</v>
      </c>
      <c r="F298" s="2" t="s">
        <v>3926</v>
      </c>
      <c r="G298" s="1" t="s">
        <v>3899</v>
      </c>
      <c r="H298" s="1" t="s">
        <v>3322</v>
      </c>
      <c r="I298" t="str">
        <f t="shared" si="48"/>
        <v>2D</v>
      </c>
      <c r="J298" t="str">
        <f t="shared" si="49"/>
        <v xml:space="preserve">2257 </v>
      </c>
      <c r="K298" t="str">
        <f t="shared" si="50"/>
        <v xml:space="preserve">2300 </v>
      </c>
      <c r="M298" s="8" t="str">
        <f t="shared" si="41"/>
        <v>UP</v>
      </c>
      <c r="N298" t="s">
        <v>3946</v>
      </c>
      <c r="O298" t="s">
        <v>3926</v>
      </c>
    </row>
    <row r="299" spans="2:30" ht="15" customHeight="1" x14ac:dyDescent="0.25">
      <c r="B299" s="3" t="s">
        <v>3900</v>
      </c>
      <c r="C299" s="1" t="s">
        <v>3901</v>
      </c>
      <c r="D299" s="2" t="s">
        <v>3926</v>
      </c>
      <c r="E299" s="1" t="s">
        <v>3928</v>
      </c>
      <c r="F299" s="2" t="s">
        <v>3324</v>
      </c>
      <c r="G299" s="1" t="s">
        <v>961</v>
      </c>
      <c r="H299" s="1" t="s">
        <v>3322</v>
      </c>
      <c r="I299" t="str">
        <f t="shared" si="48"/>
        <v>2D</v>
      </c>
      <c r="J299" t="str">
        <f t="shared" si="49"/>
        <v xml:space="preserve">2259 </v>
      </c>
      <c r="K299" t="str">
        <f t="shared" si="50"/>
        <v xml:space="preserve">2301 </v>
      </c>
      <c r="M299" s="8" t="str">
        <f t="shared" si="41"/>
        <v>DN</v>
      </c>
      <c r="N299" t="s">
        <v>3929</v>
      </c>
      <c r="O299" t="s">
        <v>3930</v>
      </c>
      <c r="P299" t="s">
        <v>3943</v>
      </c>
      <c r="Q299" t="s">
        <v>3944</v>
      </c>
      <c r="R299" t="s">
        <v>3326</v>
      </c>
      <c r="S299" t="s">
        <v>3940</v>
      </c>
      <c r="T299" t="s">
        <v>3941</v>
      </c>
      <c r="U299" t="s">
        <v>3942</v>
      </c>
      <c r="V299" t="s">
        <v>3376</v>
      </c>
      <c r="W299" t="s">
        <v>3933</v>
      </c>
      <c r="X299" t="s">
        <v>3934</v>
      </c>
      <c r="Y299" t="s">
        <v>3935</v>
      </c>
      <c r="Z299" t="s">
        <v>3936</v>
      </c>
      <c r="AA299" t="s">
        <v>3321</v>
      </c>
      <c r="AB299" t="s">
        <v>3937</v>
      </c>
      <c r="AC299" t="s">
        <v>3385</v>
      </c>
      <c r="AD299" t="s">
        <v>3324</v>
      </c>
    </row>
    <row r="300" spans="2:30" ht="15" customHeight="1" x14ac:dyDescent="0.25">
      <c r="B300" s="3" t="s">
        <v>3902</v>
      </c>
      <c r="C300" s="1"/>
      <c r="D300" s="1" t="s">
        <v>1037</v>
      </c>
      <c r="E300" s="1" t="s">
        <v>3927</v>
      </c>
      <c r="F300" s="2" t="s">
        <v>3926</v>
      </c>
      <c r="G300" s="1" t="s">
        <v>962</v>
      </c>
      <c r="H300" s="1" t="s">
        <v>3322</v>
      </c>
      <c r="I300" t="str">
        <f t="shared" si="48"/>
        <v>2G</v>
      </c>
      <c r="J300" t="str">
        <f t="shared" si="49"/>
        <v/>
      </c>
      <c r="K300" t="str">
        <f t="shared" si="50"/>
        <v xml:space="preserve">2305 </v>
      </c>
      <c r="M300" s="8" t="str">
        <f t="shared" si="41"/>
        <v>UP</v>
      </c>
      <c r="N300" t="s">
        <v>3946</v>
      </c>
      <c r="O300" t="s">
        <v>3926</v>
      </c>
    </row>
    <row r="301" spans="2:30" ht="15" customHeight="1" x14ac:dyDescent="0.25">
      <c r="B301" s="3" t="s">
        <v>3903</v>
      </c>
      <c r="C301" s="1" t="s">
        <v>2914</v>
      </c>
      <c r="D301" s="2" t="s">
        <v>3926</v>
      </c>
      <c r="E301" s="1" t="s">
        <v>3928</v>
      </c>
      <c r="F301" s="2" t="s">
        <v>3324</v>
      </c>
      <c r="G301" s="1" t="s">
        <v>967</v>
      </c>
      <c r="H301" s="1" t="s">
        <v>3322</v>
      </c>
      <c r="I301" t="str">
        <f t="shared" si="48"/>
        <v>1B</v>
      </c>
      <c r="J301" t="str">
        <f t="shared" si="49"/>
        <v xml:space="preserve">2308 </v>
      </c>
      <c r="K301" t="str">
        <f t="shared" si="50"/>
        <v xml:space="preserve">2310 </v>
      </c>
      <c r="M301" s="8" t="str">
        <f t="shared" si="41"/>
        <v>DN</v>
      </c>
      <c r="N301" t="s">
        <v>3929</v>
      </c>
      <c r="O301" t="s">
        <v>3930</v>
      </c>
      <c r="P301" t="s">
        <v>3382</v>
      </c>
      <c r="Q301" t="s">
        <v>3932</v>
      </c>
      <c r="R301" t="s">
        <v>3933</v>
      </c>
      <c r="S301" t="s">
        <v>3934</v>
      </c>
      <c r="T301" t="s">
        <v>3935</v>
      </c>
      <c r="U301" t="s">
        <v>3936</v>
      </c>
      <c r="V301" t="s">
        <v>3321</v>
      </c>
      <c r="W301" t="s">
        <v>3937</v>
      </c>
      <c r="X301" t="s">
        <v>3385</v>
      </c>
      <c r="Y301" t="s">
        <v>3324</v>
      </c>
    </row>
    <row r="302" spans="2:30" ht="15" customHeight="1" x14ac:dyDescent="0.25">
      <c r="B302" s="3" t="s">
        <v>3904</v>
      </c>
      <c r="C302" s="1" t="s">
        <v>2912</v>
      </c>
      <c r="D302" s="2" t="s">
        <v>3324</v>
      </c>
      <c r="E302" s="1" t="s">
        <v>3927</v>
      </c>
      <c r="F302" s="2" t="s">
        <v>3926</v>
      </c>
      <c r="G302" s="1" t="s">
        <v>967</v>
      </c>
      <c r="H302" s="1" t="s">
        <v>3322</v>
      </c>
      <c r="I302" t="str">
        <f t="shared" si="48"/>
        <v>2B</v>
      </c>
      <c r="J302" t="str">
        <f t="shared" si="49"/>
        <v xml:space="preserve">2307 </v>
      </c>
      <c r="K302" t="str">
        <f t="shared" si="50"/>
        <v xml:space="preserve">2310 </v>
      </c>
      <c r="M302" s="8" t="str">
        <f t="shared" si="41"/>
        <v>UP</v>
      </c>
      <c r="N302" t="s">
        <v>3946</v>
      </c>
      <c r="O302" t="s">
        <v>3926</v>
      </c>
    </row>
    <row r="303" spans="2:30" ht="15" customHeight="1" x14ac:dyDescent="0.25">
      <c r="B303" s="3" t="s">
        <v>3905</v>
      </c>
      <c r="C303" s="1"/>
      <c r="D303" s="1" t="s">
        <v>1037</v>
      </c>
      <c r="E303" s="1" t="s">
        <v>3927</v>
      </c>
      <c r="F303" s="2" t="s">
        <v>3926</v>
      </c>
      <c r="G303" s="1" t="s">
        <v>971</v>
      </c>
      <c r="H303" s="1" t="s">
        <v>3322</v>
      </c>
      <c r="I303" t="str">
        <f t="shared" si="48"/>
        <v>2G</v>
      </c>
      <c r="J303" t="str">
        <f t="shared" si="49"/>
        <v/>
      </c>
      <c r="K303" t="str">
        <f t="shared" si="50"/>
        <v xml:space="preserve">2315 </v>
      </c>
      <c r="M303" s="8" t="str">
        <f t="shared" si="41"/>
        <v>UP</v>
      </c>
      <c r="N303" t="s">
        <v>3946</v>
      </c>
      <c r="O303" t="s">
        <v>3926</v>
      </c>
    </row>
    <row r="304" spans="2:30" ht="15" customHeight="1" x14ac:dyDescent="0.25">
      <c r="B304" s="3" t="s">
        <v>3906</v>
      </c>
      <c r="C304" s="1" t="s">
        <v>968</v>
      </c>
      <c r="D304" s="2" t="s">
        <v>3926</v>
      </c>
      <c r="E304" s="1" t="s">
        <v>3928</v>
      </c>
      <c r="F304" s="2" t="s">
        <v>3324</v>
      </c>
      <c r="G304" s="1" t="s">
        <v>3907</v>
      </c>
      <c r="H304" s="1" t="s">
        <v>3322</v>
      </c>
      <c r="I304" t="str">
        <f t="shared" si="48"/>
        <v>2R</v>
      </c>
      <c r="J304" t="str">
        <f t="shared" si="49"/>
        <v xml:space="preserve">2314 </v>
      </c>
      <c r="K304" t="str">
        <f t="shared" si="50"/>
        <v>2315½</v>
      </c>
      <c r="M304" s="8" t="str">
        <f t="shared" si="41"/>
        <v>DN</v>
      </c>
      <c r="N304" t="s">
        <v>3929</v>
      </c>
      <c r="O304" t="s">
        <v>3938</v>
      </c>
      <c r="P304" t="s">
        <v>1033</v>
      </c>
      <c r="Q304" t="s">
        <v>3939</v>
      </c>
      <c r="R304" t="s">
        <v>3326</v>
      </c>
      <c r="S304" t="s">
        <v>3940</v>
      </c>
      <c r="T304" t="s">
        <v>3941</v>
      </c>
      <c r="U304" t="s">
        <v>3942</v>
      </c>
      <c r="V304" t="s">
        <v>3376</v>
      </c>
      <c r="W304" t="s">
        <v>3933</v>
      </c>
      <c r="X304" t="s">
        <v>3934</v>
      </c>
      <c r="Y304" t="s">
        <v>3935</v>
      </c>
      <c r="Z304" t="s">
        <v>3936</v>
      </c>
      <c r="AA304" t="s">
        <v>3321</v>
      </c>
      <c r="AB304" t="s">
        <v>3937</v>
      </c>
      <c r="AC304" t="s">
        <v>3385</v>
      </c>
      <c r="AD304" t="s">
        <v>3324</v>
      </c>
    </row>
    <row r="305" spans="2:30" ht="15" customHeight="1" x14ac:dyDescent="0.25">
      <c r="B305" s="3" t="s">
        <v>3908</v>
      </c>
      <c r="C305" s="1" t="s">
        <v>976</v>
      </c>
      <c r="D305" s="2" t="s">
        <v>3326</v>
      </c>
      <c r="E305" s="1" t="s">
        <v>3927</v>
      </c>
      <c r="F305" s="2" t="s">
        <v>3926</v>
      </c>
      <c r="G305" s="1" t="s">
        <v>974</v>
      </c>
      <c r="H305" s="1" t="s">
        <v>3322</v>
      </c>
      <c r="I305" t="str">
        <f t="shared" si="48"/>
        <v>2R</v>
      </c>
      <c r="J305" t="str">
        <f t="shared" si="49"/>
        <v xml:space="preserve">2317 </v>
      </c>
      <c r="K305" t="str">
        <f t="shared" si="50"/>
        <v xml:space="preserve">2320 </v>
      </c>
      <c r="M305" s="8" t="str">
        <f t="shared" si="41"/>
        <v>UP</v>
      </c>
      <c r="N305" t="s">
        <v>3946</v>
      </c>
      <c r="O305" t="s">
        <v>3926</v>
      </c>
    </row>
    <row r="306" spans="2:30" ht="15" customHeight="1" x14ac:dyDescent="0.25">
      <c r="B306" s="3" t="s">
        <v>3909</v>
      </c>
      <c r="C306" s="1" t="s">
        <v>2926</v>
      </c>
      <c r="D306" s="2" t="s">
        <v>3926</v>
      </c>
      <c r="E306" s="1" t="s">
        <v>3928</v>
      </c>
      <c r="F306" s="2" t="s">
        <v>3324</v>
      </c>
      <c r="G306" s="1" t="s">
        <v>977</v>
      </c>
      <c r="H306" s="1" t="s">
        <v>3322</v>
      </c>
      <c r="I306" t="str">
        <f t="shared" si="48"/>
        <v>2B</v>
      </c>
      <c r="J306" t="str">
        <f t="shared" si="49"/>
        <v xml:space="preserve">2319 </v>
      </c>
      <c r="K306" t="str">
        <f t="shared" si="50"/>
        <v xml:space="preserve">2321 </v>
      </c>
      <c r="M306" s="8" t="str">
        <f t="shared" si="41"/>
        <v>DN</v>
      </c>
      <c r="N306" t="s">
        <v>3929</v>
      </c>
      <c r="O306" t="s">
        <v>3930</v>
      </c>
      <c r="P306" t="s">
        <v>3931</v>
      </c>
      <c r="Q306" t="s">
        <v>3382</v>
      </c>
      <c r="R306" t="s">
        <v>3932</v>
      </c>
      <c r="S306" t="s">
        <v>3376</v>
      </c>
      <c r="T306" t="s">
        <v>3933</v>
      </c>
      <c r="U306" t="s">
        <v>3934</v>
      </c>
      <c r="V306" t="s">
        <v>3935</v>
      </c>
      <c r="W306" t="s">
        <v>3936</v>
      </c>
      <c r="X306" t="s">
        <v>3321</v>
      </c>
      <c r="Y306" t="s">
        <v>3937</v>
      </c>
      <c r="Z306" t="s">
        <v>3385</v>
      </c>
      <c r="AA306" t="s">
        <v>3324</v>
      </c>
    </row>
    <row r="307" spans="2:30" ht="15" customHeight="1" x14ac:dyDescent="0.25">
      <c r="B307" s="3" t="s">
        <v>3910</v>
      </c>
      <c r="C307" s="1"/>
      <c r="D307" s="1" t="s">
        <v>1037</v>
      </c>
      <c r="E307" s="1" t="s">
        <v>3927</v>
      </c>
      <c r="F307" s="2" t="s">
        <v>3926</v>
      </c>
      <c r="G307" s="1" t="s">
        <v>980</v>
      </c>
      <c r="H307" s="1" t="s">
        <v>3322</v>
      </c>
      <c r="I307" t="str">
        <f t="shared" si="48"/>
        <v>2G</v>
      </c>
      <c r="J307" t="str">
        <f t="shared" si="49"/>
        <v/>
      </c>
      <c r="K307" t="str">
        <f t="shared" si="50"/>
        <v xml:space="preserve">2325 </v>
      </c>
      <c r="M307" s="8" t="str">
        <f t="shared" si="41"/>
        <v>UP</v>
      </c>
      <c r="N307" t="s">
        <v>3946</v>
      </c>
      <c r="O307" t="s">
        <v>3926</v>
      </c>
    </row>
    <row r="308" spans="2:30" ht="15" customHeight="1" x14ac:dyDescent="0.25">
      <c r="B308" s="3" t="s">
        <v>3911</v>
      </c>
      <c r="C308" s="1" t="s">
        <v>3912</v>
      </c>
      <c r="D308" s="2" t="s">
        <v>3321</v>
      </c>
      <c r="E308" s="1" t="s">
        <v>3927</v>
      </c>
      <c r="F308" s="2" t="s">
        <v>3926</v>
      </c>
      <c r="G308" s="1" t="s">
        <v>985</v>
      </c>
      <c r="H308" s="1" t="s">
        <v>3322</v>
      </c>
      <c r="I308" t="str">
        <f t="shared" si="48"/>
        <v>2D</v>
      </c>
      <c r="J308" t="str">
        <f t="shared" si="49"/>
        <v xml:space="preserve">2327 </v>
      </c>
      <c r="K308" t="str">
        <f t="shared" si="50"/>
        <v xml:space="preserve">2330 </v>
      </c>
      <c r="M308" s="8" t="str">
        <f t="shared" si="41"/>
        <v>UP</v>
      </c>
      <c r="N308" t="s">
        <v>3946</v>
      </c>
      <c r="O308" t="s">
        <v>3926</v>
      </c>
    </row>
    <row r="309" spans="2:30" ht="15" customHeight="1" x14ac:dyDescent="0.25">
      <c r="B309" s="3" t="s">
        <v>3913</v>
      </c>
      <c r="C309" s="1" t="s">
        <v>3914</v>
      </c>
      <c r="D309" s="2" t="s">
        <v>3926</v>
      </c>
      <c r="E309" s="1" t="s">
        <v>3928</v>
      </c>
      <c r="F309" s="2" t="s">
        <v>3324</v>
      </c>
      <c r="G309" s="1" t="s">
        <v>990</v>
      </c>
      <c r="H309" s="1" t="s">
        <v>3322</v>
      </c>
      <c r="I309" t="str">
        <f t="shared" si="48"/>
        <v>2D</v>
      </c>
      <c r="J309" t="str">
        <f t="shared" si="49"/>
        <v xml:space="preserve">2329 </v>
      </c>
      <c r="K309" t="str">
        <f t="shared" si="50"/>
        <v xml:space="preserve">2331 </v>
      </c>
      <c r="M309" s="8" t="str">
        <f t="shared" si="41"/>
        <v>DN</v>
      </c>
      <c r="N309" t="s">
        <v>3929</v>
      </c>
      <c r="O309" t="s">
        <v>3930</v>
      </c>
      <c r="P309" t="s">
        <v>3943</v>
      </c>
      <c r="Q309" t="s">
        <v>3944</v>
      </c>
      <c r="R309" t="s">
        <v>3326</v>
      </c>
      <c r="S309" t="s">
        <v>3940</v>
      </c>
      <c r="T309" t="s">
        <v>3941</v>
      </c>
      <c r="U309" t="s">
        <v>3942</v>
      </c>
      <c r="V309" t="s">
        <v>3376</v>
      </c>
      <c r="W309" t="s">
        <v>3933</v>
      </c>
      <c r="X309" t="s">
        <v>3934</v>
      </c>
      <c r="Y309" t="s">
        <v>3935</v>
      </c>
      <c r="Z309" t="s">
        <v>3936</v>
      </c>
      <c r="AA309" t="s">
        <v>3321</v>
      </c>
      <c r="AB309" t="s">
        <v>3937</v>
      </c>
      <c r="AC309" t="s">
        <v>3385</v>
      </c>
      <c r="AD309" t="s">
        <v>3324</v>
      </c>
    </row>
    <row r="310" spans="2:30" ht="15" customHeight="1" x14ac:dyDescent="0.25">
      <c r="B310" s="3" t="s">
        <v>3915</v>
      </c>
      <c r="C310" s="1"/>
      <c r="D310" s="1" t="s">
        <v>1037</v>
      </c>
      <c r="E310" s="1" t="s">
        <v>3927</v>
      </c>
      <c r="F310" s="2" t="s">
        <v>3926</v>
      </c>
      <c r="G310" s="1" t="s">
        <v>991</v>
      </c>
      <c r="H310" s="1" t="s">
        <v>3322</v>
      </c>
      <c r="I310" t="str">
        <f t="shared" si="48"/>
        <v>2G</v>
      </c>
      <c r="J310" t="str">
        <f t="shared" si="49"/>
        <v/>
      </c>
      <c r="K310" t="str">
        <f t="shared" si="50"/>
        <v xml:space="preserve">2335 </v>
      </c>
      <c r="M310" s="8" t="str">
        <f t="shared" si="41"/>
        <v>UP</v>
      </c>
      <c r="N310" t="s">
        <v>3946</v>
      </c>
      <c r="O310" t="s">
        <v>3926</v>
      </c>
    </row>
    <row r="311" spans="2:30" ht="15" customHeight="1" x14ac:dyDescent="0.25">
      <c r="B311" s="3" t="s">
        <v>3916</v>
      </c>
      <c r="C311" s="1" t="s">
        <v>2949</v>
      </c>
      <c r="D311" s="2" t="s">
        <v>3324</v>
      </c>
      <c r="E311" s="1" t="s">
        <v>3927</v>
      </c>
      <c r="F311" s="2" t="s">
        <v>3926</v>
      </c>
      <c r="G311" s="1" t="s">
        <v>997</v>
      </c>
      <c r="H311" s="1" t="s">
        <v>3322</v>
      </c>
      <c r="I311" t="str">
        <f t="shared" si="48"/>
        <v>2B</v>
      </c>
      <c r="J311" t="str">
        <f t="shared" si="49"/>
        <v xml:space="preserve">2337 </v>
      </c>
      <c r="K311" t="str">
        <f t="shared" si="50"/>
        <v xml:space="preserve">2340 </v>
      </c>
      <c r="M311" s="8" t="str">
        <f t="shared" si="41"/>
        <v>UP</v>
      </c>
      <c r="N311" t="s">
        <v>3946</v>
      </c>
      <c r="O311" t="s">
        <v>3926</v>
      </c>
    </row>
    <row r="312" spans="2:30" ht="15" customHeight="1" x14ac:dyDescent="0.25">
      <c r="B312" s="3" t="s">
        <v>3917</v>
      </c>
      <c r="C312" s="1"/>
      <c r="D312" s="1" t="s">
        <v>1037</v>
      </c>
      <c r="E312" s="1" t="s">
        <v>3927</v>
      </c>
      <c r="F312" s="2" t="s">
        <v>3926</v>
      </c>
      <c r="G312" s="1" t="s">
        <v>1002</v>
      </c>
      <c r="H312" s="1" t="s">
        <v>3322</v>
      </c>
      <c r="I312" t="str">
        <f t="shared" si="48"/>
        <v>2G</v>
      </c>
      <c r="J312" t="str">
        <f t="shared" si="49"/>
        <v/>
      </c>
      <c r="K312" t="str">
        <f t="shared" si="50"/>
        <v xml:space="preserve">2345 </v>
      </c>
      <c r="M312" s="8" t="str">
        <f t="shared" si="41"/>
        <v>UP</v>
      </c>
      <c r="N312" t="s">
        <v>3946</v>
      </c>
      <c r="O312" t="s">
        <v>3926</v>
      </c>
    </row>
    <row r="313" spans="2:30" ht="15" customHeight="1" x14ac:dyDescent="0.25">
      <c r="B313" s="3" t="s">
        <v>3918</v>
      </c>
      <c r="C313" s="1" t="s">
        <v>1004</v>
      </c>
      <c r="D313" s="2" t="s">
        <v>3926</v>
      </c>
      <c r="E313" s="1" t="s">
        <v>3928</v>
      </c>
      <c r="F313" s="2" t="s">
        <v>3326</v>
      </c>
      <c r="G313" s="1" t="s">
        <v>3919</v>
      </c>
      <c r="H313" s="1" t="s">
        <v>3322</v>
      </c>
      <c r="I313" t="str">
        <f t="shared" si="48"/>
        <v>2R</v>
      </c>
      <c r="J313" t="str">
        <f t="shared" si="49"/>
        <v xml:space="preserve">2346 </v>
      </c>
      <c r="K313" t="str">
        <f t="shared" si="50"/>
        <v>2347½</v>
      </c>
      <c r="M313" s="8" t="str">
        <f t="shared" si="41"/>
        <v>DN</v>
      </c>
      <c r="N313" t="s">
        <v>3929</v>
      </c>
      <c r="O313" t="s">
        <v>3938</v>
      </c>
      <c r="P313" t="s">
        <v>1033</v>
      </c>
      <c r="Q313" t="s">
        <v>3939</v>
      </c>
      <c r="R313" t="s">
        <v>3326</v>
      </c>
    </row>
    <row r="314" spans="2:30" ht="15" customHeight="1" x14ac:dyDescent="0.25">
      <c r="B314" s="3" t="s">
        <v>3920</v>
      </c>
      <c r="C314" s="1"/>
      <c r="D314" s="1" t="s">
        <v>1037</v>
      </c>
      <c r="E314" s="1" t="s">
        <v>3927</v>
      </c>
      <c r="F314" s="2" t="s">
        <v>3926</v>
      </c>
      <c r="G314" s="1" t="s">
        <v>1007</v>
      </c>
      <c r="H314" s="1" t="s">
        <v>3322</v>
      </c>
      <c r="I314" t="str">
        <f t="shared" si="48"/>
        <v>2G</v>
      </c>
      <c r="J314" t="str">
        <f t="shared" si="49"/>
        <v/>
      </c>
      <c r="K314" t="str">
        <f t="shared" si="50"/>
        <v xml:space="preserve">2350 </v>
      </c>
      <c r="M314" s="8" t="str">
        <f t="shared" ref="M314:M316" si="51">E314</f>
        <v>UP</v>
      </c>
      <c r="N314" t="s">
        <v>3946</v>
      </c>
      <c r="O314" t="s">
        <v>3926</v>
      </c>
    </row>
    <row r="315" spans="2:30" ht="15" customHeight="1" x14ac:dyDescent="0.25">
      <c r="B315" s="3" t="s">
        <v>3921</v>
      </c>
      <c r="C315" s="1" t="s">
        <v>3922</v>
      </c>
      <c r="D315" s="2" t="s">
        <v>3926</v>
      </c>
      <c r="E315" s="1" t="s">
        <v>3928</v>
      </c>
      <c r="F315" s="2" t="s">
        <v>3324</v>
      </c>
      <c r="G315" s="1" t="s">
        <v>1012</v>
      </c>
      <c r="H315" s="1" t="s">
        <v>3322</v>
      </c>
      <c r="I315" t="str">
        <f t="shared" si="48"/>
        <v>2B</v>
      </c>
      <c r="J315" t="str">
        <f t="shared" si="49"/>
        <v xml:space="preserve">2349 </v>
      </c>
      <c r="K315" t="str">
        <f t="shared" si="50"/>
        <v xml:space="preserve">2351 </v>
      </c>
      <c r="M315" s="8" t="str">
        <f t="shared" si="51"/>
        <v>DN</v>
      </c>
      <c r="N315" t="s">
        <v>3929</v>
      </c>
      <c r="O315" t="s">
        <v>3930</v>
      </c>
      <c r="P315" t="s">
        <v>3931</v>
      </c>
      <c r="Q315" t="s">
        <v>3382</v>
      </c>
      <c r="R315" t="s">
        <v>3932</v>
      </c>
      <c r="S315" t="s">
        <v>3376</v>
      </c>
      <c r="T315" t="s">
        <v>3933</v>
      </c>
      <c r="U315" t="s">
        <v>3934</v>
      </c>
      <c r="V315" t="s">
        <v>3935</v>
      </c>
      <c r="W315" t="s">
        <v>3936</v>
      </c>
      <c r="X315" t="s">
        <v>3321</v>
      </c>
      <c r="Y315" t="s">
        <v>3937</v>
      </c>
      <c r="Z315" t="s">
        <v>3385</v>
      </c>
      <c r="AA315" t="s">
        <v>3324</v>
      </c>
    </row>
    <row r="316" spans="2:30" ht="15" customHeight="1" x14ac:dyDescent="0.25">
      <c r="B316" s="3" t="s">
        <v>3923</v>
      </c>
      <c r="C316" s="1"/>
      <c r="D316" s="1" t="s">
        <v>1037</v>
      </c>
      <c r="E316" s="1" t="s">
        <v>3927</v>
      </c>
      <c r="F316" s="2" t="s">
        <v>3926</v>
      </c>
      <c r="G316" s="1" t="s">
        <v>1013</v>
      </c>
      <c r="H316" s="1" t="s">
        <v>3322</v>
      </c>
      <c r="I316" t="str">
        <f t="shared" si="48"/>
        <v>2G</v>
      </c>
      <c r="J316" t="str">
        <f t="shared" si="49"/>
        <v/>
      </c>
      <c r="K316" t="str">
        <f t="shared" si="50"/>
        <v xml:space="preserve">2355 </v>
      </c>
      <c r="M316" s="8" t="str">
        <f t="shared" si="51"/>
        <v>UP</v>
      </c>
      <c r="N316" t="s">
        <v>3946</v>
      </c>
      <c r="O316" t="s">
        <v>3926</v>
      </c>
    </row>
  </sheetData>
  <autoFilter ref="B1:M316"/>
  <hyperlinks>
    <hyperlink ref="B3" r:id="rId1" display="http://www.opentraintimes.com/schedule/F54424/2012/8/8"/>
    <hyperlink ref="B4" r:id="rId2" display="http://www.opentraintimes.com/schedule/F54137/2012/8/7"/>
    <hyperlink ref="B5" r:id="rId3" display="http://www.opentraintimes.com/schedule/F53990/2012/8/7"/>
    <hyperlink ref="B6" r:id="rId4" display="http://www.opentraintimes.com/schedule/F08187/2012/8/8"/>
    <hyperlink ref="B7" r:id="rId5" display="http://www.opentraintimes.com/schedule/F54245/2012/8/8"/>
    <hyperlink ref="B8" r:id="rId6" display="http://www.opentraintimes.com/schedule/F54446/2012/8/8"/>
    <hyperlink ref="B9" r:id="rId7" display="http://www.opentraintimes.com/schedule/F54186/2012/8/8"/>
    <hyperlink ref="B10" r:id="rId8" display="http://www.opentraintimes.com/schedule/F54447/2012/8/8"/>
    <hyperlink ref="B11" r:id="rId9" display="http://www.opentraintimes.com/schedule/F54448/2012/8/8"/>
    <hyperlink ref="B12" r:id="rId10" display="http://www.opentraintimes.com/schedule/F08191/2012/8/8"/>
    <hyperlink ref="B13" r:id="rId11" display="http://www.opentraintimes.com/schedule/F54449/2012/8/8"/>
    <hyperlink ref="B14" r:id="rId12" display="http://www.opentraintimes.com/schedule/F54450/2012/8/8"/>
    <hyperlink ref="B15" r:id="rId13" display="http://www.opentraintimes.com/schedule/F54110/2012/8/8"/>
    <hyperlink ref="B16" r:id="rId14" display="http://www.opentraintimes.com/schedule/F54289/2012/8/8"/>
    <hyperlink ref="B17" r:id="rId15" display="http://www.opentraintimes.com/schedule/F54072/2012/8/8"/>
    <hyperlink ref="B18" r:id="rId16" display="http://www.opentraintimes.com/schedule/F54073/2012/8/8"/>
    <hyperlink ref="B19" r:id="rId17" display="http://www.opentraintimes.com/schedule/F54320/2012/8/8"/>
    <hyperlink ref="B20" r:id="rId18" display="http://www.opentraintimes.com/schedule/F54290/2012/8/8"/>
    <hyperlink ref="B21" r:id="rId19" display="http://www.opentraintimes.com/schedule/F53965/2012/8/8"/>
    <hyperlink ref="B22" r:id="rId20" display="http://www.opentraintimes.com/schedule/F54074/2012/8/8"/>
    <hyperlink ref="B23" r:id="rId21" display="http://www.opentraintimes.com/schedule/F54291/2012/8/8"/>
    <hyperlink ref="B24" r:id="rId22" display="http://www.opentraintimes.com/schedule/F54321/2012/8/8"/>
    <hyperlink ref="B25" r:id="rId23" display="http://www.opentraintimes.com/schedule/F54147/2012/8/8"/>
    <hyperlink ref="B26" r:id="rId24" display="http://www.opentraintimes.com/schedule/F54322/2012/8/8"/>
    <hyperlink ref="B27" r:id="rId25" display="http://www.opentraintimes.com/schedule/F54292/2012/8/8"/>
    <hyperlink ref="B28" r:id="rId26" display="http://www.opentraintimes.com/schedule/F54075/2012/8/8"/>
    <hyperlink ref="B29" r:id="rId27" display="http://www.opentraintimes.com/schedule/F54139/2012/8/8"/>
    <hyperlink ref="B30" r:id="rId28" display="http://www.opentraintimes.com/schedule/F53993/2012/8/8"/>
    <hyperlink ref="B31" r:id="rId29" display="http://www.opentraintimes.com/schedule/F54148/2012/8/8"/>
    <hyperlink ref="B32" r:id="rId30" display="http://www.opentraintimes.com/schedule/F54400/2012/8/8"/>
    <hyperlink ref="B33" r:id="rId31" display="http://www.opentraintimes.com/schedule/F54285/2012/8/8"/>
    <hyperlink ref="B34" r:id="rId32" display="http://www.opentraintimes.com/schedule/F54247/2012/8/8"/>
    <hyperlink ref="B35" r:id="rId33" display="http://www.opentraintimes.com/schedule/F54014/2012/8/8"/>
    <hyperlink ref="B36" r:id="rId34" display="http://www.opentraintimes.com/schedule/F54435/2012/8/8"/>
    <hyperlink ref="B37" r:id="rId35" display="http://www.opentraintimes.com/schedule/F54293/2012/8/8"/>
    <hyperlink ref="B38" r:id="rId36" display="http://www.opentraintimes.com/schedule/F54076/2012/8/8"/>
    <hyperlink ref="B39" r:id="rId37" display="http://www.opentraintimes.com/schedule/F53966/2012/8/8"/>
    <hyperlink ref="B40" r:id="rId38" display="http://www.opentraintimes.com/schedule/F54248/2012/8/8"/>
    <hyperlink ref="B41" r:id="rId39" display="http://www.opentraintimes.com/schedule/F54060/2012/8/8"/>
    <hyperlink ref="B42" r:id="rId40" display="http://www.opentraintimes.com/schedule/F54436/2012/8/8"/>
    <hyperlink ref="B43" r:id="rId41" display="http://www.opentraintimes.com/schedule/F54015/2012/8/8"/>
    <hyperlink ref="B44" r:id="rId42" display="http://www.opentraintimes.com/schedule/F54234/2012/8/8"/>
    <hyperlink ref="B45" r:id="rId43" display="http://www.opentraintimes.com/schedule/F53999/2012/8/8"/>
    <hyperlink ref="B46" r:id="rId44" display="http://www.opentraintimes.com/schedule/F54251/2012/8/8"/>
    <hyperlink ref="B47" r:id="rId45" display="http://www.opentraintimes.com/schedule/F54077/2012/8/8"/>
    <hyperlink ref="B48" r:id="rId46" display="http://www.opentraintimes.com/schedule/F54224/2012/8/8"/>
    <hyperlink ref="B49" r:id="rId47" display="http://www.opentraintimes.com/schedule/F54071/2012/8/8"/>
    <hyperlink ref="B50" r:id="rId48" display="http://www.opentraintimes.com/schedule/F53969/2012/8/8"/>
    <hyperlink ref="B51" r:id="rId49" display="http://www.opentraintimes.com/schedule/F54140/2012/8/8"/>
    <hyperlink ref="B52" r:id="rId50" display="http://www.opentraintimes.com/schedule/F54000/2012/8/8"/>
    <hyperlink ref="B53" r:id="rId51" display="http://www.opentraintimes.com/schedule/F54016/2012/8/8"/>
    <hyperlink ref="B54" r:id="rId52" display="http://www.opentraintimes.com/schedule/F54149/2012/8/8"/>
    <hyperlink ref="B55" r:id="rId53" display="http://www.opentraintimes.com/schedule/F54426/2012/8/8"/>
    <hyperlink ref="B56" r:id="rId54" display="http://www.opentraintimes.com/schedule/F54001/2012/8/8"/>
    <hyperlink ref="B57" r:id="rId55" display="http://www.opentraintimes.com/schedule/F54078/2012/8/8"/>
    <hyperlink ref="B58" r:id="rId56" display="http://www.opentraintimes.com/schedule/F54255/2012/8/8"/>
    <hyperlink ref="B59" r:id="rId57" display="http://www.opentraintimes.com/schedule/F54428/2012/8/8"/>
    <hyperlink ref="B60" r:id="rId58" display="http://www.opentraintimes.com/schedule/F54062/2012/8/8"/>
    <hyperlink ref="B61" r:id="rId59" display="http://www.opentraintimes.com/schedule/F54235/2012/8/8"/>
    <hyperlink ref="B62" r:id="rId60" display="http://www.opentraintimes.com/schedule/F54150/2012/8/8"/>
    <hyperlink ref="B63" r:id="rId61" display="http://www.opentraintimes.com/schedule/F54002/2012/8/8"/>
    <hyperlink ref="B64" r:id="rId62" display="http://www.opentraintimes.com/schedule/F54434/2012/8/8"/>
    <hyperlink ref="B65" r:id="rId63" display="http://www.opentraintimes.com/schedule/F54226/2012/8/8"/>
    <hyperlink ref="B66" r:id="rId64" display="http://www.opentraintimes.com/schedule/F54017/2012/8/8"/>
    <hyperlink ref="B67" r:id="rId65" display="http://www.opentraintimes.com/schedule/F54003/2012/8/8"/>
    <hyperlink ref="B68" r:id="rId66" display="http://www.opentraintimes.com/schedule/F54079/2012/8/8"/>
    <hyperlink ref="B69" r:id="rId67" display="http://www.opentraintimes.com/schedule/F54258/2012/8/8"/>
    <hyperlink ref="B70" r:id="rId68" display="http://www.opentraintimes.com/schedule/F54429/2012/8/8"/>
    <hyperlink ref="B71" r:id="rId69" display="http://www.opentraintimes.com/schedule/F54151/2012/8/8"/>
    <hyperlink ref="B72" r:id="rId70" display="http://www.opentraintimes.com/schedule/F54004/2012/8/8"/>
    <hyperlink ref="B73" r:id="rId71" display="http://www.opentraintimes.com/schedule/F54018/2012/8/8"/>
    <hyperlink ref="B74" r:id="rId72" display="http://www.opentraintimes.com/schedule/F54288/2012/8/8"/>
    <hyperlink ref="B75" r:id="rId73" display="http://www.opentraintimes.com/schedule/F54080/2012/8/8"/>
    <hyperlink ref="B76" r:id="rId74" display="http://www.opentraintimes.com/schedule/F54152/2012/8/8"/>
    <hyperlink ref="B77" r:id="rId75" display="http://www.opentraintimes.com/schedule/F54233/2012/8/8"/>
    <hyperlink ref="B78" r:id="rId76" display="http://www.opentraintimes.com/schedule/F53992/2012/8/8"/>
    <hyperlink ref="B79" r:id="rId77" display="http://www.opentraintimes.com/schedule/F54112/2012/8/8"/>
    <hyperlink ref="B80" r:id="rId78" display="http://www.opentraintimes.com/schedule/F54005/2012/8/8"/>
    <hyperlink ref="B81" r:id="rId79" display="http://www.opentraintimes.com/schedule/F54019/2012/8/8"/>
    <hyperlink ref="B82" r:id="rId80" display="http://www.opentraintimes.com/schedule/F54006/2012/8/8"/>
    <hyperlink ref="B83" r:id="rId81" display="http://www.opentraintimes.com/schedule/F54153/2012/8/8"/>
    <hyperlink ref="B84" r:id="rId82" display="http://www.opentraintimes.com/schedule/F54081/2012/8/8"/>
    <hyperlink ref="B85" r:id="rId83" display="http://www.opentraintimes.com/schedule/F54397/2012/8/8"/>
    <hyperlink ref="B86" r:id="rId84" display="http://www.opentraintimes.com/schedule/F54232/2012/8/8"/>
    <hyperlink ref="B87" r:id="rId85" display="http://www.opentraintimes.com/schedule/F54113/2012/8/8"/>
    <hyperlink ref="B88" r:id="rId86" display="http://www.opentraintimes.com/schedule/F54294/2012/8/8"/>
    <hyperlink ref="B89" r:id="rId87" display="http://www.opentraintimes.com/schedule/F54020/2012/8/8"/>
    <hyperlink ref="B90" r:id="rId88" display="http://www.opentraintimes.com/schedule/F53970/2012/8/8"/>
    <hyperlink ref="B91" r:id="rId89" display="http://www.opentraintimes.com/schedule/F54154/2012/8/8"/>
    <hyperlink ref="B92" r:id="rId90" display="http://www.opentraintimes.com/schedule/F54262/2012/8/8"/>
    <hyperlink ref="B93" r:id="rId91" display="http://www.opentraintimes.com/schedule/F54082/2012/8/8"/>
    <hyperlink ref="B94" r:id="rId92" display="http://www.opentraintimes.com/schedule/F54403/2012/8/8"/>
    <hyperlink ref="B95" r:id="rId93" display="http://www.opentraintimes.com/schedule/F54114/2012/8/8"/>
    <hyperlink ref="B96" r:id="rId94" display="http://www.opentraintimes.com/schedule/F54295/2012/8/8"/>
    <hyperlink ref="B97" r:id="rId95" display="http://www.opentraintimes.com/schedule/F54021/2012/8/8"/>
    <hyperlink ref="B98" r:id="rId96" display="http://www.opentraintimes.com/schedule/F53971/2012/8/8"/>
    <hyperlink ref="B99" r:id="rId97" display="http://www.opentraintimes.com/schedule/F54155/2012/8/8"/>
    <hyperlink ref="B100" r:id="rId98" display="http://www.opentraintimes.com/schedule/F54263/2012/8/8"/>
    <hyperlink ref="B101" r:id="rId99" display="http://www.opentraintimes.com/schedule/F54083/2012/8/8"/>
    <hyperlink ref="B102" r:id="rId100" display="http://www.opentraintimes.com/schedule/F54404/2012/8/8"/>
    <hyperlink ref="B103" r:id="rId101" display="http://www.opentraintimes.com/schedule/F54115/2012/8/8"/>
    <hyperlink ref="B104" r:id="rId102" display="http://www.opentraintimes.com/schedule/F54296/2012/8/8"/>
    <hyperlink ref="B105" r:id="rId103" display="http://www.opentraintimes.com/schedule/F54022/2012/8/8"/>
    <hyperlink ref="B106" r:id="rId104" display="http://www.opentraintimes.com/schedule/F53972/2012/8/8"/>
    <hyperlink ref="B107" r:id="rId105" display="http://www.opentraintimes.com/schedule/F54156/2012/8/8"/>
    <hyperlink ref="B108" r:id="rId106" display="http://www.opentraintimes.com/schedule/F54264/2012/8/8"/>
    <hyperlink ref="B109" r:id="rId107" display="http://www.opentraintimes.com/schedule/F54084/2012/8/8"/>
    <hyperlink ref="B110" r:id="rId108" display="http://www.opentraintimes.com/schedule/F54405/2012/8/8"/>
    <hyperlink ref="B111" r:id="rId109" display="http://www.opentraintimes.com/schedule/F54116/2012/8/8"/>
    <hyperlink ref="B112" r:id="rId110" display="http://www.opentraintimes.com/schedule/F54297/2012/8/8"/>
    <hyperlink ref="B113" r:id="rId111" display="http://www.opentraintimes.com/schedule/F54023/2012/8/8"/>
    <hyperlink ref="B114" r:id="rId112" display="http://www.opentraintimes.com/schedule/F53973/2012/8/8"/>
    <hyperlink ref="B115" r:id="rId113" display="http://www.opentraintimes.com/schedule/F54157/2012/8/8"/>
    <hyperlink ref="B116" r:id="rId114" display="http://www.opentraintimes.com/schedule/F54265/2012/8/8"/>
    <hyperlink ref="B117" r:id="rId115" display="http://www.opentraintimes.com/schedule/F54085/2012/8/8"/>
    <hyperlink ref="B118" r:id="rId116" display="http://www.opentraintimes.com/schedule/F54406/2012/8/8"/>
    <hyperlink ref="B119" r:id="rId117" display="http://www.opentraintimes.com/schedule/F54117/2012/8/8"/>
    <hyperlink ref="B120" r:id="rId118" display="http://www.opentraintimes.com/schedule/F54298/2012/8/8"/>
    <hyperlink ref="B121" r:id="rId119" display="http://www.opentraintimes.com/schedule/F54024/2012/8/8"/>
    <hyperlink ref="B122" r:id="rId120" display="http://www.opentraintimes.com/schedule/F53974/2012/8/8"/>
    <hyperlink ref="B123" r:id="rId121" display="http://www.opentraintimes.com/schedule/F54158/2012/8/8"/>
    <hyperlink ref="B124" r:id="rId122" display="http://www.opentraintimes.com/schedule/F54266/2012/8/8"/>
    <hyperlink ref="B125" r:id="rId123" display="http://www.opentraintimes.com/schedule/F54086/2012/8/8"/>
    <hyperlink ref="B126" r:id="rId124" display="http://www.opentraintimes.com/schedule/F54407/2012/8/8"/>
    <hyperlink ref="B127" r:id="rId125" display="http://www.opentraintimes.com/schedule/F54118/2012/8/8"/>
    <hyperlink ref="B128" r:id="rId126" display="http://www.opentraintimes.com/schedule/F54299/2012/8/8"/>
    <hyperlink ref="B129" r:id="rId127" display="http://www.opentraintimes.com/schedule/F54025/2012/8/8"/>
    <hyperlink ref="B130" r:id="rId128" display="http://www.opentraintimes.com/schedule/F53975/2012/8/8"/>
    <hyperlink ref="B131" r:id="rId129" display="http://www.opentraintimes.com/schedule/F54159/2012/8/8"/>
    <hyperlink ref="B132" r:id="rId130" display="http://www.opentraintimes.com/schedule/F54267/2012/8/8"/>
    <hyperlink ref="B133" r:id="rId131" display="http://www.opentraintimes.com/schedule/F54087/2012/8/8"/>
    <hyperlink ref="B134" r:id="rId132" display="http://www.opentraintimes.com/schedule/F54408/2012/8/8"/>
    <hyperlink ref="B135" r:id="rId133" display="http://www.opentraintimes.com/schedule/F54119/2012/8/8"/>
    <hyperlink ref="B136" r:id="rId134" display="http://www.opentraintimes.com/schedule/F54300/2012/8/8"/>
    <hyperlink ref="B137" r:id="rId135" display="http://www.opentraintimes.com/schedule/F54026/2012/8/8"/>
    <hyperlink ref="B138" r:id="rId136" display="http://www.opentraintimes.com/schedule/F53976/2012/8/8"/>
    <hyperlink ref="B139" r:id="rId137" display="http://www.opentraintimes.com/schedule/F54160/2012/8/8"/>
    <hyperlink ref="B140" r:id="rId138" display="http://www.opentraintimes.com/schedule/F54268/2012/8/8"/>
    <hyperlink ref="B141" r:id="rId139" display="http://www.opentraintimes.com/schedule/F54088/2012/8/8"/>
    <hyperlink ref="B142" r:id="rId140" display="http://www.opentraintimes.com/schedule/F54409/2012/8/8"/>
    <hyperlink ref="B143" r:id="rId141" display="http://www.opentraintimes.com/schedule/F54120/2012/8/8"/>
    <hyperlink ref="B144" r:id="rId142" display="http://www.opentraintimes.com/schedule/F54301/2012/8/8"/>
    <hyperlink ref="B145" r:id="rId143" display="http://www.opentraintimes.com/schedule/F54027/2012/8/8"/>
    <hyperlink ref="B146" r:id="rId144" display="http://www.opentraintimes.com/schedule/F53977/2012/8/8"/>
    <hyperlink ref="B147" r:id="rId145" display="http://www.opentraintimes.com/schedule/F54161/2012/8/8"/>
    <hyperlink ref="B148" r:id="rId146" display="http://www.opentraintimes.com/schedule/F54269/2012/8/8"/>
    <hyperlink ref="B149" r:id="rId147" display="http://www.opentraintimes.com/schedule/F54089/2012/8/8"/>
    <hyperlink ref="B150" r:id="rId148" display="http://www.opentraintimes.com/schedule/F54410/2012/8/8"/>
    <hyperlink ref="B151" r:id="rId149" display="http://www.opentraintimes.com/schedule/F54121/2012/8/8"/>
    <hyperlink ref="B152" r:id="rId150" display="http://www.opentraintimes.com/schedule/F54302/2012/8/8"/>
    <hyperlink ref="B153" r:id="rId151" display="http://www.opentraintimes.com/schedule/F54028/2012/8/8"/>
    <hyperlink ref="B154" r:id="rId152" display="http://www.opentraintimes.com/schedule/F53978/2012/8/8"/>
    <hyperlink ref="B155" r:id="rId153" display="http://www.opentraintimes.com/schedule/F54162/2012/8/8"/>
    <hyperlink ref="B156" r:id="rId154" display="http://www.opentraintimes.com/schedule/F54270/2012/8/8"/>
    <hyperlink ref="B157" r:id="rId155" display="http://www.opentraintimes.com/schedule/F54090/2012/8/8"/>
    <hyperlink ref="B158" r:id="rId156" display="http://www.opentraintimes.com/schedule/F54411/2012/8/8"/>
    <hyperlink ref="B159" r:id="rId157" display="http://www.opentraintimes.com/schedule/F54122/2012/8/8"/>
    <hyperlink ref="B160" r:id="rId158" display="http://www.opentraintimes.com/schedule/F54303/2012/8/8"/>
    <hyperlink ref="B161" r:id="rId159" display="http://www.opentraintimes.com/schedule/F54029/2012/8/8"/>
    <hyperlink ref="B162" r:id="rId160" display="http://www.opentraintimes.com/schedule/F53979/2012/8/8"/>
    <hyperlink ref="B163" r:id="rId161" display="http://www.opentraintimes.com/schedule/F54163/2012/8/8"/>
    <hyperlink ref="B164" r:id="rId162" display="http://www.opentraintimes.com/schedule/F54271/2012/8/8"/>
    <hyperlink ref="B165" r:id="rId163" display="http://www.opentraintimes.com/schedule/F54091/2012/8/8"/>
    <hyperlink ref="B166" r:id="rId164" display="http://www.opentraintimes.com/schedule/F54412/2012/8/8"/>
    <hyperlink ref="B167" r:id="rId165" display="http://www.opentraintimes.com/schedule/F54123/2012/8/8"/>
    <hyperlink ref="B168" r:id="rId166" display="http://www.opentraintimes.com/schedule/F54304/2012/8/8"/>
    <hyperlink ref="B169" r:id="rId167" display="http://www.opentraintimes.com/schedule/F54030/2012/8/8"/>
    <hyperlink ref="B170" r:id="rId168" display="http://www.opentraintimes.com/schedule/F53980/2012/8/8"/>
    <hyperlink ref="B171" r:id="rId169" display="http://www.opentraintimes.com/schedule/F54164/2012/8/8"/>
    <hyperlink ref="B172" r:id="rId170" display="http://www.opentraintimes.com/schedule/F54272/2012/8/8"/>
    <hyperlink ref="B173" r:id="rId171" display="http://www.opentraintimes.com/schedule/F54092/2012/8/8"/>
    <hyperlink ref="B174" r:id="rId172" display="http://www.opentraintimes.com/schedule/F54413/2012/8/8"/>
    <hyperlink ref="B175" r:id="rId173" display="http://www.opentraintimes.com/schedule/F54124/2012/8/8"/>
    <hyperlink ref="B176" r:id="rId174" display="http://www.opentraintimes.com/schedule/F54057/2012/8/8"/>
    <hyperlink ref="B177" r:id="rId175" display="http://www.opentraintimes.com/schedule/F54305/2012/8/8"/>
    <hyperlink ref="B178" r:id="rId176" display="http://www.opentraintimes.com/schedule/F54031/2012/8/8"/>
    <hyperlink ref="B179" r:id="rId177" display="http://www.opentraintimes.com/schedule/F53981/2012/8/8"/>
    <hyperlink ref="B180" r:id="rId178" display="http://www.opentraintimes.com/schedule/F54165/2012/8/8"/>
    <hyperlink ref="B181" r:id="rId179" display="http://www.opentraintimes.com/schedule/F54273/2012/8/8"/>
    <hyperlink ref="B182" r:id="rId180" display="http://www.opentraintimes.com/schedule/F54093/2012/8/8"/>
    <hyperlink ref="B183" r:id="rId181" display="http://www.opentraintimes.com/schedule/F54414/2012/8/8"/>
    <hyperlink ref="B184" r:id="rId182" display="http://www.opentraintimes.com/schedule/F54125/2012/8/8"/>
    <hyperlink ref="B185" r:id="rId183" display="http://www.opentraintimes.com/schedule/F54306/2012/8/8"/>
    <hyperlink ref="B186" r:id="rId184" display="http://www.opentraintimes.com/schedule/F54189/2012/8/8"/>
    <hyperlink ref="B187" r:id="rId185" display="http://www.opentraintimes.com/schedule/F54032/2012/8/8"/>
    <hyperlink ref="B188" r:id="rId186" display="http://www.opentraintimes.com/schedule/F53982/2012/8/8"/>
    <hyperlink ref="B189" r:id="rId187" display="http://www.opentraintimes.com/schedule/F54274/2012/8/8"/>
    <hyperlink ref="B190" r:id="rId188" display="http://www.opentraintimes.com/schedule/F54094/2012/8/8"/>
    <hyperlink ref="B191" r:id="rId189" display="http://www.opentraintimes.com/schedule/F54166/2012/8/8"/>
    <hyperlink ref="B192" r:id="rId190" display="http://www.opentraintimes.com/schedule/F54415/2012/8/8"/>
    <hyperlink ref="B193" r:id="rId191" display="http://www.opentraintimes.com/schedule/F54126/2012/8/8"/>
    <hyperlink ref="B194" r:id="rId192" display="http://www.opentraintimes.com/schedule/F54307/2012/8/8"/>
    <hyperlink ref="B195" r:id="rId193" display="http://www.opentraintimes.com/schedule/F54033/2012/8/8"/>
    <hyperlink ref="B196" r:id="rId194" display="http://www.opentraintimes.com/schedule/F54145/2012/8/8"/>
    <hyperlink ref="B197" r:id="rId195" display="http://www.opentraintimes.com/schedule/F54167/2012/8/8"/>
    <hyperlink ref="B198" r:id="rId196" display="http://www.opentraintimes.com/schedule/F54275/2012/8/8"/>
    <hyperlink ref="B199" r:id="rId197" display="http://www.opentraintimes.com/schedule/F54127/2012/8/8"/>
    <hyperlink ref="B200" r:id="rId198" display="http://www.opentraintimes.com/schedule/F54141/2012/8/8"/>
    <hyperlink ref="B201" r:id="rId199" display="http://www.opentraintimes.com/schedule/F54308/2012/8/8"/>
    <hyperlink ref="B202" r:id="rId200" display="http://www.opentraintimes.com/schedule/F54168/2012/8/8"/>
    <hyperlink ref="B203" r:id="rId201" display="http://www.opentraintimes.com/schedule/F54276/2012/8/8"/>
    <hyperlink ref="B204" r:id="rId202" display="http://www.opentraintimes.com/schedule/F54142/2012/8/8"/>
    <hyperlink ref="B205" r:id="rId203" display="http://www.opentraintimes.com/schedule/F54169/2012/8/8"/>
    <hyperlink ref="B206" r:id="rId204" display="http://www.opentraintimes.com/schedule/F53961/2012/8/8"/>
    <hyperlink ref="B207" r:id="rId205" display="http://www.opentraintimes.com/schedule/F54038/2012/8/8"/>
    <hyperlink ref="B208" r:id="rId206" display="http://www.opentraintimes.com/schedule/F54039/2012/8/8"/>
    <hyperlink ref="B209" r:id="rId207" display="http://www.opentraintimes.com/schedule/F54402/2012/8/8"/>
    <hyperlink ref="B210" r:id="rId208" display="http://www.opentraintimes.com/schedule/F54143/2012/8/8"/>
    <hyperlink ref="B211" r:id="rId209" display="http://www.opentraintimes.com/schedule/F54170/2012/8/8"/>
    <hyperlink ref="B212" r:id="rId210" display="http://www.opentraintimes.com/schedule/F54064/2012/8/8"/>
    <hyperlink ref="B213" r:id="rId211" display="http://www.opentraintimes.com/schedule/F54041/2012/8/8"/>
    <hyperlink ref="B214" r:id="rId212" display="http://www.opentraintimes.com/schedule/F54144/2012/8/8"/>
    <hyperlink ref="B215" r:id="rId213" display="http://www.opentraintimes.com/schedule/F54253/2012/8/8"/>
    <hyperlink ref="B216" r:id="rId214" display="http://www.opentraintimes.com/schedule/F54171/2012/8/8"/>
    <hyperlink ref="B217" r:id="rId215" display="http://www.opentraintimes.com/schedule/F54065/2012/8/8"/>
    <hyperlink ref="B218" r:id="rId216" display="http://www.opentraintimes.com/schedule/F54432/2012/8/8"/>
    <hyperlink ref="B219" r:id="rId217" display="http://www.opentraintimes.com/schedule/F54043/2012/8/8"/>
    <hyperlink ref="B220" r:id="rId218" display="http://www.opentraintimes.com/schedule/F54172/2012/8/8"/>
    <hyperlink ref="B221" r:id="rId219" display="http://www.opentraintimes.com/schedule/F54045/2012/8/8"/>
    <hyperlink ref="B222" r:id="rId220" display="http://www.opentraintimes.com/schedule/F53963/2012/8/8"/>
    <hyperlink ref="B223" r:id="rId221" display="http://www.opentraintimes.com/schedule/F54128/2012/8/8"/>
    <hyperlink ref="B224" r:id="rId222" display="http://www.opentraintimes.com/schedule/F08194/2012/8/8"/>
    <hyperlink ref="B225" r:id="rId223" display="http://www.opentraintimes.com/schedule/F54095/2012/8/8"/>
    <hyperlink ref="B226" r:id="rId224" display="http://www.opentraintimes.com/schedule/F54173/2012/8/8"/>
    <hyperlink ref="B227" r:id="rId225" display="http://www.opentraintimes.com/schedule/F54287/2012/8/8"/>
    <hyperlink ref="B228" r:id="rId226" display="http://www.opentraintimes.com/schedule/F54008/2012/8/8"/>
    <hyperlink ref="B229" r:id="rId227" display="http://www.opentraintimes.com/schedule/F54066/2012/8/8"/>
    <hyperlink ref="B230" r:id="rId228" display="http://www.opentraintimes.com/schedule/F54237/2012/8/8"/>
    <hyperlink ref="B231" r:id="rId229" display="http://www.opentraintimes.com/schedule/F54096/2012/8/8"/>
    <hyperlink ref="B232" r:id="rId230" display="http://www.opentraintimes.com/schedule/F54174/2012/8/8"/>
    <hyperlink ref="B233" r:id="rId231" display="http://www.opentraintimes.com/schedule/F54309/2012/8/8"/>
    <hyperlink ref="B234" r:id="rId232" display="http://www.opentraintimes.com/schedule/F54048/2012/8/8"/>
    <hyperlink ref="B235" r:id="rId233" display="http://www.opentraintimes.com/schedule/F54097/2012/8/8"/>
    <hyperlink ref="B236" r:id="rId234" display="http://www.opentraintimes.com/schedule/F54175/2012/8/8"/>
    <hyperlink ref="B237" r:id="rId235" display="http://www.opentraintimes.com/schedule/F54238/2012/8/8"/>
    <hyperlink ref="B238" r:id="rId236" display="http://www.opentraintimes.com/schedule/F54310/2012/8/8"/>
    <hyperlink ref="B239" r:id="rId237" display="http://www.opentraintimes.com/schedule/F54068/2012/8/8"/>
    <hyperlink ref="B240" r:id="rId238" display="http://www.opentraintimes.com/schedule/F54279/2012/8/8"/>
    <hyperlink ref="B241" r:id="rId239" display="http://www.opentraintimes.com/schedule/F54176/2012/8/8"/>
    <hyperlink ref="B242" r:id="rId240" display="http://www.opentraintimes.com/schedule/F53964/2012/8/8"/>
    <hyperlink ref="B243" r:id="rId241" display="http://www.opentraintimes.com/schedule/F54098/2012/8/8"/>
    <hyperlink ref="B244" r:id="rId242" display="http://www.opentraintimes.com/schedule/F54425/2012/8/8"/>
    <hyperlink ref="B245" r:id="rId243" display="http://www.opentraintimes.com/schedule/F54129/2012/8/8"/>
    <hyperlink ref="B246" r:id="rId244" display="http://www.opentraintimes.com/schedule/F54311/2012/8/8"/>
    <hyperlink ref="B247" r:id="rId245" display="http://www.opentraintimes.com/schedule/F54146/2012/8/8"/>
    <hyperlink ref="B248" r:id="rId246" display="http://www.opentraintimes.com/schedule/F54177/2012/8/8"/>
    <hyperlink ref="B249" r:id="rId247" display="http://www.opentraintimes.com/schedule/F12507/2012/8/8"/>
    <hyperlink ref="B250" r:id="rId248" display="http://www.opentraintimes.com/schedule/F53983/2012/8/8"/>
    <hyperlink ref="B251" r:id="rId249" display="http://www.opentraintimes.com/schedule/F54099/2012/8/8"/>
    <hyperlink ref="B252" r:id="rId250" display="http://www.opentraintimes.com/schedule/F54416/2012/8/8"/>
    <hyperlink ref="B253" r:id="rId251" display="http://www.opentraintimes.com/schedule/F54130/2012/8/8"/>
    <hyperlink ref="B254" r:id="rId252" display="http://www.opentraintimes.com/schedule/F54312/2012/8/8"/>
    <hyperlink ref="B255" r:id="rId253" display="http://www.opentraintimes.com/schedule/F54052/2012/8/8"/>
    <hyperlink ref="B256" r:id="rId254" display="http://www.opentraintimes.com/schedule/F54178/2012/8/8"/>
    <hyperlink ref="B257" r:id="rId255" display="http://www.opentraintimes.com/schedule/F54281/2012/8/8"/>
    <hyperlink ref="B258" r:id="rId256" display="http://www.opentraintimes.com/schedule/F40001/2012/8/8"/>
    <hyperlink ref="B259" r:id="rId257" display="http://www.opentraintimes.com/schedule/F54100/2012/8/8"/>
    <hyperlink ref="B260" r:id="rId258" display="http://www.opentraintimes.com/schedule/F54417/2012/8/8"/>
    <hyperlink ref="B261" r:id="rId259" display="http://www.opentraintimes.com/schedule/F54131/2012/8/8"/>
    <hyperlink ref="B262" r:id="rId260" display="http://www.opentraintimes.com/schedule/F54313/2012/8/8"/>
    <hyperlink ref="B263" r:id="rId261" display="http://www.opentraintimes.com/schedule/F54053/2012/8/8"/>
    <hyperlink ref="B264" r:id="rId262" display="http://www.opentraintimes.com/schedule/F53985/2012/8/8"/>
    <hyperlink ref="B265" r:id="rId263" display="http://www.opentraintimes.com/schedule/F54179/2012/8/8"/>
    <hyperlink ref="B266" r:id="rId264" display="http://www.opentraintimes.com/schedule/F54282/2012/8/8"/>
    <hyperlink ref="B267" r:id="rId265" display="http://www.opentraintimes.com/schedule/F54101/2012/8/8"/>
    <hyperlink ref="B268" r:id="rId266" display="http://www.opentraintimes.com/schedule/F54418/2012/8/8"/>
    <hyperlink ref="B269" r:id="rId267" display="http://www.opentraintimes.com/schedule/F54132/2012/8/8"/>
    <hyperlink ref="B270" r:id="rId268" display="http://www.opentraintimes.com/schedule/F54314/2012/8/8"/>
    <hyperlink ref="B271" r:id="rId269" display="http://www.opentraintimes.com/schedule/F54054/2012/8/8"/>
    <hyperlink ref="B272" r:id="rId270" display="http://www.opentraintimes.com/schedule/F53986/2012/8/8"/>
    <hyperlink ref="B273" r:id="rId271" display="http://www.opentraintimes.com/schedule/F54180/2012/8/8"/>
    <hyperlink ref="B274" r:id="rId272" display="http://www.opentraintimes.com/schedule/F54283/2012/8/8"/>
    <hyperlink ref="B275" r:id="rId273" display="http://www.opentraintimes.com/schedule/F54102/2012/8/8"/>
    <hyperlink ref="B276" r:id="rId274" display="http://www.opentraintimes.com/schedule/F54419/2012/8/8"/>
    <hyperlink ref="B277" r:id="rId275" display="http://www.opentraintimes.com/schedule/F54133/2012/8/8"/>
    <hyperlink ref="B278" r:id="rId276" display="http://www.opentraintimes.com/schedule/F54315/2012/8/8"/>
    <hyperlink ref="B279" r:id="rId277" display="http://www.opentraintimes.com/schedule/F54055/2012/8/8"/>
    <hyperlink ref="B280" r:id="rId278" display="http://www.opentraintimes.com/schedule/F53987/2012/8/8"/>
    <hyperlink ref="B281" r:id="rId279" display="http://www.opentraintimes.com/schedule/F54181/2012/8/8"/>
    <hyperlink ref="B282" r:id="rId280" display="http://www.opentraintimes.com/schedule/F54103/2012/8/8"/>
    <hyperlink ref="B283" r:id="rId281" display="http://www.opentraintimes.com/schedule/F54420/2012/8/8"/>
    <hyperlink ref="B284" r:id="rId282" display="http://www.opentraintimes.com/schedule/F54134/2012/8/8"/>
    <hyperlink ref="B285" r:id="rId283" display="http://www.opentraintimes.com/schedule/F54316/2012/8/8"/>
    <hyperlink ref="B286" r:id="rId284" display="http://www.opentraintimes.com/schedule/F54056/2012/8/8"/>
    <hyperlink ref="B287" r:id="rId285" display="http://www.opentraintimes.com/schedule/F53991/2012/8/8"/>
    <hyperlink ref="B288" r:id="rId286" display="http://www.opentraintimes.com/schedule/F54182/2012/8/8"/>
    <hyperlink ref="B289" r:id="rId287" display="http://www.opentraintimes.com/schedule/F54284/2012/8/8"/>
    <hyperlink ref="B290" r:id="rId288" display="http://www.opentraintimes.com/schedule/F54104/2012/8/8"/>
    <hyperlink ref="B291" r:id="rId289" display="http://www.opentraintimes.com/schedule/F54421/2012/8/8"/>
    <hyperlink ref="B292" r:id="rId290" display="http://www.opentraintimes.com/schedule/F54135/2012/8/8"/>
    <hyperlink ref="B293" r:id="rId291" display="http://www.opentraintimes.com/schedule/F54424/2012/8/8"/>
    <hyperlink ref="B294" r:id="rId292" display="http://www.opentraintimes.com/schedule/F54317/2012/8/8"/>
    <hyperlink ref="B295" r:id="rId293" display="http://www.opentraintimes.com/schedule/F12508/2012/8/8"/>
    <hyperlink ref="B296" r:id="rId294" display="http://www.opentraintimes.com/schedule/F53988/2012/8/8"/>
    <hyperlink ref="B297" r:id="rId295" display="http://www.opentraintimes.com/schedule/F08188/2012/8/8"/>
    <hyperlink ref="B298" r:id="rId296" display="http://www.opentraintimes.com/schedule/F54423/2012/8/8"/>
    <hyperlink ref="B299" r:id="rId297" display="http://www.opentraintimes.com/schedule/F54136/2012/8/8"/>
    <hyperlink ref="B300" r:id="rId298" display="http://www.opentraintimes.com/schedule/F54439/2012/8/8"/>
    <hyperlink ref="B301" r:id="rId299" display="http://www.opentraintimes.com/schedule/F08186/2012/8/8"/>
    <hyperlink ref="B302" r:id="rId300" display="http://www.opentraintimes.com/schedule/F54318/2012/8/8"/>
    <hyperlink ref="B303" r:id="rId301" display="http://www.opentraintimes.com/schedule/F54440/2012/8/8"/>
    <hyperlink ref="B304" r:id="rId302" display="http://www.opentraintimes.com/schedule/F54184/2012/8/8"/>
    <hyperlink ref="B305" r:id="rId303" display="http://www.opentraintimes.com/schedule/F53989/2012/8/8"/>
    <hyperlink ref="B306" r:id="rId304" display="http://www.opentraintimes.com/schedule/F08189/2012/8/8"/>
    <hyperlink ref="B307" r:id="rId305" display="http://www.opentraintimes.com/schedule/F54441/2012/8/8"/>
    <hyperlink ref="B308" r:id="rId306" display="http://www.opentraintimes.com/schedule/F54422/2012/8/8"/>
    <hyperlink ref="B309" r:id="rId307" display="http://www.opentraintimes.com/schedule/F54138/2012/8/8"/>
    <hyperlink ref="B310" r:id="rId308" display="http://www.opentraintimes.com/schedule/F54442/2012/8/8"/>
    <hyperlink ref="B311" r:id="rId309" display="http://www.opentraintimes.com/schedule/F54319/2012/8/8"/>
    <hyperlink ref="B312" r:id="rId310" display="http://www.opentraintimes.com/schedule/F54443/2012/8/8"/>
    <hyperlink ref="B313" r:id="rId311" display="http://www.opentraintimes.com/schedule/F54185/2012/8/8"/>
    <hyperlink ref="B314" r:id="rId312" display="http://www.opentraintimes.com/schedule/F54444/2012/8/8"/>
    <hyperlink ref="B315" r:id="rId313" display="http://www.opentraintimes.com/schedule/F08190/2012/8/8"/>
    <hyperlink ref="B316" r:id="rId314" display="http://www.opentraintimes.com/schedule/F54445/2012/8/8"/>
  </hyperlinks>
  <pageMargins left="0.7" right="0.7" top="0.75" bottom="0.75" header="0.3" footer="0.3"/>
  <pageSetup paperSize="9" orientation="portrait" horizontalDpi="0" verticalDpi="0" r:id="rId3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SFA</vt:lpstr>
      <vt:lpstr>SRA</vt:lpstr>
      <vt:lpstr>HMN</vt:lpstr>
      <vt:lpstr>WEH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dcterms:created xsi:type="dcterms:W3CDTF">2012-08-06T12:16:09Z</dcterms:created>
  <dcterms:modified xsi:type="dcterms:W3CDTF">2013-01-01T00:25:00Z</dcterms:modified>
</cp:coreProperties>
</file>